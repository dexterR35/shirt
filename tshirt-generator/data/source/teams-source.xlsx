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3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1.xml"/>
  <Override ContentType="application/vnd.openxmlformats-officedocument.spreadsheetml.comments+xml" PartName="/xl/comments10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Club Colours" sheetId="2" r:id="rId6"/>
    <sheet state="visible" name="Colour Guide" sheetId="3" r:id="rId7"/>
    <sheet state="visible" name="All Teams" sheetId="4" r:id="rId8"/>
    <sheet state="visible" name="Competitions" sheetId="5" r:id="rId9"/>
    <sheet state="visible" name="England" sheetId="6" r:id="rId10"/>
    <sheet state="visible" name="Spain" sheetId="7" r:id="rId11"/>
    <sheet state="visible" name="Italy" sheetId="8" r:id="rId12"/>
    <sheet state="visible" name="Germany" sheetId="9" r:id="rId13"/>
    <sheet state="visible" name="France" sheetId="10" r:id="rId14"/>
    <sheet state="visible" name="Romania" sheetId="11" r:id="rId15"/>
    <sheet state="visible" name="Greece" sheetId="12" r:id="rId16"/>
    <sheet state="visible" name="Finland" sheetId="13" r:id="rId17"/>
    <sheet state="visible" name="UEFA" sheetId="14" r:id="rId18"/>
    <sheet state="visible" name="Sources" sheetId="15" r:id="rId19"/>
    <sheet state="visible" name="Colour Sources" sheetId="16" r:id="rId20"/>
  </sheets>
  <definedNames>
    <definedName hidden="1" localSheetId="3" name="_xlnm._FilterDatabase">'All Teams'!$A$6:$Q$785</definedName>
    <definedName hidden="1" localSheetId="5" name="_xlnm._FilterDatabase">England!$A$6:$Q$74</definedName>
    <definedName hidden="1" localSheetId="6" name="_xlnm._FilterDatabase">Spain!$A$6:$Q$88</definedName>
    <definedName hidden="1" localSheetId="7" name="_xlnm._FilterDatabase">Italy!$A$6:$Q$106</definedName>
    <definedName hidden="1" localSheetId="8" name="_xlnm._FilterDatabase">Germany!$A$6:$Q$62</definedName>
    <definedName hidden="1" localSheetId="9" name="_xlnm._FilterDatabase">France!$A$6:$Q$60</definedName>
    <definedName hidden="1" localSheetId="10" name="_xlnm._FilterDatabase">Romania!$A$6:$Q$140</definedName>
    <definedName hidden="1" localSheetId="11" name="_xlnm._FilterDatabase">Greece!$A$6:$Q$149</definedName>
    <definedName hidden="1" localSheetId="12" name="_xlnm._FilterDatabase">Finland!$A$6:$Q$40</definedName>
    <definedName hidden="1" localSheetId="13" name="_xlnm._FilterDatabase">UEFA!$A$6:$Q$114</definedName>
    <definedName hidden="1" localSheetId="14" name="Z_71674D73_842F_4B06_B1ED_5025E280D7C9_.wvu.FilterData">Sources!$A$6:$H$41</definedName>
    <definedName hidden="1" localSheetId="6" name="Z_18E8FBE0_4006_44D6_ACB9_E070AF029B70_.wvu.FilterData">Spain!$A$6:$Q$88</definedName>
    <definedName hidden="1" localSheetId="3" name="Z_69559FA1_77B5_406F_933B_B7973E24462B_.wvu.FilterData">'All Teams'!$A$6:$Q$785</definedName>
    <definedName hidden="1" localSheetId="12" name="Z_1BC0D48F_5319_419F_A792_E5B80657EAAA_.wvu.FilterData">Finland!$A$6:$Q$40</definedName>
    <definedName hidden="1" localSheetId="4" name="Z_4C2F46C1_A152_4753_B07A_464C4AF7AFAF_.wvu.FilterData">Competitions!$A$6:$L$33</definedName>
    <definedName hidden="1" localSheetId="15" name="Z_6BE42B35_592F_4643_9F41_F05E0E3A59B3_.wvu.FilterData">'Colour Sources'!$A$6:$H$268</definedName>
    <definedName hidden="1" localSheetId="10" name="Z_0D2960A6_3EAB_4FCB_9A3A_2302C6BF05EF_.wvu.FilterData">Romania!$A$6:$Q$140</definedName>
    <definedName hidden="1" localSheetId="7" name="Z_1DCC1944_D9E7_4790_9ED3_39C6462169A0_.wvu.FilterData">Italy!$A$6:$Q$106</definedName>
    <definedName hidden="1" localSheetId="9" name="Z_EC43C50D_BB3D_422B_B59C_3D3896AB57C1_.wvu.FilterData">France!$A$6:$Q$60</definedName>
    <definedName hidden="1" localSheetId="11" name="Z_454FD13D_7AE5_459E_BC96_1F832B864F3D_.wvu.FilterData">Greece!$A$6:$Q$149</definedName>
    <definedName hidden="1" localSheetId="5" name="Z_8990F321_300D_4D4A_A0E2_035C217661BF_.wvu.FilterData">England!$A$6:$Q$74</definedName>
    <definedName hidden="1" localSheetId="1" name="Z_60CBD15C_5510_4544_B3BE_32D1F374C07A_.wvu.FilterData">'Club Colours'!$A$6:$L$741</definedName>
    <definedName hidden="1" localSheetId="13" name="Z_C7B17AF0_E4A4_4B69_83C9_BABB483A9C26_.wvu.FilterData">UEFA!$A$6:$Q$114</definedName>
    <definedName hidden="1" localSheetId="8" name="Z_AD0CE2C5_50CF_4A56_AB4F_E539F3D82A50_.wvu.FilterData">Germany!$A$6:$Q$62</definedName>
  </definedNames>
  <calcPr/>
  <customWorkbookViews>
    <customWorkbookView activeSheetId="0" maximized="1" windowHeight="0" windowWidth="0" guid="{71674D73-842F-4B06-B1ED-5025E280D7C9}" name="SourceRegister filter view"/>
    <customWorkbookView activeSheetId="0" maximized="1" windowHeight="0" windowWidth="0" guid="{18E8FBE0-4006-44D6-ACB9-E070AF029B70}" name="TeamsSpain filter view"/>
    <customWorkbookView activeSheetId="0" maximized="1" windowHeight="0" windowWidth="0" guid="{69559FA1-77B5-406F-933B-B7973E24462B}" name="AllTeams filter view"/>
    <customWorkbookView activeSheetId="0" maximized="1" windowHeight="0" windowWidth="0" guid="{1BC0D48F-5319-419F-A792-E5B80657EAAA}" name="TeamsFinland filter view"/>
    <customWorkbookView activeSheetId="0" maximized="1" windowHeight="0" windowWidth="0" guid="{4C2F46C1-A152-4753-B07A-464C4AF7AFAF}" name="CompetitionInventory filter view"/>
    <customWorkbookView activeSheetId="0" maximized="1" windowHeight="0" windowWidth="0" guid="{6BE42B35-592F-4643-9F41-F05E0E3A59B3}" name="ColourSourcesRegister filter view"/>
    <customWorkbookView activeSheetId="0" maximized="1" windowHeight="0" windowWidth="0" guid="{0D2960A6-3EAB-4FCB-9A3A-2302C6BF05EF}" name="TeamsRomania filter view"/>
    <customWorkbookView activeSheetId="0" maximized="1" windowHeight="0" windowWidth="0" guid="{1DCC1944-D9E7-4790-9ED3-39C6462169A0}" name="TeamsItaly filter view"/>
    <customWorkbookView activeSheetId="0" maximized="1" windowHeight="0" windowWidth="0" guid="{EC43C50D-BB3D-422B-B59C-3D3896AB57C1}" name="TeamsFrance filter view"/>
    <customWorkbookView activeSheetId="0" maximized="1" windowHeight="0" windowWidth="0" guid="{454FD13D-7AE5-459E-BC96-1F832B864F3D}" name="TeamsGreece filter view"/>
    <customWorkbookView activeSheetId="0" maximized="1" windowHeight="0" windowWidth="0" guid="{8990F321-300D-4D4A-A0E2-035C217661BF}" name="TeamsEngland filter view"/>
    <customWorkbookView activeSheetId="0" maximized="1" windowHeight="0" windowWidth="0" guid="{60CBD15C-5510-4544-B3BE-32D1F374C07A}" name="ClubColourDirectory filter view"/>
    <customWorkbookView activeSheetId="0" maximized="1" windowHeight="0" windowWidth="0" guid="{C7B17AF0-E4A4-4B69-83C9-BABB483A9C26}" name="TeamsUEFA filter view"/>
    <customWorkbookView activeSheetId="0" maximized="1" windowHeight="0" windowWidth="0" guid="{AD0CE2C5-50CF-4A56-AB4F-E539F3D82A50}" name="TeamsGermany filter view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3">
      <text>
        <t xml:space="preserve">Illustrative generic shade assigned to this colour name for display. This is NOT a sourced or certified club-brand HEX value.</t>
      </text>
    </comment>
    <comment authorId="0" ref="F133">
      <text>
        <t xml:space="preserve">Illustrative generic shade assigned to this colour name for display. This is NOT a sourced or certified club-brand HEX value.</t>
      </text>
    </comment>
    <comment authorId="0" ref="C662">
      <text>
        <t xml:space="preserve">Illustrative generic shade assigned to this colour name for display. This is NOT a sourced or certified club-brand HEX value.</t>
      </text>
    </comment>
    <comment authorId="0" ref="D662">
      <text>
        <t xml:space="preserve">Illustrative generic shade assigned to this colour name for display. This is NOT a sourced or certified club-brand HEX value.</t>
      </text>
    </comment>
    <comment authorId="0" ref="E662">
      <text>
        <t xml:space="preserve">Illustrative generic shade assigned to this colour name for display. This is NOT a sourced or certified club-brand HEX value.</t>
      </text>
    </comment>
    <comment authorId="0" ref="F662">
      <text>
        <t xml:space="preserve">Illustrative generic shade assigned to this colour name for display. This is NOT a sourced or certified club-brand HEX value.</t>
      </text>
    </comment>
    <comment authorId="0" ref="C530">
      <text>
        <t xml:space="preserve">Illustrative generic shade assigned to this colour name for display. This is NOT a sourced or certified club-brand HEX value.</t>
      </text>
    </comment>
    <comment authorId="0" ref="D530">
      <text>
        <t xml:space="preserve">Illustrative generic shade assigned to this colour name for display. This is NOT a sourced or certified club-brand HEX value.</t>
      </text>
    </comment>
    <comment authorId="0" ref="E530">
      <text>
        <t xml:space="preserve">Illustrative generic shade assigned to this colour name for display. This is NOT a sourced or certified club-brand HEX value.</t>
      </text>
    </comment>
    <comment authorId="0" ref="F530">
      <text>
        <t xml:space="preserve">Illustrative generic shade assigned to this colour name for display. This is NOT a sourced or certified club-brand HEX value.</t>
      </text>
    </comment>
    <comment authorId="0" ref="E398">
      <text>
        <t xml:space="preserve">Illustrative generic shade assigned to this colour name for display. This is NOT a sourced or certified club-brand HEX value.</t>
      </text>
    </comment>
    <comment authorId="0" ref="F398">
      <text>
        <t xml:space="preserve">Illustrative generic shade assigned to this colour name for display. This is NOT a sourced or certified club-brand HEX value.</t>
      </text>
    </comment>
    <comment authorId="0" ref="C266">
      <text>
        <t xml:space="preserve">Illustrative generic shade assigned to this colour name for display. This is NOT a sourced or certified club-brand HEX value.</t>
      </text>
    </comment>
    <comment authorId="0" ref="D266">
      <text>
        <t xml:space="preserve">Illustrative generic shade assigned to this colour name for display. This is NOT a sourced or certified club-brand HEX value.</t>
      </text>
    </comment>
    <comment authorId="0" ref="E266">
      <text>
        <t xml:space="preserve">Illustrative generic shade assigned to this colour name for display. This is NOT a sourced or certified club-brand HEX value.</t>
      </text>
    </comment>
    <comment authorId="0" ref="F266">
      <text>
        <t xml:space="preserve">Illustrative generic shade assigned to this colour name for display. This is NOT a sourced or certified club-brand HEX value.</t>
      </text>
    </comment>
    <comment authorId="0" ref="C134">
      <text>
        <t xml:space="preserve">Illustrative generic shade assigned to this colour name for display. This is NOT a sourced or certified club-brand HEX value.</t>
      </text>
    </comment>
    <comment authorId="0" ref="D134">
      <text>
        <t xml:space="preserve">Illustrative generic shade assigned to this colour name for display. This is NOT a sourced or certified club-brand HEX value.</t>
      </text>
    </comment>
    <comment authorId="0" ref="E134">
      <text>
        <t xml:space="preserve">Illustrative generic shade assigned to this colour name for display. This is NOT a sourced or certified club-brand HEX value.</t>
      </text>
    </comment>
    <comment authorId="0" ref="F134">
      <text>
        <t xml:space="preserve">Illustrative generic shade assigned to this colour name for display. This is NOT a sourced or certified club-brand HEX value.</t>
      </text>
    </comment>
    <comment authorId="0" ref="C663">
      <text>
        <t xml:space="preserve">Illustrative generic shade assigned to this colour name for display. This is NOT a sourced or certified club-brand HEX value.</t>
      </text>
    </comment>
    <comment authorId="0" ref="D663">
      <text>
        <t xml:space="preserve">Illustrative generic shade assigned to this colour name for display. This is NOT a sourced or certified club-brand HEX value.</t>
      </text>
    </comment>
    <comment authorId="0" ref="E663">
      <text>
        <t xml:space="preserve">Illustrative generic shade assigned to this colour name for display. This is NOT a sourced or certified club-brand HEX value.</t>
      </text>
    </comment>
    <comment authorId="0" ref="F663">
      <text>
        <t xml:space="preserve">Illustrative generic shade assigned to this colour name for display. This is NOT a sourced or certified club-brand HEX value.</t>
      </text>
    </comment>
    <comment authorId="0" ref="C531">
      <text>
        <t xml:space="preserve">Illustrative generic shade assigned to this colour name for display. This is NOT a sourced or certified club-brand HEX value.</t>
      </text>
    </comment>
    <comment authorId="0" ref="D531">
      <text>
        <t xml:space="preserve">Illustrative generic shade assigned to this colour name for display. This is NOT a sourced or certified club-brand HEX value.</t>
      </text>
    </comment>
    <comment authorId="0" ref="E531">
      <text>
        <t xml:space="preserve">Illustrative generic shade assigned to this colour name for display. This is NOT a sourced or certified club-brand HEX value.</t>
      </text>
    </comment>
    <comment authorId="0" ref="F531">
      <text>
        <t xml:space="preserve">Illustrative generic shade assigned to this colour name for display. This is NOT a sourced or certified club-brand HEX value.</t>
      </text>
    </comment>
    <comment authorId="0" ref="C399">
      <text>
        <t xml:space="preserve">Illustrative generic shade assigned to this colour name for display. This is NOT a sourced or certified club-brand HEX value.</t>
      </text>
    </comment>
    <comment authorId="0" ref="E399">
      <text>
        <t xml:space="preserve">Illustrative generic shade assigned to this colour name for display. This is NOT a sourced or certified club-brand HEX value.</t>
      </text>
    </comment>
    <comment authorId="0" ref="F399">
      <text>
        <t xml:space="preserve">Illustrative generic shade assigned to this colour name for display. This is NOT a sourced or certified club-brand HEX value.</t>
      </text>
    </comment>
    <comment authorId="0" ref="C267">
      <text>
        <t xml:space="preserve">Illustrative generic shade assigned to this colour name for display. This is NOT a sourced or certified club-brand HEX value.</t>
      </text>
    </comment>
    <comment authorId="0" ref="D267">
      <text>
        <t xml:space="preserve">Illustrative generic shade assigned to this colour name for display. This is NOT a sourced or certified club-brand HEX value.</t>
      </text>
    </comment>
    <comment authorId="0" ref="E267">
      <text>
        <t xml:space="preserve">Illustrative generic shade assigned to this colour name for display. This is NOT a sourced or certified club-brand HEX value.</t>
      </text>
    </comment>
    <comment authorId="0" ref="F267">
      <text>
        <t xml:space="preserve">Illustrative generic shade assigned to this colour name for display. This is NOT a sourced or certified club-brand HEX value.</t>
      </text>
    </comment>
    <comment authorId="0" ref="C135">
      <text>
        <t xml:space="preserve">Illustrative generic shade assigned to this colour name for display. This is NOT a sourced or certified club-brand HEX value.</t>
      </text>
    </comment>
    <comment authorId="0" ref="D135">
      <text>
        <t xml:space="preserve">Illustrative generic shade assigned to this colour name for display. This is NOT a sourced or certified club-brand HEX value.</t>
      </text>
    </comment>
    <comment authorId="0" ref="E135">
      <text>
        <t xml:space="preserve">Illustrative generic shade assigned to this colour name for display. This is NOT a sourced or certified club-brand HEX value.</t>
      </text>
    </comment>
    <comment authorId="0" ref="F135">
      <text>
        <t xml:space="preserve">Illustrative generic shade assigned to this colour name for display. This is NOT a sourced or certified club-brand HEX value.</t>
      </text>
    </comment>
    <comment authorId="0" ref="C664">
      <text>
        <t xml:space="preserve">Illustrative generic shade assigned to this colour name for display. This is NOT a sourced or certified club-brand HEX value.</t>
      </text>
    </comment>
    <comment authorId="0" ref="D664">
      <text>
        <t xml:space="preserve">Illustrative generic shade assigned to this colour name for display. This is NOT a sourced or certified club-brand HEX value.</t>
      </text>
    </comment>
    <comment authorId="0" ref="E664">
      <text>
        <t xml:space="preserve">Illustrative generic shade assigned to this colour name for display. This is NOT a sourced or certified club-brand HEX value.</t>
      </text>
    </comment>
    <comment authorId="0" ref="F664">
      <text>
        <t xml:space="preserve">Illustrative generic shade assigned to this colour name for display. This is NOT a sourced or certified club-brand HEX value.</t>
      </text>
    </comment>
    <comment authorId="0" ref="C532">
      <text>
        <t xml:space="preserve">Illustrative generic shade assigned to this colour name for display. This is NOT a sourced or certified club-brand HEX value.</t>
      </text>
    </comment>
    <comment authorId="0" ref="D532">
      <text>
        <t xml:space="preserve">Illustrative generic shade assigned to this colour name for display. This is NOT a sourced or certified club-brand HEX value.</t>
      </text>
    </comment>
    <comment authorId="0" ref="E532">
      <text>
        <t xml:space="preserve">Illustrative generic shade assigned to this colour name for display. This is NOT a sourced or certified club-brand HEX value.</t>
      </text>
    </comment>
    <comment authorId="0" ref="F532">
      <text>
        <t xml:space="preserve">Illustrative generic shade assigned to this colour name for display. This is NOT a sourced or certified club-brand HEX value.</t>
      </text>
    </comment>
    <comment authorId="0" ref="C400">
      <text>
        <t xml:space="preserve">Illustrative generic shade assigned to this colour name for display. This is NOT a sourced or certified club-brand HEX value.</t>
      </text>
    </comment>
    <comment authorId="0" ref="D400">
      <text>
        <t xml:space="preserve">Illustrative generic shade assigned to this colour name for display. This is NOT a sourced or certified club-brand HEX value.</t>
      </text>
    </comment>
    <comment authorId="0" ref="E400">
      <text>
        <t xml:space="preserve">Illustrative generic shade assigned to this colour name for display. This is NOT a sourced or certified club-brand HEX value.</t>
      </text>
    </comment>
    <comment authorId="0" ref="F400">
      <text>
        <t xml:space="preserve">Illustrative generic shade assigned to this colour name for display. This is NOT a sourced or certified club-brand HEX value.</t>
      </text>
    </comment>
    <comment authorId="0" ref="C268">
      <text>
        <t xml:space="preserve">Illustrative generic shade assigned to this colour name for display. This is NOT a sourced or certified club-brand HEX value.</t>
      </text>
    </comment>
    <comment authorId="0" ref="D268">
      <text>
        <t xml:space="preserve">Illustrative generic shade assigned to this colour name for display. This is NOT a sourced or certified club-brand HEX value.</t>
      </text>
    </comment>
    <comment authorId="0" ref="E268">
      <text>
        <t xml:space="preserve">Illustrative generic shade assigned to this colour name for display. This is NOT a sourced or certified club-brand HEX value.</t>
      </text>
    </comment>
    <comment authorId="0" ref="F268">
      <text>
        <t xml:space="preserve">Illustrative generic shade assigned to this colour name for display. This is NOT a sourced or certified club-brand HEX value.</t>
      </text>
    </comment>
    <comment authorId="0" ref="C136">
      <text>
        <t xml:space="preserve">Illustrative generic shade assigned to this colour name for display. This is NOT a sourced or certified club-brand HEX value.</t>
      </text>
    </comment>
    <comment authorId="0" ref="D136">
      <text>
        <t xml:space="preserve">Illustrative generic shade assigned to this colour name for display. This is NOT a sourced or certified club-brand HEX value.</t>
      </text>
    </comment>
    <comment authorId="0" ref="E136">
      <text>
        <t xml:space="preserve">Illustrative generic shade assigned to this colour name for display. This is NOT a sourced or certified club-brand HEX value.</t>
      </text>
    </comment>
    <comment authorId="0" ref="F136">
      <text>
        <t xml:space="preserve">Illustrative generic shade assigned to this colour name for display. This is NOT a sourced or certified club-brand HEX value.</t>
      </text>
    </comment>
    <comment authorId="0" ref="C665">
      <text>
        <t xml:space="preserve">Illustrative generic shade assigned to this colour name for display. This is NOT a sourced or certified club-brand HEX value.</t>
      </text>
    </comment>
    <comment authorId="0" ref="D665">
      <text>
        <t xml:space="preserve">Illustrative generic shade assigned to this colour name for display. This is NOT a sourced or certified club-brand HEX value.</t>
      </text>
    </comment>
    <comment authorId="0" ref="E665">
      <text>
        <t xml:space="preserve">Illustrative generic shade assigned to this colour name for display. This is NOT a sourced or certified club-brand HEX value.</t>
      </text>
    </comment>
    <comment authorId="0" ref="F665">
      <text>
        <t xml:space="preserve">Illustrative generic shade assigned to this colour name for display. This is NOT a sourced or certified club-brand HEX value.</t>
      </text>
    </comment>
    <comment authorId="0" ref="C533">
      <text>
        <t xml:space="preserve">Illustrative generic shade assigned to this colour name for display. This is NOT a sourced or certified club-brand HEX value.</t>
      </text>
    </comment>
    <comment authorId="0" ref="D533">
      <text>
        <t xml:space="preserve">Illustrative generic shade assigned to this colour name for display. This is NOT a sourced or certified club-brand HEX value.</t>
      </text>
    </comment>
    <comment authorId="0" ref="E533">
      <text>
        <t xml:space="preserve">Illustrative generic shade assigned to this colour name for display. This is NOT a sourced or certified club-brand HEX value.</t>
      </text>
    </comment>
    <comment authorId="0" ref="F533">
      <text>
        <t xml:space="preserve">Illustrative generic shade assigned to this colour name for display. This is NOT a sourced or certified club-brand HEX value.</t>
      </text>
    </comment>
    <comment authorId="0" ref="C401">
      <text>
        <t xml:space="preserve">Illustrative generic shade assigned to this colour name for display. This is NOT a sourced or certified club-brand HEX value.</t>
      </text>
    </comment>
    <comment authorId="0" ref="D401">
      <text>
        <t xml:space="preserve">Illustrative generic shade assigned to this colour name for display. This is NOT a sourced or certified club-brand HEX value.</t>
      </text>
    </comment>
    <comment authorId="0" ref="E401">
      <text>
        <t xml:space="preserve">Illustrative generic shade assigned to this colour name for display. This is NOT a sourced or certified club-brand HEX value.</t>
      </text>
    </comment>
    <comment authorId="0" ref="F401">
      <text>
        <t xml:space="preserve">Illustrative generic shade assigned to this colour name for display. This is NOT a sourced or certified club-brand HEX value.</t>
      </text>
    </comment>
    <comment authorId="0" ref="C269">
      <text>
        <t xml:space="preserve">Illustrative generic shade assigned to this colour name for display. This is NOT a sourced or certified club-brand HEX value.</t>
      </text>
    </comment>
    <comment authorId="0" ref="D269">
      <text>
        <t xml:space="preserve">Illustrative generic shade assigned to this colour name for display. This is NOT a sourced or certified club-brand HEX value.</t>
      </text>
    </comment>
    <comment authorId="0" ref="E269">
      <text>
        <t xml:space="preserve">Illustrative generic shade assigned to this colour name for display. This is NOT a sourced or certified club-brand HEX value.</t>
      </text>
    </comment>
    <comment authorId="0" ref="F269">
      <text>
        <t xml:space="preserve">Illustrative generic shade assigned to this colour name for display. This is NOT a sourced or certified club-brand HEX value.</t>
      </text>
    </comment>
    <comment authorId="0" ref="C137">
      <text>
        <t xml:space="preserve">Illustrative generic shade assigned to this colour name for display. This is NOT a sourced or certified club-brand HEX value.</t>
      </text>
    </comment>
    <comment authorId="0" ref="D137">
      <text>
        <t xml:space="preserve">Illustrative generic shade assigned to this colour name for display. This is NOT a sourced or certified club-brand HEX value.</t>
      </text>
    </comment>
    <comment authorId="0" ref="E137">
      <text>
        <t xml:space="preserve">Illustrative generic shade assigned to this colour name for display. This is NOT a sourced or certified club-brand HEX value.</t>
      </text>
    </comment>
    <comment authorId="0" ref="F137">
      <text>
        <t xml:space="preserve">Illustrative generic shade assigned to this colour name for display. This is NOT a sourced or certified club-brand HEX value.</t>
      </text>
    </comment>
    <comment authorId="0" ref="C666">
      <text>
        <t xml:space="preserve">Illustrative generic shade assigned to this colour name for display. This is NOT a sourced or certified club-brand HEX value.</t>
      </text>
    </comment>
    <comment authorId="0" ref="D666">
      <text>
        <t xml:space="preserve">Illustrative generic shade assigned to this colour name for display. This is NOT a sourced or certified club-brand HEX value.</t>
      </text>
    </comment>
    <comment authorId="0" ref="E666">
      <text>
        <t xml:space="preserve">Illustrative generic shade assigned to this colour name for display. This is NOT a sourced or certified club-brand HEX value.</t>
      </text>
    </comment>
    <comment authorId="0" ref="F666">
      <text>
        <t xml:space="preserve">Illustrative generic shade assigned to this colour name for display. This is NOT a sourced or certified club-brand HEX value.</t>
      </text>
    </comment>
    <comment authorId="0" ref="C534">
      <text>
        <t xml:space="preserve">Illustrative generic shade assigned to this colour name for display. This is NOT a sourced or certified club-brand HEX value.</t>
      </text>
    </comment>
    <comment authorId="0" ref="D534">
      <text>
        <t xml:space="preserve">Illustrative generic shade assigned to this colour name for display. This is NOT a sourced or certified club-brand HEX value.</t>
      </text>
    </comment>
    <comment authorId="0" ref="E534">
      <text>
        <t xml:space="preserve">Illustrative generic shade assigned to this colour name for display. This is NOT a sourced or certified club-brand HEX value.</t>
      </text>
    </comment>
    <comment authorId="0" ref="F534">
      <text>
        <t xml:space="preserve">Illustrative generic shade assigned to this colour name for display. This is NOT a sourced or certified club-brand HEX value.</t>
      </text>
    </comment>
    <comment authorId="0" ref="E402">
      <text>
        <t xml:space="preserve">Illustrative generic shade assigned to this colour name for display. This is NOT a sourced or certified club-brand HEX value.</t>
      </text>
    </comment>
    <comment authorId="0" ref="F402">
      <text>
        <t xml:space="preserve">Illustrative generic shade assigned to this colour name for display. This is NOT a sourced or certified club-brand HEX value.</t>
      </text>
    </comment>
    <comment authorId="0" ref="C270">
      <text>
        <t xml:space="preserve">Illustrative generic shade assigned to this colour name for display. This is NOT a sourced or certified club-brand HEX value.</t>
      </text>
    </comment>
    <comment authorId="0" ref="D270">
      <text>
        <t xml:space="preserve">Illustrative generic shade assigned to this colour name for display. This is NOT a sourced or certified club-brand HEX value.</t>
      </text>
    </comment>
    <comment authorId="0" ref="E270">
      <text>
        <t xml:space="preserve">Illustrative generic shade assigned to this colour name for display. This is NOT a sourced or certified club-brand HEX value.</t>
      </text>
    </comment>
    <comment authorId="0" ref="F270">
      <text>
        <t xml:space="preserve">Illustrative generic shade assigned to this colour name for display. This is NOT a sourced or certified club-brand HEX value.</t>
      </text>
    </comment>
    <comment authorId="0" ref="C138">
      <text>
        <t xml:space="preserve">Illustrative generic shade assigned to this colour name for display. This is NOT a sourced or certified club-brand HEX value.</t>
      </text>
    </comment>
    <comment authorId="0" ref="D138">
      <text>
        <t xml:space="preserve">Illustrative generic shade assigned to this colour name for display. This is NOT a sourced or certified club-brand HEX value.</t>
      </text>
    </comment>
    <comment authorId="0" ref="E138">
      <text>
        <t xml:space="preserve">Illustrative generic shade assigned to this colour name for display. This is NOT a sourced or certified club-brand HEX value.</t>
      </text>
    </comment>
    <comment authorId="0" ref="F138">
      <text>
        <t xml:space="preserve">Illustrative generic shade assigned to this colour name for display. This is NOT a sourced or certified club-brand HEX value.</t>
      </text>
    </comment>
    <comment authorId="0" ref="C667">
      <text>
        <t xml:space="preserve">Illustrative generic shade assigned to this colour name for display. This is NOT a sourced or certified club-brand HEX value.</t>
      </text>
    </comment>
    <comment authorId="0" ref="D667">
      <text>
        <t xml:space="preserve">Illustrative generic shade assigned to this colour name for display. This is NOT a sourced or certified club-brand HEX value.</t>
      </text>
    </comment>
    <comment authorId="0" ref="E667">
      <text>
        <t xml:space="preserve">Illustrative generic shade assigned to this colour name for display. This is NOT a sourced or certified club-brand HEX value.</t>
      </text>
    </comment>
    <comment authorId="0" ref="F667">
      <text>
        <t xml:space="preserve">Illustrative generic shade assigned to this colour name for display. This is NOT a sourced or certified club-brand HEX value.</t>
      </text>
    </comment>
    <comment authorId="0" ref="C535">
      <text>
        <t xml:space="preserve">Illustrative generic shade assigned to this colour name for display. This is NOT a sourced or certified club-brand HEX value.</t>
      </text>
    </comment>
    <comment authorId="0" ref="D535">
      <text>
        <t xml:space="preserve">Illustrative generic shade assigned to this colour name for display. This is NOT a sourced or certified club-brand HEX value.</t>
      </text>
    </comment>
    <comment authorId="0" ref="E535">
      <text>
        <t xml:space="preserve">Illustrative generic shade assigned to this colour name for display. This is NOT a sourced or certified club-brand HEX value.</t>
      </text>
    </comment>
    <comment authorId="0" ref="F535">
      <text>
        <t xml:space="preserve">Illustrative generic shade assigned to this colour name for display. This is NOT a sourced or certified club-brand HEX value.</t>
      </text>
    </comment>
    <comment authorId="0" ref="E403">
      <text>
        <t xml:space="preserve">Illustrative generic shade assigned to this colour name for display. This is NOT a sourced or certified club-brand HEX value.</t>
      </text>
    </comment>
    <comment authorId="0" ref="F403">
      <text>
        <t xml:space="preserve">Illustrative generic shade assigned to this colour name for display. This is NOT a sourced or certified club-brand HEX value.</t>
      </text>
    </comment>
    <comment authorId="0" ref="C271">
      <text>
        <t xml:space="preserve">Illustrative generic shade assigned to this colour name for display. This is NOT a sourced or certified club-brand HEX value.</t>
      </text>
    </comment>
    <comment authorId="0" ref="D271">
      <text>
        <t xml:space="preserve">Illustrative generic shade assigned to this colour name for display. This is NOT a sourced or certified club-brand HEX value.</t>
      </text>
    </comment>
    <comment authorId="0" ref="E271">
      <text>
        <t xml:space="preserve">Illustrative generic shade assigned to this colour name for display. This is NOT a sourced or certified club-brand HEX value.</t>
      </text>
    </comment>
    <comment authorId="0" ref="F271">
      <text>
        <t xml:space="preserve">Illustrative generic shade assigned to this colour name for display. This is NOT a sourced or certified club-brand HEX value.</t>
      </text>
    </comment>
    <comment authorId="0" ref="C139">
      <text>
        <t xml:space="preserve">Illustrative generic shade assigned to this colour name for display. This is NOT a sourced or certified club-brand HEX value.</t>
      </text>
    </comment>
    <comment authorId="0" ref="D139">
      <text>
        <t xml:space="preserve">Illustrative generic shade assigned to this colour name for display. This is NOT a sourced or certified club-brand HEX value.</t>
      </text>
    </comment>
    <comment authorId="0" ref="E139">
      <text>
        <t xml:space="preserve">Illustrative generic shade assigned to this colour name for display. This is NOT a sourced or certified club-brand HEX value.</t>
      </text>
    </comment>
    <comment authorId="0" ref="F139">
      <text>
        <t xml:space="preserve">Illustrative generic shade assigned to this colour name for display. This is NOT a sourced or certified club-brand HEX value.</t>
      </text>
    </comment>
    <comment authorId="0" ref="C7">
      <text>
        <t xml:space="preserve">Illustrative generic shade assigned to this colour name for display. This is NOT a sourced or certified club-brand HEX value.</t>
      </text>
    </comment>
    <comment authorId="0" ref="D7">
      <text>
        <t xml:space="preserve">Illustrative generic shade assigned to this colour name for display. This is NOT a sourced or certified club-brand HEX value.</t>
      </text>
    </comment>
    <comment authorId="0" ref="E7">
      <text>
        <t xml:space="preserve">Illustrative generic shade assigned to this colour name for display. This is NOT a sourced or certified club-brand HEX value.</t>
      </text>
    </comment>
    <comment authorId="0" ref="F7">
      <text>
        <t xml:space="preserve">Illustrative generic shade assigned to this colour name for display. This is NOT a sourced or certified club-brand HEX value.</t>
      </text>
    </comment>
    <comment authorId="0" ref="E668">
      <text>
        <t xml:space="preserve">Illustrative generic shade assigned to this colour name for display. This is NOT a sourced or certified club-brand HEX value.</t>
      </text>
    </comment>
    <comment authorId="0" ref="F668">
      <text>
        <t xml:space="preserve">Illustrative generic shade assigned to this colour name for display. This is NOT a sourced or certified club-brand HEX value.</t>
      </text>
    </comment>
    <comment authorId="0" ref="C536">
      <text>
        <t xml:space="preserve">Illustrative generic shade assigned to this colour name for display. This is NOT a sourced or certified club-brand HEX value.</t>
      </text>
    </comment>
    <comment authorId="0" ref="D536">
      <text>
        <t xml:space="preserve">Illustrative generic shade assigned to this colour name for display. This is NOT a sourced or certified club-brand HEX value.</t>
      </text>
    </comment>
    <comment authorId="0" ref="E536">
      <text>
        <t xml:space="preserve">Illustrative generic shade assigned to this colour name for display. This is NOT a sourced or certified club-brand HEX value.</t>
      </text>
    </comment>
    <comment authorId="0" ref="F536">
      <text>
        <t xml:space="preserve">Illustrative generic shade assigned to this colour name for display. This is NOT a sourced or certified club-brand HEX value.</t>
      </text>
    </comment>
    <comment authorId="0" ref="E404">
      <text>
        <t xml:space="preserve">Illustrative generic shade assigned to this colour name for display. This is NOT a sourced or certified club-brand HEX value.</t>
      </text>
    </comment>
    <comment authorId="0" ref="F404">
      <text>
        <t xml:space="preserve">Illustrative generic shade assigned to this colour name for display. This is NOT a sourced or certified club-brand HEX value.</t>
      </text>
    </comment>
    <comment authorId="0" ref="C272">
      <text>
        <t xml:space="preserve">Illustrative generic shade assigned to this colour name for display. This is NOT a sourced or certified club-brand HEX value.</t>
      </text>
    </comment>
    <comment authorId="0" ref="D272">
      <text>
        <t xml:space="preserve">Illustrative generic shade assigned to this colour name for display. This is NOT a sourced or certified club-brand HEX value.</t>
      </text>
    </comment>
    <comment authorId="0" ref="E272">
      <text>
        <t xml:space="preserve">Illustrative generic shade assigned to this colour name for display. This is NOT a sourced or certified club-brand HEX value.</t>
      </text>
    </comment>
    <comment authorId="0" ref="F272">
      <text>
        <t xml:space="preserve">Illustrative generic shade assigned to this colour name for display. This is NOT a sourced or certified club-brand HEX value.</t>
      </text>
    </comment>
    <comment authorId="0" ref="C140">
      <text>
        <t xml:space="preserve">Illustrative generic shade assigned to this colour name for display. This is NOT a sourced or certified club-brand HEX value.</t>
      </text>
    </comment>
    <comment authorId="0" ref="D140">
      <text>
        <t xml:space="preserve">Illustrative generic shade assigned to this colour name for display. This is NOT a sourced or certified club-brand HEX value.</t>
      </text>
    </comment>
    <comment authorId="0" ref="E140">
      <text>
        <t xml:space="preserve">Illustrative generic shade assigned to this colour name for display. This is NOT a sourced or certified club-brand HEX value.</t>
      </text>
    </comment>
    <comment authorId="0" ref="F140">
      <text>
        <t xml:space="preserve">Illustrative generic shade assigned to this colour name for display. This is NOT a sourced or certified club-brand HEX value.</t>
      </text>
    </comment>
    <comment authorId="0" ref="C8">
      <text>
        <t xml:space="preserve">Illustrative generic shade assigned to this colour name for display. This is NOT a sourced or certified club-brand HEX value.</t>
      </text>
    </comment>
    <comment authorId="0" ref="D8">
      <text>
        <t xml:space="preserve">Illustrative generic shade assigned to this colour name for display. This is NOT a sourced or certified club-brand HEX value.</t>
      </text>
    </comment>
    <comment authorId="0" ref="E8">
      <text>
        <t xml:space="preserve">Illustrative generic shade assigned to this colour name for display. This is NOT a sourced or certified club-brand HEX value.</t>
      </text>
    </comment>
    <comment authorId="0" ref="F8">
      <text>
        <t xml:space="preserve">Illustrative generic shade assigned to this colour name for display. This is NOT a sourced or certified club-brand HEX value.</t>
      </text>
    </comment>
    <comment authorId="0" ref="C669">
      <text>
        <t xml:space="preserve">Illustrative generic shade assigned to this colour name for display. This is NOT a sourced or certified club-brand HEX value.</t>
      </text>
    </comment>
    <comment authorId="0" ref="D669">
      <text>
        <t xml:space="preserve">Illustrative generic shade assigned to this colour name for display. This is NOT a sourced or certified club-brand HEX value.</t>
      </text>
    </comment>
    <comment authorId="0" ref="E669">
      <text>
        <t xml:space="preserve">Illustrative generic shade assigned to this colour name for display. This is NOT a sourced or certified club-brand HEX value.</t>
      </text>
    </comment>
    <comment authorId="0" ref="F669">
      <text>
        <t xml:space="preserve">Illustrative generic shade assigned to this colour name for display. This is NOT a sourced or certified club-brand HEX value.</t>
      </text>
    </comment>
    <comment authorId="0" ref="E537">
      <text>
        <t xml:space="preserve">Illustrative generic shade assigned to this colour name for display. This is NOT a sourced or certified club-brand HEX value.</t>
      </text>
    </comment>
    <comment authorId="0" ref="F537">
      <text>
        <t xml:space="preserve">Illustrative generic shade assigned to this colour name for display. This is NOT a sourced or certified club-brand HEX value.</t>
      </text>
    </comment>
    <comment authorId="0" ref="E405">
      <text>
        <t xml:space="preserve">Illustrative generic shade assigned to this colour name for display. This is NOT a sourced or certified club-brand HEX value.</t>
      </text>
    </comment>
    <comment authorId="0" ref="F405">
      <text>
        <t xml:space="preserve">Illustrative generic shade assigned to this colour name for display. This is NOT a sourced or certified club-brand HEX value.</t>
      </text>
    </comment>
    <comment authorId="0" ref="C273">
      <text>
        <t xml:space="preserve">Illustrative generic shade assigned to this colour name for display. This is NOT a sourced or certified club-brand HEX value.</t>
      </text>
    </comment>
    <comment authorId="0" ref="D273">
      <text>
        <t xml:space="preserve">Illustrative generic shade assigned to this colour name for display. This is NOT a sourced or certified club-brand HEX value.</t>
      </text>
    </comment>
    <comment authorId="0" ref="E273">
      <text>
        <t xml:space="preserve">Illustrative generic shade assigned to this colour name for display. This is NOT a sourced or certified club-brand HEX value.</t>
      </text>
    </comment>
    <comment authorId="0" ref="F273">
      <text>
        <t xml:space="preserve">Illustrative generic shade assigned to this colour name for display. This is NOT a sourced or certified club-brand HEX value.</t>
      </text>
    </comment>
    <comment authorId="0" ref="C141">
      <text>
        <t xml:space="preserve">Illustrative generic shade assigned to this colour name for display. This is NOT a sourced or certified club-brand HEX value.</t>
      </text>
    </comment>
    <comment authorId="0" ref="D141">
      <text>
        <t xml:space="preserve">Illustrative generic shade assigned to this colour name for display. This is NOT a sourced or certified club-brand HEX value.</t>
      </text>
    </comment>
    <comment authorId="0" ref="E141">
      <text>
        <t xml:space="preserve">Illustrative generic shade assigned to this colour name for display. This is NOT a sourced or certified club-brand HEX value.</t>
      </text>
    </comment>
    <comment authorId="0" ref="F141">
      <text>
        <t xml:space="preserve">Illustrative generic shade assigned to this colour name for display. This is NOT a sourced or certified club-brand HEX value.</t>
      </text>
    </comment>
    <comment authorId="0" ref="C9">
      <text>
        <t xml:space="preserve">Illustrative generic shade assigned to this colour name for display. This is NOT a sourced or certified club-brand HEX value.</t>
      </text>
    </comment>
    <comment authorId="0" ref="D9">
      <text>
        <t xml:space="preserve">Illustrative generic shade assigned to this colour name for display. This is NOT a sourced or certified club-brand HEX value.</t>
      </text>
    </comment>
    <comment authorId="0" ref="E9">
      <text>
        <t xml:space="preserve">Illustrative generic shade assigned to this colour name for display. This is NOT a sourced or certified club-brand HEX value.</t>
      </text>
    </comment>
    <comment authorId="0" ref="F9">
      <text>
        <t xml:space="preserve">Illustrative generic shade assigned to this colour name for display. This is NOT a sourced or certified club-brand HEX value.</t>
      </text>
    </comment>
    <comment authorId="0" ref="C670">
      <text>
        <t xml:space="preserve">Illustrative generic shade assigned to this colour name for display. This is NOT a sourced or certified club-brand HEX value.</t>
      </text>
    </comment>
    <comment authorId="0" ref="D670">
      <text>
        <t xml:space="preserve">Illustrative generic shade assigned to this colour name for display. This is NOT a sourced or certified club-brand HEX value.</t>
      </text>
    </comment>
    <comment authorId="0" ref="E670">
      <text>
        <t xml:space="preserve">Illustrative generic shade assigned to this colour name for display. This is NOT a sourced or certified club-brand HEX value.</t>
      </text>
    </comment>
    <comment authorId="0" ref="F670">
      <text>
        <t xml:space="preserve">Illustrative generic shade assigned to this colour name for display. This is NOT a sourced or certified club-brand HEX value.</t>
      </text>
    </comment>
    <comment authorId="0" ref="E538">
      <text>
        <t xml:space="preserve">Illustrative generic shade assigned to this colour name for display. This is NOT a sourced or certified club-brand HEX value.</t>
      </text>
    </comment>
    <comment authorId="0" ref="F538">
      <text>
        <t xml:space="preserve">Illustrative generic shade assigned to this colour name for display. This is NOT a sourced or certified club-brand HEX value.</t>
      </text>
    </comment>
    <comment authorId="0" ref="E406">
      <text>
        <t xml:space="preserve">Illustrative generic shade assigned to this colour name for display. This is NOT a sourced or certified club-brand HEX value.</t>
      </text>
    </comment>
    <comment authorId="0" ref="F406">
      <text>
        <t xml:space="preserve">Illustrative generic shade assigned to this colour name for display. This is NOT a sourced or certified club-brand HEX value.</t>
      </text>
    </comment>
    <comment authorId="0" ref="C274">
      <text>
        <t xml:space="preserve">Illustrative generic shade assigned to this colour name for display. This is NOT a sourced or certified club-brand HEX value.</t>
      </text>
    </comment>
    <comment authorId="0" ref="D274">
      <text>
        <t xml:space="preserve">Illustrative generic shade assigned to this colour name for display. This is NOT a sourced or certified club-brand HEX value.</t>
      </text>
    </comment>
    <comment authorId="0" ref="E274">
      <text>
        <t xml:space="preserve">Illustrative generic shade assigned to this colour name for display. This is NOT a sourced or certified club-brand HEX value.</t>
      </text>
    </comment>
    <comment authorId="0" ref="F274">
      <text>
        <t xml:space="preserve">Illustrative generic shade assigned to this colour name for display. This is NOT a sourced or certified club-brand HEX value.</t>
      </text>
    </comment>
    <comment authorId="0" ref="C142">
      <text>
        <t xml:space="preserve">Illustrative generic shade assigned to this colour name for display. This is NOT a sourced or certified club-brand HEX value.</t>
      </text>
    </comment>
    <comment authorId="0" ref="D142">
      <text>
        <t xml:space="preserve">Illustrative generic shade assigned to this colour name for display. This is NOT a sourced or certified club-brand HEX value.</t>
      </text>
    </comment>
    <comment authorId="0" ref="E142">
      <text>
        <t xml:space="preserve">Illustrative generic shade assigned to this colour name for display. This is NOT a sourced or certified club-brand HEX value.</t>
      </text>
    </comment>
    <comment authorId="0" ref="F142">
      <text>
        <t xml:space="preserve">Illustrative generic shade assigned to this colour name for display. This is NOT a sourced or certified club-brand HEX value.</t>
      </text>
    </comment>
    <comment authorId="0" ref="C10">
      <text>
        <t xml:space="preserve">Illustrative generic shade assigned to this colour name for display. This is NOT a sourced or certified club-brand HEX value.</t>
      </text>
    </comment>
    <comment authorId="0" ref="D10">
      <text>
        <t xml:space="preserve">Illustrative generic shade assigned to this colour name for display. This is NOT a sourced or certified club-brand HEX value.</t>
      </text>
    </comment>
    <comment authorId="0" ref="E10">
      <text>
        <t xml:space="preserve">Illustrative generic shade assigned to this colour name for display. This is NOT a sourced or certified club-brand HEX value.</t>
      </text>
    </comment>
    <comment authorId="0" ref="F10">
      <text>
        <t xml:space="preserve">Illustrative generic shade assigned to this colour name for display. This is NOT a sourced or certified club-brand HEX value.</t>
      </text>
    </comment>
    <comment authorId="0" ref="C671">
      <text>
        <t xml:space="preserve">Illustrative generic shade assigned to this colour name for display. This is NOT a sourced or certified club-brand HEX value.</t>
      </text>
    </comment>
    <comment authorId="0" ref="D671">
      <text>
        <t xml:space="preserve">Illustrative generic shade assigned to this colour name for display. This is NOT a sourced or certified club-brand HEX value.</t>
      </text>
    </comment>
    <comment authorId="0" ref="E671">
      <text>
        <t xml:space="preserve">Illustrative generic shade assigned to this colour name for display. This is NOT a sourced or certified club-brand HEX value.</t>
      </text>
    </comment>
    <comment authorId="0" ref="F671">
      <text>
        <t xml:space="preserve">Illustrative generic shade assigned to this colour name for display. This is NOT a sourced or certified club-brand HEX value.</t>
      </text>
    </comment>
    <comment authorId="0" ref="C539">
      <text>
        <t xml:space="preserve">Illustrative generic shade assigned to this colour name for display. This is NOT a sourced or certified club-brand HEX value.</t>
      </text>
    </comment>
    <comment authorId="0" ref="D539">
      <text>
        <t xml:space="preserve">Illustrative generic shade assigned to this colour name for display. This is NOT a sourced or certified club-brand HEX value.</t>
      </text>
    </comment>
    <comment authorId="0" ref="E539">
      <text>
        <t xml:space="preserve">Illustrative generic shade assigned to this colour name for display. This is NOT a sourced or certified club-brand HEX value.</t>
      </text>
    </comment>
    <comment authorId="0" ref="F539">
      <text>
        <t xml:space="preserve">Illustrative generic shade assigned to this colour name for display. This is NOT a sourced or certified club-brand HEX value.</t>
      </text>
    </comment>
    <comment authorId="0" ref="C407">
      <text>
        <t xml:space="preserve">Illustrative generic shade assigned to this colour name for display. This is NOT a sourced or certified club-brand HEX value.</t>
      </text>
    </comment>
    <comment authorId="0" ref="D407">
      <text>
        <t xml:space="preserve">Illustrative generic shade assigned to this colour name for display. This is NOT a sourced or certified club-brand HEX value.</t>
      </text>
    </comment>
    <comment authorId="0" ref="E407">
      <text>
        <t xml:space="preserve">Illustrative generic shade assigned to this colour name for display. This is NOT a sourced or certified club-brand HEX value.</t>
      </text>
    </comment>
    <comment authorId="0" ref="F407">
      <text>
        <t xml:space="preserve">Illustrative generic shade assigned to this colour name for display. This is NOT a sourced or certified club-brand HEX value.</t>
      </text>
    </comment>
    <comment authorId="0" ref="C275">
      <text>
        <t xml:space="preserve">Illustrative generic shade assigned to this colour name for display. This is NOT a sourced or certified club-brand HEX value.</t>
      </text>
    </comment>
    <comment authorId="0" ref="D275">
      <text>
        <t xml:space="preserve">Illustrative generic shade assigned to this colour name for display. This is NOT a sourced or certified club-brand HEX value.</t>
      </text>
    </comment>
    <comment authorId="0" ref="E275">
      <text>
        <t xml:space="preserve">Illustrative generic shade assigned to this colour name for display. This is NOT a sourced or certified club-brand HEX value.</t>
      </text>
    </comment>
    <comment authorId="0" ref="F275">
      <text>
        <t xml:space="preserve">Illustrative generic shade assigned to this colour name for display. This is NOT a sourced or certified club-brand HEX value.</t>
      </text>
    </comment>
    <comment authorId="0" ref="C143">
      <text>
        <t xml:space="preserve">Illustrative generic shade assigned to this colour name for display. This is NOT a sourced or certified club-brand HEX value.</t>
      </text>
    </comment>
    <comment authorId="0" ref="D143">
      <text>
        <t xml:space="preserve">Illustrative generic shade assigned to this colour name for display. This is NOT a sourced or certified club-brand HEX value.</t>
      </text>
    </comment>
    <comment authorId="0" ref="E143">
      <text>
        <t xml:space="preserve">Illustrative generic shade assigned to this colour name for display. This is NOT a sourced or certified club-brand HEX value.</t>
      </text>
    </comment>
    <comment authorId="0" ref="F143">
      <text>
        <t xml:space="preserve">Illustrative generic shade assigned to this colour name for display. This is NOT a sourced or certified club-brand HEX value.</t>
      </text>
    </comment>
    <comment authorId="0" ref="C11">
      <text>
        <t xml:space="preserve">Illustrative generic shade assigned to this colour name for display. This is NOT a sourced or certified club-brand HEX value.</t>
      </text>
    </comment>
    <comment authorId="0" ref="D11">
      <text>
        <t xml:space="preserve">Illustrative generic shade assigned to this colour name for display. This is NOT a sourced or certified club-brand HEX value.</t>
      </text>
    </comment>
    <comment authorId="0" ref="E11">
      <text>
        <t xml:space="preserve">Illustrative generic shade assigned to this colour name for display. This is NOT a sourced or certified club-brand HEX value.</t>
      </text>
    </comment>
    <comment authorId="0" ref="F11">
      <text>
        <t xml:space="preserve">Illustrative generic shade assigned to this colour name for display. This is NOT a sourced or certified club-brand HEX value.</t>
      </text>
    </comment>
    <comment authorId="0" ref="C672">
      <text>
        <t xml:space="preserve">Illustrative generic shade assigned to this colour name for display. This is NOT a sourced or certified club-brand HEX value.</t>
      </text>
    </comment>
    <comment authorId="0" ref="D672">
      <text>
        <t xml:space="preserve">Illustrative generic shade assigned to this colour name for display. This is NOT a sourced or certified club-brand HEX value.</t>
      </text>
    </comment>
    <comment authorId="0" ref="E672">
      <text>
        <t xml:space="preserve">Illustrative generic shade assigned to this colour name for display. This is NOT a sourced or certified club-brand HEX value.</t>
      </text>
    </comment>
    <comment authorId="0" ref="F672">
      <text>
        <t xml:space="preserve">Illustrative generic shade assigned to this colour name for display. This is NOT a sourced or certified club-brand HEX value.</t>
      </text>
    </comment>
    <comment authorId="0" ref="E540">
      <text>
        <t xml:space="preserve">Illustrative generic shade assigned to this colour name for display. This is NOT a sourced or certified club-brand HEX value.</t>
      </text>
    </comment>
    <comment authorId="0" ref="F540">
      <text>
        <t xml:space="preserve">Illustrative generic shade assigned to this colour name for display. This is NOT a sourced or certified club-brand HEX value.</t>
      </text>
    </comment>
    <comment authorId="0" ref="E408">
      <text>
        <t xml:space="preserve">Illustrative generic shade assigned to this colour name for display. This is NOT a sourced or certified club-brand HEX value.</t>
      </text>
    </comment>
    <comment authorId="0" ref="F408">
      <text>
        <t xml:space="preserve">Illustrative generic shade assigned to this colour name for display. This is NOT a sourced or certified club-brand HEX value.</t>
      </text>
    </comment>
    <comment authorId="0" ref="C276">
      <text>
        <t xml:space="preserve">Illustrative generic shade assigned to this colour name for display. This is NOT a sourced or certified club-brand HEX value.</t>
      </text>
    </comment>
    <comment authorId="0" ref="D276">
      <text>
        <t xml:space="preserve">Illustrative generic shade assigned to this colour name for display. This is NOT a sourced or certified club-brand HEX value.</t>
      </text>
    </comment>
    <comment authorId="0" ref="E276">
      <text>
        <t xml:space="preserve">Illustrative generic shade assigned to this colour name for display. This is NOT a sourced or certified club-brand HEX value.</t>
      </text>
    </comment>
    <comment authorId="0" ref="F276">
      <text>
        <t xml:space="preserve">Illustrative generic shade assigned to this colour name for display. This is NOT a sourced or certified club-brand HEX value.</t>
      </text>
    </comment>
    <comment authorId="0" ref="C144">
      <text>
        <t xml:space="preserve">Illustrative generic shade assigned to this colour name for display. This is NOT a sourced or certified club-brand HEX value.</t>
      </text>
    </comment>
    <comment authorId="0" ref="D144">
      <text>
        <t xml:space="preserve">Illustrative generic shade assigned to this colour name for display. This is NOT a sourced or certified club-brand HEX value.</t>
      </text>
    </comment>
    <comment authorId="0" ref="E144">
      <text>
        <t xml:space="preserve">Illustrative generic shade assigned to this colour name for display. This is NOT a sourced or certified club-brand HEX value.</t>
      </text>
    </comment>
    <comment authorId="0" ref="F144">
      <text>
        <t xml:space="preserve">Illustrative generic shade assigned to this colour name for display. This is NOT a sourced or certified club-brand HEX value.</t>
      </text>
    </comment>
    <comment authorId="0" ref="C12">
      <text>
        <t xml:space="preserve">Illustrative generic shade assigned to this colour name for display. This is NOT a sourced or certified club-brand HEX value.</t>
      </text>
    </comment>
    <comment authorId="0" ref="D12">
      <text>
        <t xml:space="preserve">Illustrative generic shade assigned to this colour name for display. This is NOT a sourced or certified club-brand HEX value.</t>
      </text>
    </comment>
    <comment authorId="0" ref="E12">
      <text>
        <t xml:space="preserve">Illustrative generic shade assigned to this colour name for display. This is NOT a sourced or certified club-brand HEX value.</t>
      </text>
    </comment>
    <comment authorId="0" ref="F12">
      <text>
        <t xml:space="preserve">Illustrative generic shade assigned to this colour name for display. This is NOT a sourced or certified club-brand HEX value.</t>
      </text>
    </comment>
    <comment authorId="0" ref="C673">
      <text>
        <t xml:space="preserve">Illustrative generic shade assigned to this colour name for display. This is NOT a sourced or certified club-brand HEX value.</t>
      </text>
    </comment>
    <comment authorId="0" ref="D673">
      <text>
        <t xml:space="preserve">Illustrative generic shade assigned to this colour name for display. This is NOT a sourced or certified club-brand HEX value.</t>
      </text>
    </comment>
    <comment authorId="0" ref="E673">
      <text>
        <t xml:space="preserve">Illustrative generic shade assigned to this colour name for display. This is NOT a sourced or certified club-brand HEX value.</t>
      </text>
    </comment>
    <comment authorId="0" ref="F673">
      <text>
        <t xml:space="preserve">Illustrative generic shade assigned to this colour name for display. This is NOT a sourced or certified club-brand HEX value.</t>
      </text>
    </comment>
    <comment authorId="0" ref="E541">
      <text>
        <t xml:space="preserve">Illustrative generic shade assigned to this colour name for display. This is NOT a sourced or certified club-brand HEX value.</t>
      </text>
    </comment>
    <comment authorId="0" ref="F541">
      <text>
        <t xml:space="preserve">Illustrative generic shade assigned to this colour name for display. This is NOT a sourced or certified club-brand HEX value.</t>
      </text>
    </comment>
    <comment authorId="0" ref="E409">
      <text>
        <t xml:space="preserve">Illustrative generic shade assigned to this colour name for display. This is NOT a sourced or certified club-brand HEX value.</t>
      </text>
    </comment>
    <comment authorId="0" ref="F409">
      <text>
        <t xml:space="preserve">Illustrative generic shade assigned to this colour name for display. This is NOT a sourced or certified club-brand HEX value.</t>
      </text>
    </comment>
    <comment authorId="0" ref="C277">
      <text>
        <t xml:space="preserve">Illustrative generic shade assigned to this colour name for display. This is NOT a sourced or certified club-brand HEX value.</t>
      </text>
    </comment>
    <comment authorId="0" ref="D277">
      <text>
        <t xml:space="preserve">Illustrative generic shade assigned to this colour name for display. This is NOT a sourced or certified club-brand HEX value.</t>
      </text>
    </comment>
    <comment authorId="0" ref="E277">
      <text>
        <t xml:space="preserve">Illustrative generic shade assigned to this colour name for display. This is NOT a sourced or certified club-brand HEX value.</t>
      </text>
    </comment>
    <comment authorId="0" ref="F277">
      <text>
        <t xml:space="preserve">Illustrative generic shade assigned to this colour name for display. This is NOT a sourced or certified club-brand HEX value.</t>
      </text>
    </comment>
    <comment authorId="0" ref="C145">
      <text>
        <t xml:space="preserve">Illustrative generic shade assigned to this colour name for display. This is NOT a sourced or certified club-brand HEX value.</t>
      </text>
    </comment>
    <comment authorId="0" ref="D145">
      <text>
        <t xml:space="preserve">Illustrative generic shade assigned to this colour name for display. This is NOT a sourced or certified club-brand HEX value.</t>
      </text>
    </comment>
    <comment authorId="0" ref="E145">
      <text>
        <t xml:space="preserve">Illustrative generic shade assigned to this colour name for display. This is NOT a sourced or certified club-brand HEX value.</t>
      </text>
    </comment>
    <comment authorId="0" ref="F145">
      <text>
        <t xml:space="preserve">Illustrative generic shade assigned to this colour name for display. This is NOT a sourced or certified club-brand HEX value.</t>
      </text>
    </comment>
    <comment authorId="0" ref="C13">
      <text>
        <t xml:space="preserve">Illustrative generic shade assigned to this colour name for display. This is NOT a sourced or certified club-brand HEX value.</t>
      </text>
    </comment>
    <comment authorId="0" ref="D13">
      <text>
        <t xml:space="preserve">Illustrative generic shade assigned to this colour name for display. This is NOT a sourced or certified club-brand HEX value.</t>
      </text>
    </comment>
    <comment authorId="0" ref="E13">
      <text>
        <t xml:space="preserve">Illustrative generic shade assigned to this colour name for display. This is NOT a sourced or certified club-brand HEX value.</t>
      </text>
    </comment>
    <comment authorId="0" ref="F13">
      <text>
        <t xml:space="preserve">Illustrative generic shade assigned to this colour name for display. This is NOT a sourced or certified club-brand HEX value.</t>
      </text>
    </comment>
    <comment authorId="0" ref="C674">
      <text>
        <t xml:space="preserve">Illustrative generic shade assigned to this colour name for display. This is NOT a sourced or certified club-brand HEX value.</t>
      </text>
    </comment>
    <comment authorId="0" ref="D674">
      <text>
        <t xml:space="preserve">Illustrative generic shade assigned to this colour name for display. This is NOT a sourced or certified club-brand HEX value.</t>
      </text>
    </comment>
    <comment authorId="0" ref="E674">
      <text>
        <t xml:space="preserve">Illustrative generic shade assigned to this colour name for display. This is NOT a sourced or certified club-brand HEX value.</t>
      </text>
    </comment>
    <comment authorId="0" ref="F674">
      <text>
        <t xml:space="preserve">Illustrative generic shade assigned to this colour name for display. This is NOT a sourced or certified club-brand HEX value.</t>
      </text>
    </comment>
    <comment authorId="0" ref="C542">
      <text>
        <t xml:space="preserve">Illustrative generic shade assigned to this colour name for display. This is NOT a sourced or certified club-brand HEX value.</t>
      </text>
    </comment>
    <comment authorId="0" ref="D542">
      <text>
        <t xml:space="preserve">Illustrative generic shade assigned to this colour name for display. This is NOT a sourced or certified club-brand HEX value.</t>
      </text>
    </comment>
    <comment authorId="0" ref="E542">
      <text>
        <t xml:space="preserve">Illustrative generic shade assigned to this colour name for display. This is NOT a sourced or certified club-brand HEX value.</t>
      </text>
    </comment>
    <comment authorId="0" ref="F542">
      <text>
        <t xml:space="preserve">Illustrative generic shade assigned to this colour name for display. This is NOT a sourced or certified club-brand HEX value.</t>
      </text>
    </comment>
    <comment authorId="0" ref="C410">
      <text>
        <t xml:space="preserve">Illustrative generic shade assigned to this colour name for display. This is NOT a sourced or certified club-brand HEX value.</t>
      </text>
    </comment>
    <comment authorId="0" ref="D410">
      <text>
        <t xml:space="preserve">Illustrative generic shade assigned to this colour name for display. This is NOT a sourced or certified club-brand HEX value.</t>
      </text>
    </comment>
    <comment authorId="0" ref="E410">
      <text>
        <t xml:space="preserve">Illustrative generic shade assigned to this colour name for display. This is NOT a sourced or certified club-brand HEX value.</t>
      </text>
    </comment>
    <comment authorId="0" ref="F410">
      <text>
        <t xml:space="preserve">Illustrative generic shade assigned to this colour name for display. This is NOT a sourced or certified club-brand HEX value.</t>
      </text>
    </comment>
    <comment authorId="0" ref="C278">
      <text>
        <t xml:space="preserve">Illustrative generic shade assigned to this colour name for display. This is NOT a sourced or certified club-brand HEX value.</t>
      </text>
    </comment>
    <comment authorId="0" ref="D278">
      <text>
        <t xml:space="preserve">Illustrative generic shade assigned to this colour name for display. This is NOT a sourced or certified club-brand HEX value.</t>
      </text>
    </comment>
    <comment authorId="0" ref="E278">
      <text>
        <t xml:space="preserve">Illustrative generic shade assigned to this colour name for display. This is NOT a sourced or certified club-brand HEX value.</t>
      </text>
    </comment>
    <comment authorId="0" ref="F278">
      <text>
        <t xml:space="preserve">Illustrative generic shade assigned to this colour name for display. This is NOT a sourced or certified club-brand HEX value.</t>
      </text>
    </comment>
    <comment authorId="0" ref="C146">
      <text>
        <t xml:space="preserve">Illustrative generic shade assigned to this colour name for display. This is NOT a sourced or certified club-brand HEX value.</t>
      </text>
    </comment>
    <comment authorId="0" ref="D146">
      <text>
        <t xml:space="preserve">Illustrative generic shade assigned to this colour name for display. This is NOT a sourced or certified club-brand HEX value.</t>
      </text>
    </comment>
    <comment authorId="0" ref="E146">
      <text>
        <t xml:space="preserve">Illustrative generic shade assigned to this colour name for display. This is NOT a sourced or certified club-brand HEX value.</t>
      </text>
    </comment>
    <comment authorId="0" ref="F146">
      <text>
        <t xml:space="preserve">Illustrative generic shade assigned to this colour name for display. This is NOT a sourced or certified club-brand HEX value.</t>
      </text>
    </comment>
    <comment authorId="0" ref="C14">
      <text>
        <t xml:space="preserve">Illustrative generic shade assigned to this colour name for display. This is NOT a sourced or certified club-brand HEX value.</t>
      </text>
    </comment>
    <comment authorId="0" ref="D14">
      <text>
        <t xml:space="preserve">Illustrative generic shade assigned to this colour name for display. This is NOT a sourced or certified club-brand HEX value.</t>
      </text>
    </comment>
    <comment authorId="0" ref="E14">
      <text>
        <t xml:space="preserve">Illustrative generic shade assigned to this colour name for display. This is NOT a sourced or certified club-brand HEX value.</t>
      </text>
    </comment>
    <comment authorId="0" ref="F14">
      <text>
        <t xml:space="preserve">Illustrative generic shade assigned to this colour name for display. This is NOT a sourced or certified club-brand HEX value.</t>
      </text>
    </comment>
    <comment authorId="0" ref="C675">
      <text>
        <t xml:space="preserve">Illustrative generic shade assigned to this colour name for display. This is NOT a sourced or certified club-brand HEX value.</t>
      </text>
    </comment>
    <comment authorId="0" ref="D675">
      <text>
        <t xml:space="preserve">Illustrative generic shade assigned to this colour name for display. This is NOT a sourced or certified club-brand HEX value.</t>
      </text>
    </comment>
    <comment authorId="0" ref="E675">
      <text>
        <t xml:space="preserve">Illustrative generic shade assigned to this colour name for display. This is NOT a sourced or certified club-brand HEX value.</t>
      </text>
    </comment>
    <comment authorId="0" ref="F675">
      <text>
        <t xml:space="preserve">Illustrative generic shade assigned to this colour name for display. This is NOT a sourced or certified club-brand HEX value.</t>
      </text>
    </comment>
    <comment authorId="0" ref="E543">
      <text>
        <t xml:space="preserve">Illustrative generic shade assigned to this colour name for display. This is NOT a sourced or certified club-brand HEX value.</t>
      </text>
    </comment>
    <comment authorId="0" ref="F543">
      <text>
        <t xml:space="preserve">Illustrative generic shade assigned to this colour name for display. This is NOT a sourced or certified club-brand HEX value.</t>
      </text>
    </comment>
    <comment authorId="0" ref="C411">
      <text>
        <t xml:space="preserve">Illustrative generic shade assigned to this colour name for display. This is NOT a sourced or certified club-brand HEX value.</t>
      </text>
    </comment>
    <comment authorId="0" ref="D411">
      <text>
        <t xml:space="preserve">Illustrative generic shade assigned to this colour name for display. This is NOT a sourced or certified club-brand HEX value.</t>
      </text>
    </comment>
    <comment authorId="0" ref="E411">
      <text>
        <t xml:space="preserve">Illustrative generic shade assigned to this colour name for display. This is NOT a sourced or certified club-brand HEX value.</t>
      </text>
    </comment>
    <comment authorId="0" ref="F411">
      <text>
        <t xml:space="preserve">Illustrative generic shade assigned to this colour name for display. This is NOT a sourced or certified club-brand HEX value.</t>
      </text>
    </comment>
    <comment authorId="0" ref="C279">
      <text>
        <t xml:space="preserve">Illustrative generic shade assigned to this colour name for display. This is NOT a sourced or certified club-brand HEX value.</t>
      </text>
    </comment>
    <comment authorId="0" ref="D279">
      <text>
        <t xml:space="preserve">Illustrative generic shade assigned to this colour name for display. This is NOT a sourced or certified club-brand HEX value.</t>
      </text>
    </comment>
    <comment authorId="0" ref="E279">
      <text>
        <t xml:space="preserve">Illustrative generic shade assigned to this colour name for display. This is NOT a sourced or certified club-brand HEX value.</t>
      </text>
    </comment>
    <comment authorId="0" ref="F279">
      <text>
        <t xml:space="preserve">Illustrative generic shade assigned to this colour name for display. This is NOT a sourced or certified club-brand HEX value.</t>
      </text>
    </comment>
    <comment authorId="0" ref="C147">
      <text>
        <t xml:space="preserve">Illustrative generic shade assigned to this colour name for display. This is NOT a sourced or certified club-brand HEX value.</t>
      </text>
    </comment>
    <comment authorId="0" ref="D147">
      <text>
        <t xml:space="preserve">Illustrative generic shade assigned to this colour name for display. This is NOT a sourced or certified club-brand HEX value.</t>
      </text>
    </comment>
    <comment authorId="0" ref="E147">
      <text>
        <t xml:space="preserve">Illustrative generic shade assigned to this colour name for display. This is NOT a sourced or certified club-brand HEX value.</t>
      </text>
    </comment>
    <comment authorId="0" ref="F147">
      <text>
        <t xml:space="preserve">Illustrative generic shade assigned to this colour name for display. This is NOT a sourced or certified club-brand HEX value.</t>
      </text>
    </comment>
    <comment authorId="0" ref="C15">
      <text>
        <t xml:space="preserve">Illustrative generic shade assigned to this colour name for display. This is NOT a sourced or certified club-brand HEX value.</t>
      </text>
    </comment>
    <comment authorId="0" ref="D15">
      <text>
        <t xml:space="preserve">Illustrative generic shade assigned to this colour name for display. This is NOT a sourced or certified club-brand HEX value.</t>
      </text>
    </comment>
    <comment authorId="0" ref="E15">
      <text>
        <t xml:space="preserve">Illustrative generic shade assigned to this colour name for display. This is NOT a sourced or certified club-brand HEX value.</t>
      </text>
    </comment>
    <comment authorId="0" ref="F15">
      <text>
        <t xml:space="preserve">Illustrative generic shade assigned to this colour name for display. This is NOT a sourced or certified club-brand HEX value.</t>
      </text>
    </comment>
    <comment authorId="0" ref="C676">
      <text>
        <t xml:space="preserve">Illustrative generic shade assigned to this colour name for display. This is NOT a sourced or certified club-brand HEX value.</t>
      </text>
    </comment>
    <comment authorId="0" ref="D676">
      <text>
        <t xml:space="preserve">Illustrative generic shade assigned to this colour name for display. This is NOT a sourced or certified club-brand HEX value.</t>
      </text>
    </comment>
    <comment authorId="0" ref="E676">
      <text>
        <t xml:space="preserve">Illustrative generic shade assigned to this colour name for display. This is NOT a sourced or certified club-brand HEX value.</t>
      </text>
    </comment>
    <comment authorId="0" ref="F676">
      <text>
        <t xml:space="preserve">Illustrative generic shade assigned to this colour name for display. This is NOT a sourced or certified club-brand HEX value.</t>
      </text>
    </comment>
    <comment authorId="0" ref="E544">
      <text>
        <t xml:space="preserve">Illustrative generic shade assigned to this colour name for display. This is NOT a sourced or certified club-brand HEX value.</t>
      </text>
    </comment>
    <comment authorId="0" ref="F544">
      <text>
        <t xml:space="preserve">Illustrative generic shade assigned to this colour name for display. This is NOT a sourced or certified club-brand HEX value.</t>
      </text>
    </comment>
    <comment authorId="0" ref="E412">
      <text>
        <t xml:space="preserve">Illustrative generic shade assigned to this colour name for display. This is NOT a sourced or certified club-brand HEX value.</t>
      </text>
    </comment>
    <comment authorId="0" ref="F412">
      <text>
        <t xml:space="preserve">Illustrative generic shade assigned to this colour name for display. This is NOT a sourced or certified club-brand HEX value.</t>
      </text>
    </comment>
    <comment authorId="0" ref="C280">
      <text>
        <t xml:space="preserve">Illustrative generic shade assigned to this colour name for display. This is NOT a sourced or certified club-brand HEX value.</t>
      </text>
    </comment>
    <comment authorId="0" ref="D280">
      <text>
        <t xml:space="preserve">Illustrative generic shade assigned to this colour name for display. This is NOT a sourced or certified club-brand HEX value.</t>
      </text>
    </comment>
    <comment authorId="0" ref="E280">
      <text>
        <t xml:space="preserve">Illustrative generic shade assigned to this colour name for display. This is NOT a sourced or certified club-brand HEX value.</t>
      </text>
    </comment>
    <comment authorId="0" ref="F280">
      <text>
        <t xml:space="preserve">Illustrative generic shade assigned to this colour name for display. This is NOT a sourced or certified club-brand HEX value.</t>
      </text>
    </comment>
    <comment authorId="0" ref="C148">
      <text>
        <t xml:space="preserve">Illustrative generic shade assigned to this colour name for display. This is NOT a sourced or certified club-brand HEX value.</t>
      </text>
    </comment>
    <comment authorId="0" ref="D148">
      <text>
        <t xml:space="preserve">Illustrative generic shade assigned to this colour name for display. This is NOT a sourced or certified club-brand HEX value.</t>
      </text>
    </comment>
    <comment authorId="0" ref="E148">
      <text>
        <t xml:space="preserve">Illustrative generic shade assigned to this colour name for display. This is NOT a sourced or certified club-brand HEX value.</t>
      </text>
    </comment>
    <comment authorId="0" ref="F148">
      <text>
        <t xml:space="preserve">Illustrative generic shade assigned to this colour name for display. This is NOT a sourced or certified club-brand HEX value.</t>
      </text>
    </comment>
    <comment authorId="0" ref="C16">
      <text>
        <t xml:space="preserve">Illustrative generic shade assigned to this colour name for display. This is NOT a sourced or certified club-brand HEX value.</t>
      </text>
    </comment>
    <comment authorId="0" ref="D16">
      <text>
        <t xml:space="preserve">Illustrative generic shade assigned to this colour name for display. This is NOT a sourced or certified club-brand HEX value.</t>
      </text>
    </comment>
    <comment authorId="0" ref="E16">
      <text>
        <t xml:space="preserve">Illustrative generic shade assigned to this colour name for display. This is NOT a sourced or certified club-brand HEX value.</t>
      </text>
    </comment>
    <comment authorId="0" ref="F16">
      <text>
        <t xml:space="preserve">Illustrative generic shade assigned to this colour name for display. This is NOT a sourced or certified club-brand HEX value.</t>
      </text>
    </comment>
    <comment authorId="0" ref="C677">
      <text>
        <t xml:space="preserve">Illustrative generic shade assigned to this colour name for display. This is NOT a sourced or certified club-brand HEX value.</t>
      </text>
    </comment>
    <comment authorId="0" ref="D677">
      <text>
        <t xml:space="preserve">Illustrative generic shade assigned to this colour name for display. This is NOT a sourced or certified club-brand HEX value.</t>
      </text>
    </comment>
    <comment authorId="0" ref="E677">
      <text>
        <t xml:space="preserve">Illustrative generic shade assigned to this colour name for display. This is NOT a sourced or certified club-brand HEX value.</t>
      </text>
    </comment>
    <comment authorId="0" ref="F677">
      <text>
        <t xml:space="preserve">Illustrative generic shade assigned to this colour name for display. This is NOT a sourced or certified club-brand HEX value.</t>
      </text>
    </comment>
    <comment authorId="0" ref="E545">
      <text>
        <t xml:space="preserve">Illustrative generic shade assigned to this colour name for display. This is NOT a sourced or certified club-brand HEX value.</t>
      </text>
    </comment>
    <comment authorId="0" ref="F545">
      <text>
        <t xml:space="preserve">Illustrative generic shade assigned to this colour name for display. This is NOT a sourced or certified club-brand HEX value.</t>
      </text>
    </comment>
    <comment authorId="0" ref="E413">
      <text>
        <t xml:space="preserve">Illustrative generic shade assigned to this colour name for display. This is NOT a sourced or certified club-brand HEX value.</t>
      </text>
    </comment>
    <comment authorId="0" ref="F413">
      <text>
        <t xml:space="preserve">Illustrative generic shade assigned to this colour name for display. This is NOT a sourced or certified club-brand HEX value.</t>
      </text>
    </comment>
    <comment authorId="0" ref="C281">
      <text>
        <t xml:space="preserve">Illustrative generic shade assigned to this colour name for display. This is NOT a sourced or certified club-brand HEX value.</t>
      </text>
    </comment>
    <comment authorId="0" ref="D281">
      <text>
        <t xml:space="preserve">Illustrative generic shade assigned to this colour name for display. This is NOT a sourced or certified club-brand HEX value.</t>
      </text>
    </comment>
    <comment authorId="0" ref="E281">
      <text>
        <t xml:space="preserve">Illustrative generic shade assigned to this colour name for display. This is NOT a sourced or certified club-brand HEX value.</t>
      </text>
    </comment>
    <comment authorId="0" ref="F281">
      <text>
        <t xml:space="preserve">Illustrative generic shade assigned to this colour name for display. This is NOT a sourced or certified club-brand HEX value.</t>
      </text>
    </comment>
    <comment authorId="0" ref="E149">
      <text>
        <t xml:space="preserve">Illustrative generic shade assigned to this colour name for display. This is NOT a sourced or certified club-brand HEX value.</t>
      </text>
    </comment>
    <comment authorId="0" ref="F149">
      <text>
        <t xml:space="preserve">Illustrative generic shade assigned to this colour name for display. This is NOT a sourced or certified club-brand HEX value.</t>
      </text>
    </comment>
    <comment authorId="0" ref="C17">
      <text>
        <t xml:space="preserve">Illustrative generic shade assigned to this colour name for display. This is NOT a sourced or certified club-brand HEX value.</t>
      </text>
    </comment>
    <comment authorId="0" ref="D17">
      <text>
        <t xml:space="preserve">Illustrative generic shade assigned to this colour name for display. This is NOT a sourced or certified club-brand HEX value.</t>
      </text>
    </comment>
    <comment authorId="0" ref="E17">
      <text>
        <t xml:space="preserve">Illustrative generic shade assigned to this colour name for display. This is NOT a sourced or certified club-brand HEX value.</t>
      </text>
    </comment>
    <comment authorId="0" ref="F17">
      <text>
        <t xml:space="preserve">Illustrative generic shade assigned to this colour name for display. This is NOT a sourced or certified club-brand HEX value.</t>
      </text>
    </comment>
    <comment authorId="0" ref="C678">
      <text>
        <t xml:space="preserve">Illustrative generic shade assigned to this colour name for display. This is NOT a sourced or certified club-brand HEX value.</t>
      </text>
    </comment>
    <comment authorId="0" ref="D678">
      <text>
        <t xml:space="preserve">Illustrative generic shade assigned to this colour name for display. This is NOT a sourced or certified club-brand HEX value.</t>
      </text>
    </comment>
    <comment authorId="0" ref="E678">
      <text>
        <t xml:space="preserve">Illustrative generic shade assigned to this colour name for display. This is NOT a sourced or certified club-brand HEX value.</t>
      </text>
    </comment>
    <comment authorId="0" ref="F678">
      <text>
        <t xml:space="preserve">Illustrative generic shade assigned to this colour name for display. This is NOT a sourced or certified club-brand HEX value.</t>
      </text>
    </comment>
    <comment authorId="0" ref="C546">
      <text>
        <t xml:space="preserve">Illustrative generic shade assigned to this colour name for display. This is NOT a sourced or certified club-brand HEX value.</t>
      </text>
    </comment>
    <comment authorId="0" ref="D546">
      <text>
        <t xml:space="preserve">Illustrative generic shade assigned to this colour name for display. This is NOT a sourced or certified club-brand HEX value.</t>
      </text>
    </comment>
    <comment authorId="0" ref="E546">
      <text>
        <t xml:space="preserve">Illustrative generic shade assigned to this colour name for display. This is NOT a sourced or certified club-brand HEX value.</t>
      </text>
    </comment>
    <comment authorId="0" ref="F546">
      <text>
        <t xml:space="preserve">Illustrative generic shade assigned to this colour name for display. This is NOT a sourced or certified club-brand HEX value.</t>
      </text>
    </comment>
    <comment authorId="0" ref="E414">
      <text>
        <t xml:space="preserve">Illustrative generic shade assigned to this colour name for display. This is NOT a sourced or certified club-brand HEX value.</t>
      </text>
    </comment>
    <comment authorId="0" ref="F414">
      <text>
        <t xml:space="preserve">Illustrative generic shade assigned to this colour name for display. This is NOT a sourced or certified club-brand HEX value.</t>
      </text>
    </comment>
    <comment authorId="0" ref="C282">
      <text>
        <t xml:space="preserve">Illustrative generic shade assigned to this colour name for display. This is NOT a sourced or certified club-brand HEX value.</t>
      </text>
    </comment>
    <comment authorId="0" ref="D282">
      <text>
        <t xml:space="preserve">Illustrative generic shade assigned to this colour name for display. This is NOT a sourced or certified club-brand HEX value.</t>
      </text>
    </comment>
    <comment authorId="0" ref="E282">
      <text>
        <t xml:space="preserve">Illustrative generic shade assigned to this colour name for display. This is NOT a sourced or certified club-brand HEX value.</t>
      </text>
    </comment>
    <comment authorId="0" ref="F282">
      <text>
        <t xml:space="preserve">Illustrative generic shade assigned to this colour name for display. This is NOT a sourced or certified club-brand HEX value.</t>
      </text>
    </comment>
    <comment authorId="0" ref="C150">
      <text>
        <t xml:space="preserve">Illustrative generic shade assigned to this colour name for display. This is NOT a sourced or certified club-brand HEX value.</t>
      </text>
    </comment>
    <comment authorId="0" ref="D150">
      <text>
        <t xml:space="preserve">Illustrative generic shade assigned to this colour name for display. This is NOT a sourced or certified club-brand HEX value.</t>
      </text>
    </comment>
    <comment authorId="0" ref="E150">
      <text>
        <t xml:space="preserve">Illustrative generic shade assigned to this colour name for display. This is NOT a sourced or certified club-brand HEX value.</t>
      </text>
    </comment>
    <comment authorId="0" ref="F150">
      <text>
        <t xml:space="preserve">Illustrative generic shade assigned to this colour name for display. This is NOT a sourced or certified club-brand HEX value.</t>
      </text>
    </comment>
    <comment authorId="0" ref="C18">
      <text>
        <t xml:space="preserve">Illustrative generic shade assigned to this colour name for display. This is NOT a sourced or certified club-brand HEX value.</t>
      </text>
    </comment>
    <comment authorId="0" ref="D18">
      <text>
        <t xml:space="preserve">Illustrative generic shade assigned to this colour name for display. This is NOT a sourced or certified club-brand HEX value.</t>
      </text>
    </comment>
    <comment authorId="0" ref="E18">
      <text>
        <t xml:space="preserve">Illustrative generic shade assigned to this colour name for display. This is NOT a sourced or certified club-brand HEX value.</t>
      </text>
    </comment>
    <comment authorId="0" ref="F18">
      <text>
        <t xml:space="preserve">Illustrative generic shade assigned to this colour name for display. This is NOT a sourced or certified club-brand HEX value.</t>
      </text>
    </comment>
    <comment authorId="0" ref="C679">
      <text>
        <t xml:space="preserve">Illustrative generic shade assigned to this colour name for display. This is NOT a sourced or certified club-brand HEX value.</t>
      </text>
    </comment>
    <comment authorId="0" ref="D679">
      <text>
        <t xml:space="preserve">Illustrative generic shade assigned to this colour name for display. This is NOT a sourced or certified club-brand HEX value.</t>
      </text>
    </comment>
    <comment authorId="0" ref="E679">
      <text>
        <t xml:space="preserve">Illustrative generic shade assigned to this colour name for display. This is NOT a sourced or certified club-brand HEX value.</t>
      </text>
    </comment>
    <comment authorId="0" ref="F679">
      <text>
        <t xml:space="preserve">Illustrative generic shade assigned to this colour name for display. This is NOT a sourced or certified club-brand HEX value.</t>
      </text>
    </comment>
    <comment authorId="0" ref="E547">
      <text>
        <t xml:space="preserve">Illustrative generic shade assigned to this colour name for display. This is NOT a sourced or certified club-brand HEX value.</t>
      </text>
    </comment>
    <comment authorId="0" ref="F547">
      <text>
        <t xml:space="preserve">Illustrative generic shade assigned to this colour name for display. This is NOT a sourced or certified club-brand HEX value.</t>
      </text>
    </comment>
    <comment authorId="0" ref="E415">
      <text>
        <t xml:space="preserve">Illustrative generic shade assigned to this colour name for display. This is NOT a sourced or certified club-brand HEX value.</t>
      </text>
    </comment>
    <comment authorId="0" ref="F415">
      <text>
        <t xml:space="preserve">Illustrative generic shade assigned to this colour name for display. This is NOT a sourced or certified club-brand HEX value.</t>
      </text>
    </comment>
    <comment authorId="0" ref="C283">
      <text>
        <t xml:space="preserve">Illustrative generic shade assigned to this colour name for display. This is NOT a sourced or certified club-brand HEX value.</t>
      </text>
    </comment>
    <comment authorId="0" ref="D283">
      <text>
        <t xml:space="preserve">Illustrative generic shade assigned to this colour name for display. This is NOT a sourced or certified club-brand HEX value.</t>
      </text>
    </comment>
    <comment authorId="0" ref="E283">
      <text>
        <t xml:space="preserve">Illustrative generic shade assigned to this colour name for display. This is NOT a sourced or certified club-brand HEX value.</t>
      </text>
    </comment>
    <comment authorId="0" ref="F283">
      <text>
        <t xml:space="preserve">Illustrative generic shade assigned to this colour name for display. This is NOT a sourced or certified club-brand HEX value.</t>
      </text>
    </comment>
    <comment authorId="0" ref="C151">
      <text>
        <t xml:space="preserve">Illustrative generic shade assigned to this colour name for display. This is NOT a sourced or certified club-brand HEX value.</t>
      </text>
    </comment>
    <comment authorId="0" ref="D151">
      <text>
        <t xml:space="preserve">Illustrative generic shade assigned to this colour name for display. This is NOT a sourced or certified club-brand HEX value.</t>
      </text>
    </comment>
    <comment authorId="0" ref="E151">
      <text>
        <t xml:space="preserve">Illustrative generic shade assigned to this colour name for display. This is NOT a sourced or certified club-brand HEX value.</t>
      </text>
    </comment>
    <comment authorId="0" ref="F151">
      <text>
        <t xml:space="preserve">Illustrative generic shade assigned to this colour name for display. This is NOT a sourced or certified club-brand HEX value.</t>
      </text>
    </comment>
    <comment authorId="0" ref="C19">
      <text>
        <t xml:space="preserve">Illustrative generic shade assigned to this colour name for display. This is NOT a sourced or certified club-brand HEX value.</t>
      </text>
    </comment>
    <comment authorId="0" ref="D19">
      <text>
        <t xml:space="preserve">Illustrative generic shade assigned to this colour name for display. This is NOT a sourced or certified club-brand HEX value.</t>
      </text>
    </comment>
    <comment authorId="0" ref="E19">
      <text>
        <t xml:space="preserve">Illustrative generic shade assigned to this colour name for display. This is NOT a sourced or certified club-brand HEX value.</t>
      </text>
    </comment>
    <comment authorId="0" ref="F19">
      <text>
        <t xml:space="preserve">Illustrative generic shade assigned to this colour name for display. This is NOT a sourced or certified club-brand HEX value.</t>
      </text>
    </comment>
    <comment authorId="0" ref="C680">
      <text>
        <t xml:space="preserve">Illustrative generic shade assigned to this colour name for display. This is NOT a sourced or certified club-brand HEX value.</t>
      </text>
    </comment>
    <comment authorId="0" ref="D680">
      <text>
        <t xml:space="preserve">Illustrative generic shade assigned to this colour name for display. This is NOT a sourced or certified club-brand HEX value.</t>
      </text>
    </comment>
    <comment authorId="0" ref="E680">
      <text>
        <t xml:space="preserve">Illustrative generic shade assigned to this colour name for display. This is NOT a sourced or certified club-brand HEX value.</t>
      </text>
    </comment>
    <comment authorId="0" ref="F680">
      <text>
        <t xml:space="preserve">Illustrative generic shade assigned to this colour name for display. This is NOT a sourced or certified club-brand HEX value.</t>
      </text>
    </comment>
    <comment authorId="0" ref="E548">
      <text>
        <t xml:space="preserve">Illustrative generic shade assigned to this colour name for display. This is NOT a sourced or certified club-brand HEX value.</t>
      </text>
    </comment>
    <comment authorId="0" ref="F548">
      <text>
        <t xml:space="preserve">Illustrative generic shade assigned to this colour name for display. This is NOT a sourced or certified club-brand HEX value.</t>
      </text>
    </comment>
    <comment authorId="0" ref="E416">
      <text>
        <t xml:space="preserve">Illustrative generic shade assigned to this colour name for display. This is NOT a sourced or certified club-brand HEX value.</t>
      </text>
    </comment>
    <comment authorId="0" ref="F416">
      <text>
        <t xml:space="preserve">Illustrative generic shade assigned to this colour name for display. This is NOT a sourced or certified club-brand HEX value.</t>
      </text>
    </comment>
    <comment authorId="0" ref="C284">
      <text>
        <t xml:space="preserve">Illustrative generic shade assigned to this colour name for display. This is NOT a sourced or certified club-brand HEX value.</t>
      </text>
    </comment>
    <comment authorId="0" ref="D284">
      <text>
        <t xml:space="preserve">Illustrative generic shade assigned to this colour name for display. This is NOT a sourced or certified club-brand HEX value.</t>
      </text>
    </comment>
    <comment authorId="0" ref="E284">
      <text>
        <t xml:space="preserve">Illustrative generic shade assigned to this colour name for display. This is NOT a sourced or certified club-brand HEX value.</t>
      </text>
    </comment>
    <comment authorId="0" ref="F284">
      <text>
        <t xml:space="preserve">Illustrative generic shade assigned to this colour name for display. This is NOT a sourced or certified club-brand HEX value.</t>
      </text>
    </comment>
    <comment authorId="0" ref="C152">
      <text>
        <t xml:space="preserve">Illustrative generic shade assigned to this colour name for display. This is NOT a sourced or certified club-brand HEX value.</t>
      </text>
    </comment>
    <comment authorId="0" ref="D152">
      <text>
        <t xml:space="preserve">Illustrative generic shade assigned to this colour name for display. This is NOT a sourced or certified club-brand HEX value.</t>
      </text>
    </comment>
    <comment authorId="0" ref="E152">
      <text>
        <t xml:space="preserve">Illustrative generic shade assigned to this colour name for display. This is NOT a sourced or certified club-brand HEX value.</t>
      </text>
    </comment>
    <comment authorId="0" ref="F152">
      <text>
        <t xml:space="preserve">Illustrative generic shade assigned to this colour name for display. This is NOT a sourced or certified club-brand HEX value.</t>
      </text>
    </comment>
    <comment authorId="0" ref="C20">
      <text>
        <t xml:space="preserve">Illustrative generic shade assigned to this colour name for display. This is NOT a sourced or certified club-brand HEX value.</t>
      </text>
    </comment>
    <comment authorId="0" ref="D20">
      <text>
        <t xml:space="preserve">Illustrative generic shade assigned to this colour name for display. This is NOT a sourced or certified club-brand HEX value.</t>
      </text>
    </comment>
    <comment authorId="0" ref="E20">
      <text>
        <t xml:space="preserve">Illustrative generic shade assigned to this colour name for display. This is NOT a sourced or certified club-brand HEX value.</t>
      </text>
    </comment>
    <comment authorId="0" ref="F20">
      <text>
        <t xml:space="preserve">Illustrative generic shade assigned to this colour name for display. This is NOT a sourced or certified club-brand HEX value.</t>
      </text>
    </comment>
    <comment authorId="0" ref="C681">
      <text>
        <t xml:space="preserve">Illustrative generic shade assigned to this colour name for display. This is NOT a sourced or certified club-brand HEX value.</t>
      </text>
    </comment>
    <comment authorId="0" ref="D681">
      <text>
        <t xml:space="preserve">Illustrative generic shade assigned to this colour name for display. This is NOT a sourced or certified club-brand HEX value.</t>
      </text>
    </comment>
    <comment authorId="0" ref="E681">
      <text>
        <t xml:space="preserve">Illustrative generic shade assigned to this colour name for display. This is NOT a sourced or certified club-brand HEX value.</t>
      </text>
    </comment>
    <comment authorId="0" ref="F681">
      <text>
        <t xml:space="preserve">Illustrative generic shade assigned to this colour name for display. This is NOT a sourced or certified club-brand HEX value.</t>
      </text>
    </comment>
    <comment authorId="0" ref="E549">
      <text>
        <t xml:space="preserve">Illustrative generic shade assigned to this colour name for display. This is NOT a sourced or certified club-brand HEX value.</t>
      </text>
    </comment>
    <comment authorId="0" ref="F549">
      <text>
        <t xml:space="preserve">Illustrative generic shade assigned to this colour name for display. This is NOT a sourced or certified club-brand HEX value.</t>
      </text>
    </comment>
    <comment authorId="0" ref="C417">
      <text>
        <t xml:space="preserve">Illustrative generic shade assigned to this colour name for display. This is NOT a sourced or certified club-brand HEX value.</t>
      </text>
    </comment>
    <comment authorId="0" ref="D417">
      <text>
        <t xml:space="preserve">Illustrative generic shade assigned to this colour name for display. This is NOT a sourced or certified club-brand HEX value.</t>
      </text>
    </comment>
    <comment authorId="0" ref="E417">
      <text>
        <t xml:space="preserve">Illustrative generic shade assigned to this colour name for display. This is NOT a sourced or certified club-brand HEX value.</t>
      </text>
    </comment>
    <comment authorId="0" ref="F417">
      <text>
        <t xml:space="preserve">Illustrative generic shade assigned to this colour name for display. This is NOT a sourced or certified club-brand HEX value.</t>
      </text>
    </comment>
    <comment authorId="0" ref="C285">
      <text>
        <t xml:space="preserve">Illustrative generic shade assigned to this colour name for display. This is NOT a sourced or certified club-brand HEX value.</t>
      </text>
    </comment>
    <comment authorId="0" ref="D285">
      <text>
        <t xml:space="preserve">Illustrative generic shade assigned to this colour name for display. This is NOT a sourced or certified club-brand HEX value.</t>
      </text>
    </comment>
    <comment authorId="0" ref="E285">
      <text>
        <t xml:space="preserve">Illustrative generic shade assigned to this colour name for display. This is NOT a sourced or certified club-brand HEX value.</t>
      </text>
    </comment>
    <comment authorId="0" ref="F285">
      <text>
        <t xml:space="preserve">Illustrative generic shade assigned to this colour name for display. This is NOT a sourced or certified club-brand HEX value.</t>
      </text>
    </comment>
    <comment authorId="0" ref="C153">
      <text>
        <t xml:space="preserve">Illustrative generic shade assigned to this colour name for display. This is NOT a sourced or certified club-brand HEX value.</t>
      </text>
    </comment>
    <comment authorId="0" ref="D153">
      <text>
        <t xml:space="preserve">Illustrative generic shade assigned to this colour name for display. This is NOT a sourced or certified club-brand HEX value.</t>
      </text>
    </comment>
    <comment authorId="0" ref="E153">
      <text>
        <t xml:space="preserve">Illustrative generic shade assigned to this colour name for display. This is NOT a sourced or certified club-brand HEX value.</t>
      </text>
    </comment>
    <comment authorId="0" ref="F153">
      <text>
        <t xml:space="preserve">Illustrative generic shade assigned to this colour name for display. This is NOT a sourced or certified club-brand HEX value.</t>
      </text>
    </comment>
    <comment authorId="0" ref="C21">
      <text>
        <t xml:space="preserve">Illustrative generic shade assigned to this colour name for display. This is NOT a sourced or certified club-brand HEX value.</t>
      </text>
    </comment>
    <comment authorId="0" ref="D21">
      <text>
        <t xml:space="preserve">Illustrative generic shade assigned to this colour name for display. This is NOT a sourced or certified club-brand HEX value.</t>
      </text>
    </comment>
    <comment authorId="0" ref="E21">
      <text>
        <t xml:space="preserve">Illustrative generic shade assigned to this colour name for display. This is NOT a sourced or certified club-brand HEX value.</t>
      </text>
    </comment>
    <comment authorId="0" ref="F21">
      <text>
        <t xml:space="preserve">Illustrative generic shade assigned to this colour name for display. This is NOT a sourced or certified club-brand HEX value.</t>
      </text>
    </comment>
    <comment authorId="0" ref="C682">
      <text>
        <t xml:space="preserve">Illustrative generic shade assigned to this colour name for display. This is NOT a sourced or certified club-brand HEX value.</t>
      </text>
    </comment>
    <comment authorId="0" ref="D682">
      <text>
        <t xml:space="preserve">Illustrative generic shade assigned to this colour name for display. This is NOT a sourced or certified club-brand HEX value.</t>
      </text>
    </comment>
    <comment authorId="0" ref="E682">
      <text>
        <t xml:space="preserve">Illustrative generic shade assigned to this colour name for display. This is NOT a sourced or certified club-brand HEX value.</t>
      </text>
    </comment>
    <comment authorId="0" ref="F682">
      <text>
        <t xml:space="preserve">Illustrative generic shade assigned to this colour name for display. This is NOT a sourced or certified club-brand HEX value.</t>
      </text>
    </comment>
    <comment authorId="0" ref="C550">
      <text>
        <t xml:space="preserve">Illustrative generic shade assigned to this colour name for display. This is NOT a sourced or certified club-brand HEX value.</t>
      </text>
    </comment>
    <comment authorId="0" ref="D550">
      <text>
        <t xml:space="preserve">Illustrative generic shade assigned to this colour name for display. This is NOT a sourced or certified club-brand HEX value.</t>
      </text>
    </comment>
    <comment authorId="0" ref="E550">
      <text>
        <t xml:space="preserve">Illustrative generic shade assigned to this colour name for display. This is NOT a sourced or certified club-brand HEX value.</t>
      </text>
    </comment>
    <comment authorId="0" ref="F550">
      <text>
        <t xml:space="preserve">Illustrative generic shade assigned to this colour name for display. This is NOT a sourced or certified club-brand HEX value.</t>
      </text>
    </comment>
    <comment authorId="0" ref="C418">
      <text>
        <t xml:space="preserve">Illustrative generic shade assigned to this colour name for display. This is NOT a sourced or certified club-brand HEX value.</t>
      </text>
    </comment>
    <comment authorId="0" ref="D418">
      <text>
        <t xml:space="preserve">Illustrative generic shade assigned to this colour name for display. This is NOT a sourced or certified club-brand HEX value.</t>
      </text>
    </comment>
    <comment authorId="0" ref="E418">
      <text>
        <t xml:space="preserve">Illustrative generic shade assigned to this colour name for display. This is NOT a sourced or certified club-brand HEX value.</t>
      </text>
    </comment>
    <comment authorId="0" ref="F418">
      <text>
        <t xml:space="preserve">Illustrative generic shade assigned to this colour name for display. This is NOT a sourced or certified club-brand HEX value.</t>
      </text>
    </comment>
    <comment authorId="0" ref="C286">
      <text>
        <t xml:space="preserve">Illustrative generic shade assigned to this colour name for display. This is NOT a sourced or certified club-brand HEX value.</t>
      </text>
    </comment>
    <comment authorId="0" ref="D286">
      <text>
        <t xml:space="preserve">Illustrative generic shade assigned to this colour name for display. This is NOT a sourced or certified club-brand HEX value.</t>
      </text>
    </comment>
    <comment authorId="0" ref="E286">
      <text>
        <t xml:space="preserve">Illustrative generic shade assigned to this colour name for display. This is NOT a sourced or certified club-brand HEX value.</t>
      </text>
    </comment>
    <comment authorId="0" ref="F286">
      <text>
        <t xml:space="preserve">Illustrative generic shade assigned to this colour name for display. This is NOT a sourced or certified club-brand HEX value.</t>
      </text>
    </comment>
    <comment authorId="0" ref="C154">
      <text>
        <t xml:space="preserve">Illustrative generic shade assigned to this colour name for display. This is NOT a sourced or certified club-brand HEX value.</t>
      </text>
    </comment>
    <comment authorId="0" ref="D154">
      <text>
        <t xml:space="preserve">Illustrative generic shade assigned to this colour name for display. This is NOT a sourced or certified club-brand HEX value.</t>
      </text>
    </comment>
    <comment authorId="0" ref="E154">
      <text>
        <t xml:space="preserve">Illustrative generic shade assigned to this colour name for display. This is NOT a sourced or certified club-brand HEX value.</t>
      </text>
    </comment>
    <comment authorId="0" ref="F154">
      <text>
        <t xml:space="preserve">Illustrative generic shade assigned to this colour name for display. This is NOT a sourced or certified club-brand HEX value.</t>
      </text>
    </comment>
    <comment authorId="0" ref="C22">
      <text>
        <t xml:space="preserve">Illustrative generic shade assigned to this colour name for display. This is NOT a sourced or certified club-brand HEX value.</t>
      </text>
    </comment>
    <comment authorId="0" ref="D22">
      <text>
        <t xml:space="preserve">Illustrative generic shade assigned to this colour name for display. This is NOT a sourced or certified club-brand HEX value.</t>
      </text>
    </comment>
    <comment authorId="0" ref="E22">
      <text>
        <t xml:space="preserve">Illustrative generic shade assigned to this colour name for display. This is NOT a sourced or certified club-brand HEX value.</t>
      </text>
    </comment>
    <comment authorId="0" ref="F22">
      <text>
        <t xml:space="preserve">Illustrative generic shade assigned to this colour name for display. This is NOT a sourced or certified club-brand HEX value.</t>
      </text>
    </comment>
    <comment authorId="0" ref="C683">
      <text>
        <t xml:space="preserve">Illustrative generic shade assigned to this colour name for display. This is NOT a sourced or certified club-brand HEX value.</t>
      </text>
    </comment>
    <comment authorId="0" ref="D683">
      <text>
        <t xml:space="preserve">Illustrative generic shade assigned to this colour name for display. This is NOT a sourced or certified club-brand HEX value.</t>
      </text>
    </comment>
    <comment authorId="0" ref="E683">
      <text>
        <t xml:space="preserve">Illustrative generic shade assigned to this colour name for display. This is NOT a sourced or certified club-brand HEX value.</t>
      </text>
    </comment>
    <comment authorId="0" ref="F683">
      <text>
        <t xml:space="preserve">Illustrative generic shade assigned to this colour name for display. This is NOT a sourced or certified club-brand HEX value.</t>
      </text>
    </comment>
    <comment authorId="0" ref="E551">
      <text>
        <t xml:space="preserve">Illustrative generic shade assigned to this colour name for display. This is NOT a sourced or certified club-brand HEX value.</t>
      </text>
    </comment>
    <comment authorId="0" ref="F551">
      <text>
        <t xml:space="preserve">Illustrative generic shade assigned to this colour name for display. This is NOT a sourced or certified club-brand HEX value.</t>
      </text>
    </comment>
    <comment authorId="0" ref="C419">
      <text>
        <t xml:space="preserve">Illustrative generic shade assigned to this colour name for display. This is NOT a sourced or certified club-brand HEX value.</t>
      </text>
    </comment>
    <comment authorId="0" ref="D419">
      <text>
        <t xml:space="preserve">Illustrative generic shade assigned to this colour name for display. This is NOT a sourced or certified club-brand HEX value.</t>
      </text>
    </comment>
    <comment authorId="0" ref="E419">
      <text>
        <t xml:space="preserve">Illustrative generic shade assigned to this colour name for display. This is NOT a sourced or certified club-brand HEX value.</t>
      </text>
    </comment>
    <comment authorId="0" ref="F419">
      <text>
        <t xml:space="preserve">Illustrative generic shade assigned to this colour name for display. This is NOT a sourced or certified club-brand HEX value.</t>
      </text>
    </comment>
    <comment authorId="0" ref="C287">
      <text>
        <t xml:space="preserve">Illustrative generic shade assigned to this colour name for display. This is NOT a sourced or certified club-brand HEX value.</t>
      </text>
    </comment>
    <comment authorId="0" ref="D287">
      <text>
        <t xml:space="preserve">Illustrative generic shade assigned to this colour name for display. This is NOT a sourced or certified club-brand HEX value.</t>
      </text>
    </comment>
    <comment authorId="0" ref="E287">
      <text>
        <t xml:space="preserve">Illustrative generic shade assigned to this colour name for display. This is NOT a sourced or certified club-brand HEX value.</t>
      </text>
    </comment>
    <comment authorId="0" ref="F287">
      <text>
        <t xml:space="preserve">Illustrative generic shade assigned to this colour name for display. This is NOT a sourced or certified club-brand HEX value.</t>
      </text>
    </comment>
    <comment authorId="0" ref="C155">
      <text>
        <t xml:space="preserve">Illustrative generic shade assigned to this colour name for display. This is NOT a sourced or certified club-brand HEX value.</t>
      </text>
    </comment>
    <comment authorId="0" ref="D155">
      <text>
        <t xml:space="preserve">Illustrative generic shade assigned to this colour name for display. This is NOT a sourced or certified club-brand HEX value.</t>
      </text>
    </comment>
    <comment authorId="0" ref="E155">
      <text>
        <t xml:space="preserve">Illustrative generic shade assigned to this colour name for display. This is NOT a sourced or certified club-brand HEX value.</t>
      </text>
    </comment>
    <comment authorId="0" ref="F155">
      <text>
        <t xml:space="preserve">Illustrative generic shade assigned to this colour name for display. This is NOT a sourced or certified club-brand HEX value.</t>
      </text>
    </comment>
    <comment authorId="0" ref="C23">
      <text>
        <t xml:space="preserve">Illustrative generic shade assigned to this colour name for display. This is NOT a sourced or certified club-brand HEX value.</t>
      </text>
    </comment>
    <comment authorId="0" ref="D23">
      <text>
        <t xml:space="preserve">Illustrative generic shade assigned to this colour name for display. This is NOT a sourced or certified club-brand HEX value.</t>
      </text>
    </comment>
    <comment authorId="0" ref="E23">
      <text>
        <t xml:space="preserve">Illustrative generic shade assigned to this colour name for display. This is NOT a sourced or certified club-brand HEX value.</t>
      </text>
    </comment>
    <comment authorId="0" ref="F23">
      <text>
        <t xml:space="preserve">Illustrative generic shade assigned to this colour name for display. This is NOT a sourced or certified club-brand HEX value.</t>
      </text>
    </comment>
    <comment authorId="0" ref="C684">
      <text>
        <t xml:space="preserve">Illustrative generic shade assigned to this colour name for display. This is NOT a sourced or certified club-brand HEX value.</t>
      </text>
    </comment>
    <comment authorId="0" ref="D684">
      <text>
        <t xml:space="preserve">Illustrative generic shade assigned to this colour name for display. This is NOT a sourced or certified club-brand HEX value.</t>
      </text>
    </comment>
    <comment authorId="0" ref="E684">
      <text>
        <t xml:space="preserve">Illustrative generic shade assigned to this colour name for display. This is NOT a sourced or certified club-brand HEX value.</t>
      </text>
    </comment>
    <comment authorId="0" ref="F684">
      <text>
        <t xml:space="preserve">Illustrative generic shade assigned to this colour name for display. This is NOT a sourced or certified club-brand HEX value.</t>
      </text>
    </comment>
    <comment authorId="0" ref="E552">
      <text>
        <t xml:space="preserve">Illustrative generic shade assigned to this colour name for display. This is NOT a sourced or certified club-brand HEX value.</t>
      </text>
    </comment>
    <comment authorId="0" ref="F552">
      <text>
        <t xml:space="preserve">Illustrative generic shade assigned to this colour name for display. This is NOT a sourced or certified club-brand HEX value.</t>
      </text>
    </comment>
    <comment authorId="0" ref="E420">
      <text>
        <t xml:space="preserve">Illustrative generic shade assigned to this colour name for display. This is NOT a sourced or certified club-brand HEX value.</t>
      </text>
    </comment>
    <comment authorId="0" ref="F420">
      <text>
        <t xml:space="preserve">Illustrative generic shade assigned to this colour name for display. This is NOT a sourced or certified club-brand HEX value.</t>
      </text>
    </comment>
    <comment authorId="0" ref="C288">
      <text>
        <t xml:space="preserve">Illustrative generic shade assigned to this colour name for display. This is NOT a sourced or certified club-brand HEX value.</t>
      </text>
    </comment>
    <comment authorId="0" ref="D288">
      <text>
        <t xml:space="preserve">Illustrative generic shade assigned to this colour name for display. This is NOT a sourced or certified club-brand HEX value.</t>
      </text>
    </comment>
    <comment authorId="0" ref="E288">
      <text>
        <t xml:space="preserve">Illustrative generic shade assigned to this colour name for display. This is NOT a sourced or certified club-brand HEX value.</t>
      </text>
    </comment>
    <comment authorId="0" ref="F288">
      <text>
        <t xml:space="preserve">Illustrative generic shade assigned to this colour name for display. This is NOT a sourced or certified club-brand HEX value.</t>
      </text>
    </comment>
    <comment authorId="0" ref="C156">
      <text>
        <t xml:space="preserve">Illustrative generic shade assigned to this colour name for display. This is NOT a sourced or certified club-brand HEX value.</t>
      </text>
    </comment>
    <comment authorId="0" ref="D156">
      <text>
        <t xml:space="preserve">Illustrative generic shade assigned to this colour name for display. This is NOT a sourced or certified club-brand HEX value.</t>
      </text>
    </comment>
    <comment authorId="0" ref="E156">
      <text>
        <t xml:space="preserve">Illustrative generic shade assigned to this colour name for display. This is NOT a sourced or certified club-brand HEX value.</t>
      </text>
    </comment>
    <comment authorId="0" ref="F156">
      <text>
        <t xml:space="preserve">Illustrative generic shade assigned to this colour name for display. This is NOT a sourced or certified club-brand HEX value.</t>
      </text>
    </comment>
    <comment authorId="0" ref="C24">
      <text>
        <t xml:space="preserve">Illustrative generic shade assigned to this colour name for display. This is NOT a sourced or certified club-brand HEX value.</t>
      </text>
    </comment>
    <comment authorId="0" ref="D24">
      <text>
        <t xml:space="preserve">Illustrative generic shade assigned to this colour name for display. This is NOT a sourced or certified club-brand HEX value.</t>
      </text>
    </comment>
    <comment authorId="0" ref="E24">
      <text>
        <t xml:space="preserve">Illustrative generic shade assigned to this colour name for display. This is NOT a sourced or certified club-brand HEX value.</t>
      </text>
    </comment>
    <comment authorId="0" ref="F24">
      <text>
        <t xml:space="preserve">Illustrative generic shade assigned to this colour name for display. This is NOT a sourced or certified club-brand HEX value.</t>
      </text>
    </comment>
    <comment authorId="0" ref="C685">
      <text>
        <t xml:space="preserve">Illustrative generic shade assigned to this colour name for display. This is NOT a sourced or certified club-brand HEX value.</t>
      </text>
    </comment>
    <comment authorId="0" ref="D685">
      <text>
        <t xml:space="preserve">Illustrative generic shade assigned to this colour name for display. This is NOT a sourced or certified club-brand HEX value.</t>
      </text>
    </comment>
    <comment authorId="0" ref="E685">
      <text>
        <t xml:space="preserve">Illustrative generic shade assigned to this colour name for display. This is NOT a sourced or certified club-brand HEX value.</t>
      </text>
    </comment>
    <comment authorId="0" ref="F685">
      <text>
        <t xml:space="preserve">Illustrative generic shade assigned to this colour name for display. This is NOT a sourced or certified club-brand HEX value.</t>
      </text>
    </comment>
    <comment authorId="0" ref="C553">
      <text>
        <t xml:space="preserve">Illustrative generic shade assigned to this colour name for display. This is NOT a sourced or certified club-brand HEX value.</t>
      </text>
    </comment>
    <comment authorId="0" ref="D553">
      <text>
        <t xml:space="preserve">Illustrative generic shade assigned to this colour name for display. This is NOT a sourced or certified club-brand HEX value.</t>
      </text>
    </comment>
    <comment authorId="0" ref="E553">
      <text>
        <t xml:space="preserve">Illustrative generic shade assigned to this colour name for display. This is NOT a sourced or certified club-brand HEX value.</t>
      </text>
    </comment>
    <comment authorId="0" ref="F553">
      <text>
        <t xml:space="preserve">Illustrative generic shade assigned to this colour name for display. This is NOT a sourced or certified club-brand HEX value.</t>
      </text>
    </comment>
    <comment authorId="0" ref="C421">
      <text>
        <t xml:space="preserve">Illustrative generic shade assigned to this colour name for display. This is NOT a sourced or certified club-brand HEX value.</t>
      </text>
    </comment>
    <comment authorId="0" ref="D421">
      <text>
        <t xml:space="preserve">Illustrative generic shade assigned to this colour name for display. This is NOT a sourced or certified club-brand HEX value.</t>
      </text>
    </comment>
    <comment authorId="0" ref="E421">
      <text>
        <t xml:space="preserve">Illustrative generic shade assigned to this colour name for display. This is NOT a sourced or certified club-brand HEX value.</t>
      </text>
    </comment>
    <comment authorId="0" ref="F421">
      <text>
        <t xml:space="preserve">Illustrative generic shade assigned to this colour name for display. This is NOT a sourced or certified club-brand HEX value.</t>
      </text>
    </comment>
    <comment authorId="0" ref="C289">
      <text>
        <t xml:space="preserve">Illustrative generic shade assigned to this colour name for display. This is NOT a sourced or certified club-brand HEX value.</t>
      </text>
    </comment>
    <comment authorId="0" ref="D289">
      <text>
        <t xml:space="preserve">Illustrative generic shade assigned to this colour name for display. This is NOT a sourced or certified club-brand HEX value.</t>
      </text>
    </comment>
    <comment authorId="0" ref="E289">
      <text>
        <t xml:space="preserve">Illustrative generic shade assigned to this colour name for display. This is NOT a sourced or certified club-brand HEX value.</t>
      </text>
    </comment>
    <comment authorId="0" ref="F289">
      <text>
        <t xml:space="preserve">Illustrative generic shade assigned to this colour name for display. This is NOT a sourced or certified club-brand HEX value.</t>
      </text>
    </comment>
    <comment authorId="0" ref="C157">
      <text>
        <t xml:space="preserve">Illustrative generic shade assigned to this colour name for display. This is NOT a sourced or certified club-brand HEX value.</t>
      </text>
    </comment>
    <comment authorId="0" ref="D157">
      <text>
        <t xml:space="preserve">Illustrative generic shade assigned to this colour name for display. This is NOT a sourced or certified club-brand HEX value.</t>
      </text>
    </comment>
    <comment authorId="0" ref="E157">
      <text>
        <t xml:space="preserve">Illustrative generic shade assigned to this colour name for display. This is NOT a sourced or certified club-brand HEX value.</t>
      </text>
    </comment>
    <comment authorId="0" ref="F157">
      <text>
        <t xml:space="preserve">Illustrative generic shade assigned to this colour name for display. This is NOT a sourced or certified club-brand HEX value.</t>
      </text>
    </comment>
    <comment authorId="0" ref="C25">
      <text>
        <t xml:space="preserve">Illustrative generic shade assigned to this colour name for display. This is NOT a sourced or certified club-brand HEX value.</t>
      </text>
    </comment>
    <comment authorId="0" ref="D25">
      <text>
        <t xml:space="preserve">Illustrative generic shade assigned to this colour name for display. This is NOT a sourced or certified club-brand HEX value.</t>
      </text>
    </comment>
    <comment authorId="0" ref="E25">
      <text>
        <t xml:space="preserve">Illustrative generic shade assigned to this colour name for display. This is NOT a sourced or certified club-brand HEX value.</t>
      </text>
    </comment>
    <comment authorId="0" ref="F25">
      <text>
        <t xml:space="preserve">Illustrative generic shade assigned to this colour name for display. This is NOT a sourced or certified club-brand HEX value.</t>
      </text>
    </comment>
    <comment authorId="0" ref="C686">
      <text>
        <t xml:space="preserve">Illustrative generic shade assigned to this colour name for display. This is NOT a sourced or certified club-brand HEX value.</t>
      </text>
    </comment>
    <comment authorId="0" ref="D686">
      <text>
        <t xml:space="preserve">Illustrative generic shade assigned to this colour name for display. This is NOT a sourced or certified club-brand HEX value.</t>
      </text>
    </comment>
    <comment authorId="0" ref="E686">
      <text>
        <t xml:space="preserve">Illustrative generic shade assigned to this colour name for display. This is NOT a sourced or certified club-brand HEX value.</t>
      </text>
    </comment>
    <comment authorId="0" ref="F686">
      <text>
        <t xml:space="preserve">Illustrative generic shade assigned to this colour name for display. This is NOT a sourced or certified club-brand HEX value.</t>
      </text>
    </comment>
    <comment authorId="0" ref="E554">
      <text>
        <t xml:space="preserve">Illustrative generic shade assigned to this colour name for display. This is NOT a sourced or certified club-brand HEX value.</t>
      </text>
    </comment>
    <comment authorId="0" ref="F554">
      <text>
        <t xml:space="preserve">Illustrative generic shade assigned to this colour name for display. This is NOT a sourced or certified club-brand HEX value.</t>
      </text>
    </comment>
    <comment authorId="0" ref="C422">
      <text>
        <t xml:space="preserve">Illustrative generic shade assigned to this colour name for display. This is NOT a sourced or certified club-brand HEX value.</t>
      </text>
    </comment>
    <comment authorId="0" ref="D422">
      <text>
        <t xml:space="preserve">Illustrative generic shade assigned to this colour name for display. This is NOT a sourced or certified club-brand HEX value.</t>
      </text>
    </comment>
    <comment authorId="0" ref="E422">
      <text>
        <t xml:space="preserve">Illustrative generic shade assigned to this colour name for display. This is NOT a sourced or certified club-brand HEX value.</t>
      </text>
    </comment>
    <comment authorId="0" ref="F422">
      <text>
        <t xml:space="preserve">Illustrative generic shade assigned to this colour name for display. This is NOT a sourced or certified club-brand HEX value.</t>
      </text>
    </comment>
    <comment authorId="0" ref="C290">
      <text>
        <t xml:space="preserve">Illustrative generic shade assigned to this colour name for display. This is NOT a sourced or certified club-brand HEX value.</t>
      </text>
    </comment>
    <comment authorId="0" ref="D290">
      <text>
        <t xml:space="preserve">Illustrative generic shade assigned to this colour name for display. This is NOT a sourced or certified club-brand HEX value.</t>
      </text>
    </comment>
    <comment authorId="0" ref="E290">
      <text>
        <t xml:space="preserve">Illustrative generic shade assigned to this colour name for display. This is NOT a sourced or certified club-brand HEX value.</t>
      </text>
    </comment>
    <comment authorId="0" ref="F290">
      <text>
        <t xml:space="preserve">Illustrative generic shade assigned to this colour name for display. This is NOT a sourced or certified club-brand HEX value.</t>
      </text>
    </comment>
    <comment authorId="0" ref="C158">
      <text>
        <t xml:space="preserve">Illustrative generic shade assigned to this colour name for display. This is NOT a sourced or certified club-brand HEX value.</t>
      </text>
    </comment>
    <comment authorId="0" ref="D158">
      <text>
        <t xml:space="preserve">Illustrative generic shade assigned to this colour name for display. This is NOT a sourced or certified club-brand HEX value.</t>
      </text>
    </comment>
    <comment authorId="0" ref="E158">
      <text>
        <t xml:space="preserve">Illustrative generic shade assigned to this colour name for display. This is NOT a sourced or certified club-brand HEX value.</t>
      </text>
    </comment>
    <comment authorId="0" ref="F158">
      <text>
        <t xml:space="preserve">Illustrative generic shade assigned to this colour name for display. This is NOT a sourced or certified club-brand HEX value.</t>
      </text>
    </comment>
    <comment authorId="0" ref="C26">
      <text>
        <t xml:space="preserve">Illustrative generic shade assigned to this colour name for display. This is NOT a sourced or certified club-brand HEX value.</t>
      </text>
    </comment>
    <comment authorId="0" ref="D26">
      <text>
        <t xml:space="preserve">Illustrative generic shade assigned to this colour name for display. This is NOT a sourced or certified club-brand HEX value.</t>
      </text>
    </comment>
    <comment authorId="0" ref="E26">
      <text>
        <t xml:space="preserve">Illustrative generic shade assigned to this colour name for display. This is NOT a sourced or certified club-brand HEX value.</t>
      </text>
    </comment>
    <comment authorId="0" ref="F26">
      <text>
        <t xml:space="preserve">Illustrative generic shade assigned to this colour name for display. This is NOT a sourced or certified club-brand HEX value.</t>
      </text>
    </comment>
    <comment authorId="0" ref="C687">
      <text>
        <t xml:space="preserve">Illustrative generic shade assigned to this colour name for display. This is NOT a sourced or certified club-brand HEX value.</t>
      </text>
    </comment>
    <comment authorId="0" ref="D687">
      <text>
        <t xml:space="preserve">Illustrative generic shade assigned to this colour name for display. This is NOT a sourced or certified club-brand HEX value.</t>
      </text>
    </comment>
    <comment authorId="0" ref="E687">
      <text>
        <t xml:space="preserve">Illustrative generic shade assigned to this colour name for display. This is NOT a sourced or certified club-brand HEX value.</t>
      </text>
    </comment>
    <comment authorId="0" ref="F687">
      <text>
        <t xml:space="preserve">Illustrative generic shade assigned to this colour name for display. This is NOT a sourced or certified club-brand HEX value.</t>
      </text>
    </comment>
    <comment authorId="0" ref="C555">
      <text>
        <t xml:space="preserve">Illustrative generic shade assigned to this colour name for display. This is NOT a sourced or certified club-brand HEX value.</t>
      </text>
    </comment>
    <comment authorId="0" ref="D555">
      <text>
        <t xml:space="preserve">Illustrative generic shade assigned to this colour name for display. This is NOT a sourced or certified club-brand HEX value.</t>
      </text>
    </comment>
    <comment authorId="0" ref="E555">
      <text>
        <t xml:space="preserve">Illustrative generic shade assigned to this colour name for display. This is NOT a sourced or certified club-brand HEX value.</t>
      </text>
    </comment>
    <comment authorId="0" ref="F555">
      <text>
        <t xml:space="preserve">Illustrative generic shade assigned to this colour name for display. This is NOT a sourced or certified club-brand HEX value.</t>
      </text>
    </comment>
    <comment authorId="0" ref="E423">
      <text>
        <t xml:space="preserve">Illustrative generic shade assigned to this colour name for display. This is NOT a sourced or certified club-brand HEX value.</t>
      </text>
    </comment>
    <comment authorId="0" ref="F423">
      <text>
        <t xml:space="preserve">Illustrative generic shade assigned to this colour name for display. This is NOT a sourced or certified club-brand HEX value.</t>
      </text>
    </comment>
    <comment authorId="0" ref="C291">
      <text>
        <t xml:space="preserve">Illustrative generic shade assigned to this colour name for display. This is NOT a sourced or certified club-brand HEX value.</t>
      </text>
    </comment>
    <comment authorId="0" ref="D291">
      <text>
        <t xml:space="preserve">Illustrative generic shade assigned to this colour name for display. This is NOT a sourced or certified club-brand HEX value.</t>
      </text>
    </comment>
    <comment authorId="0" ref="E291">
      <text>
        <t xml:space="preserve">Illustrative generic shade assigned to this colour name for display. This is NOT a sourced or certified club-brand HEX value.</t>
      </text>
    </comment>
    <comment authorId="0" ref="F291">
      <text>
        <t xml:space="preserve">Illustrative generic shade assigned to this colour name for display. This is NOT a sourced or certified club-brand HEX value.</t>
      </text>
    </comment>
    <comment authorId="0" ref="C159">
      <text>
        <t xml:space="preserve">Illustrative generic shade assigned to this colour name for display. This is NOT a sourced or certified club-brand HEX value.</t>
      </text>
    </comment>
    <comment authorId="0" ref="E159">
      <text>
        <t xml:space="preserve">Illustrative generic shade assigned to this colour name for display. This is NOT a sourced or certified club-brand HEX value.</t>
      </text>
    </comment>
    <comment authorId="0" ref="F159">
      <text>
        <t xml:space="preserve">Illustrative generic shade assigned to this colour name for display. This is NOT a sourced or certified club-brand HEX value.</t>
      </text>
    </comment>
    <comment authorId="0" ref="C27">
      <text>
        <t xml:space="preserve">Illustrative generic shade assigned to this colour name for display. This is NOT a sourced or certified club-brand HEX value.</t>
      </text>
    </comment>
    <comment authorId="0" ref="D27">
      <text>
        <t xml:space="preserve">Illustrative generic shade assigned to this colour name for display. This is NOT a sourced or certified club-brand HEX value.</t>
      </text>
    </comment>
    <comment authorId="0" ref="E27">
      <text>
        <t xml:space="preserve">Illustrative generic shade assigned to this colour name for display. This is NOT a sourced or certified club-brand HEX value.</t>
      </text>
    </comment>
    <comment authorId="0" ref="F27">
      <text>
        <t xml:space="preserve">Illustrative generic shade assigned to this colour name for display. This is NOT a sourced or certified club-brand HEX value.</t>
      </text>
    </comment>
    <comment authorId="0" ref="C688">
      <text>
        <t xml:space="preserve">Illustrative generic shade assigned to this colour name for display. This is NOT a sourced or certified club-brand HEX value.</t>
      </text>
    </comment>
    <comment authorId="0" ref="D688">
      <text>
        <t xml:space="preserve">Illustrative generic shade assigned to this colour name for display. This is NOT a sourced or certified club-brand HEX value.</t>
      </text>
    </comment>
    <comment authorId="0" ref="E688">
      <text>
        <t xml:space="preserve">Illustrative generic shade assigned to this colour name for display. This is NOT a sourced or certified club-brand HEX value.</t>
      </text>
    </comment>
    <comment authorId="0" ref="F688">
      <text>
        <t xml:space="preserve">Illustrative generic shade assigned to this colour name for display. This is NOT a sourced or certified club-brand HEX value.</t>
      </text>
    </comment>
    <comment authorId="0" ref="C556">
      <text>
        <t xml:space="preserve">Illustrative generic shade assigned to this colour name for display. This is NOT a sourced or certified club-brand HEX value.</t>
      </text>
    </comment>
    <comment authorId="0" ref="D556">
      <text>
        <t xml:space="preserve">Illustrative generic shade assigned to this colour name for display. This is NOT a sourced or certified club-brand HEX value.</t>
      </text>
    </comment>
    <comment authorId="0" ref="E556">
      <text>
        <t xml:space="preserve">Illustrative generic shade assigned to this colour name for display. This is NOT a sourced or certified club-brand HEX value.</t>
      </text>
    </comment>
    <comment authorId="0" ref="F556">
      <text>
        <t xml:space="preserve">Illustrative generic shade assigned to this colour name for display. This is NOT a sourced or certified club-brand HEX value.</t>
      </text>
    </comment>
    <comment authorId="0" ref="E424">
      <text>
        <t xml:space="preserve">Illustrative generic shade assigned to this colour name for display. This is NOT a sourced or certified club-brand HEX value.</t>
      </text>
    </comment>
    <comment authorId="0" ref="F424">
      <text>
        <t xml:space="preserve">Illustrative generic shade assigned to this colour name for display. This is NOT a sourced or certified club-brand HEX value.</t>
      </text>
    </comment>
    <comment authorId="0" ref="C292">
      <text>
        <t xml:space="preserve">Illustrative generic shade assigned to this colour name for display. This is NOT a sourced or certified club-brand HEX value.</t>
      </text>
    </comment>
    <comment authorId="0" ref="D292">
      <text>
        <t xml:space="preserve">Illustrative generic shade assigned to this colour name for display. This is NOT a sourced or certified club-brand HEX value.</t>
      </text>
    </comment>
    <comment authorId="0" ref="E292">
      <text>
        <t xml:space="preserve">Illustrative generic shade assigned to this colour name for display. This is NOT a sourced or certified club-brand HEX value.</t>
      </text>
    </comment>
    <comment authorId="0" ref="F292">
      <text>
        <t xml:space="preserve">Illustrative generic shade assigned to this colour name for display. This is NOT a sourced or certified club-brand HEX value.</t>
      </text>
    </comment>
    <comment authorId="0" ref="C160">
      <text>
        <t xml:space="preserve">Illustrative generic shade assigned to this colour name for display. This is NOT a sourced or certified club-brand HEX value.</t>
      </text>
    </comment>
    <comment authorId="0" ref="D160">
      <text>
        <t xml:space="preserve">Illustrative generic shade assigned to this colour name for display. This is NOT a sourced or certified club-brand HEX value.</t>
      </text>
    </comment>
    <comment authorId="0" ref="E160">
      <text>
        <t xml:space="preserve">Illustrative generic shade assigned to this colour name for display. This is NOT a sourced or certified club-brand HEX value.</t>
      </text>
    </comment>
    <comment authorId="0" ref="F160">
      <text>
        <t xml:space="preserve">Illustrative generic shade assigned to this colour name for display. This is NOT a sourced or certified club-brand HEX value.</t>
      </text>
    </comment>
    <comment authorId="0" ref="C28">
      <text>
        <t xml:space="preserve">Illustrative generic shade assigned to this colour name for display. This is NOT a sourced or certified club-brand HEX value.</t>
      </text>
    </comment>
    <comment authorId="0" ref="D28">
      <text>
        <t xml:space="preserve">Illustrative generic shade assigned to this colour name for display. This is NOT a sourced or certified club-brand HEX value.</t>
      </text>
    </comment>
    <comment authorId="0" ref="E28">
      <text>
        <t xml:space="preserve">Illustrative generic shade assigned to this colour name for display. This is NOT a sourced or certified club-brand HEX value.</t>
      </text>
    </comment>
    <comment authorId="0" ref="F28">
      <text>
        <t xml:space="preserve">Illustrative generic shade assigned to this colour name for display. This is NOT a sourced or certified club-brand HEX value.</t>
      </text>
    </comment>
    <comment authorId="0" ref="C689">
      <text>
        <t xml:space="preserve">Illustrative generic shade assigned to this colour name for display. This is NOT a sourced or certified club-brand HEX value.</t>
      </text>
    </comment>
    <comment authorId="0" ref="D689">
      <text>
        <t xml:space="preserve">Illustrative generic shade assigned to this colour name for display. This is NOT a sourced or certified club-brand HEX value.</t>
      </text>
    </comment>
    <comment authorId="0" ref="E689">
      <text>
        <t xml:space="preserve">Illustrative generic shade assigned to this colour name for display. This is NOT a sourced or certified club-brand HEX value.</t>
      </text>
    </comment>
    <comment authorId="0" ref="F689">
      <text>
        <t xml:space="preserve">Illustrative generic shade assigned to this colour name for display. This is NOT a sourced or certified club-brand HEX value.</t>
      </text>
    </comment>
    <comment authorId="0" ref="C557">
      <text>
        <t xml:space="preserve">Illustrative generic shade assigned to this colour name for display. This is NOT a sourced or certified club-brand HEX value.</t>
      </text>
    </comment>
    <comment authorId="0" ref="D557">
      <text>
        <t xml:space="preserve">Illustrative generic shade assigned to this colour name for display. This is NOT a sourced or certified club-brand HEX value.</t>
      </text>
    </comment>
    <comment authorId="0" ref="E557">
      <text>
        <t xml:space="preserve">Illustrative generic shade assigned to this colour name for display. This is NOT a sourced or certified club-brand HEX value.</t>
      </text>
    </comment>
    <comment authorId="0" ref="F557">
      <text>
        <t xml:space="preserve">Illustrative generic shade assigned to this colour name for display. This is NOT a sourced or certified club-brand HEX value.</t>
      </text>
    </comment>
    <comment authorId="0" ref="C425">
      <text>
        <t xml:space="preserve">Illustrative generic shade assigned to this colour name for display. This is NOT a sourced or certified club-brand HEX value.</t>
      </text>
    </comment>
    <comment authorId="0" ref="D425">
      <text>
        <t xml:space="preserve">Illustrative generic shade assigned to this colour name for display. This is NOT a sourced or certified club-brand HEX value.</t>
      </text>
    </comment>
    <comment authorId="0" ref="E425">
      <text>
        <t xml:space="preserve">Illustrative generic shade assigned to this colour name for display. This is NOT a sourced or certified club-brand HEX value.</t>
      </text>
    </comment>
    <comment authorId="0" ref="F425">
      <text>
        <t xml:space="preserve">Illustrative generic shade assigned to this colour name for display. This is NOT a sourced or certified club-brand HEX value.</t>
      </text>
    </comment>
    <comment authorId="0" ref="C293">
      <text>
        <t xml:space="preserve">Illustrative generic shade assigned to this colour name for display. This is NOT a sourced or certified club-brand HEX value.</t>
      </text>
    </comment>
    <comment authorId="0" ref="D293">
      <text>
        <t xml:space="preserve">Illustrative generic shade assigned to this colour name for display. This is NOT a sourced or certified club-brand HEX value.</t>
      </text>
    </comment>
    <comment authorId="0" ref="E293">
      <text>
        <t xml:space="preserve">Illustrative generic shade assigned to this colour name for display. This is NOT a sourced or certified club-brand HEX value.</t>
      </text>
    </comment>
    <comment authorId="0" ref="F293">
      <text>
        <t xml:space="preserve">Illustrative generic shade assigned to this colour name for display. This is NOT a sourced or certified club-brand HEX value.</t>
      </text>
    </comment>
    <comment authorId="0" ref="C161">
      <text>
        <t xml:space="preserve">Illustrative generic shade assigned to this colour name for display. This is NOT a sourced or certified club-brand HEX value.</t>
      </text>
    </comment>
    <comment authorId="0" ref="D161">
      <text>
        <t xml:space="preserve">Illustrative generic shade assigned to this colour name for display. This is NOT a sourced or certified club-brand HEX value.</t>
      </text>
    </comment>
    <comment authorId="0" ref="E161">
      <text>
        <t xml:space="preserve">Illustrative generic shade assigned to this colour name for display. This is NOT a sourced or certified club-brand HEX value.</t>
      </text>
    </comment>
    <comment authorId="0" ref="F161">
      <text>
        <t xml:space="preserve">Illustrative generic shade assigned to this colour name for display. This is NOT a sourced or certified club-brand HEX value.</t>
      </text>
    </comment>
    <comment authorId="0" ref="C29">
      <text>
        <t xml:space="preserve">Illustrative generic shade assigned to this colour name for display. This is NOT a sourced or certified club-brand HEX value.</t>
      </text>
    </comment>
    <comment authorId="0" ref="D29">
      <text>
        <t xml:space="preserve">Illustrative generic shade assigned to this colour name for display. This is NOT a sourced or certified club-brand HEX value.</t>
      </text>
    </comment>
    <comment authorId="0" ref="E29">
      <text>
        <t xml:space="preserve">Illustrative generic shade assigned to this colour name for display. This is NOT a sourced or certified club-brand HEX value.</t>
      </text>
    </comment>
    <comment authorId="0" ref="F29">
      <text>
        <t xml:space="preserve">Illustrative generic shade assigned to this colour name for display. This is NOT a sourced or certified club-brand HEX value.</t>
      </text>
    </comment>
    <comment authorId="0" ref="C690">
      <text>
        <t xml:space="preserve">Illustrative generic shade assigned to this colour name for display. This is NOT a sourced or certified club-brand HEX value.</t>
      </text>
    </comment>
    <comment authorId="0" ref="D690">
      <text>
        <t xml:space="preserve">Illustrative generic shade assigned to this colour name for display. This is NOT a sourced or certified club-brand HEX value.</t>
      </text>
    </comment>
    <comment authorId="0" ref="E690">
      <text>
        <t xml:space="preserve">Illustrative generic shade assigned to this colour name for display. This is NOT a sourced or certified club-brand HEX value.</t>
      </text>
    </comment>
    <comment authorId="0" ref="F690">
      <text>
        <t xml:space="preserve">Illustrative generic shade assigned to this colour name for display. This is NOT a sourced or certified club-brand HEX value.</t>
      </text>
    </comment>
    <comment authorId="0" ref="E558">
      <text>
        <t xml:space="preserve">Illustrative generic shade assigned to this colour name for display. This is NOT a sourced or certified club-brand HEX value.</t>
      </text>
    </comment>
    <comment authorId="0" ref="F558">
      <text>
        <t xml:space="preserve">Illustrative generic shade assigned to this colour name for display. This is NOT a sourced or certified club-brand HEX value.</t>
      </text>
    </comment>
    <comment authorId="0" ref="C426">
      <text>
        <t xml:space="preserve">Illustrative generic shade assigned to this colour name for display. This is NOT a sourced or certified club-brand HEX value.</t>
      </text>
    </comment>
    <comment authorId="0" ref="D426">
      <text>
        <t xml:space="preserve">Illustrative generic shade assigned to this colour name for display. This is NOT a sourced or certified club-brand HEX value.</t>
      </text>
    </comment>
    <comment authorId="0" ref="E426">
      <text>
        <t xml:space="preserve">Illustrative generic shade assigned to this colour name for display. This is NOT a sourced or certified club-brand HEX value.</t>
      </text>
    </comment>
    <comment authorId="0" ref="F426">
      <text>
        <t xml:space="preserve">Illustrative generic shade assigned to this colour name for display. This is NOT a sourced or certified club-brand HEX value.</t>
      </text>
    </comment>
    <comment authorId="0" ref="C294">
      <text>
        <t xml:space="preserve">Illustrative generic shade assigned to this colour name for display. This is NOT a sourced or certified club-brand HEX value.</t>
      </text>
    </comment>
    <comment authorId="0" ref="D294">
      <text>
        <t xml:space="preserve">Illustrative generic shade assigned to this colour name for display. This is NOT a sourced or certified club-brand HEX value.</t>
      </text>
    </comment>
    <comment authorId="0" ref="E294">
      <text>
        <t xml:space="preserve">Illustrative generic shade assigned to this colour name for display. This is NOT a sourced or certified club-brand HEX value.</t>
      </text>
    </comment>
    <comment authorId="0" ref="F294">
      <text>
        <t xml:space="preserve">Illustrative generic shade assigned to this colour name for display. This is NOT a sourced or certified club-brand HEX value.</t>
      </text>
    </comment>
    <comment authorId="0" ref="C162">
      <text>
        <t xml:space="preserve">Illustrative generic shade assigned to this colour name for display. This is NOT a sourced or certified club-brand HEX value.</t>
      </text>
    </comment>
    <comment authorId="0" ref="D162">
      <text>
        <t xml:space="preserve">Illustrative generic shade assigned to this colour name for display. This is NOT a sourced or certified club-brand HEX value.</t>
      </text>
    </comment>
    <comment authorId="0" ref="E162">
      <text>
        <t xml:space="preserve">Illustrative generic shade assigned to this colour name for display. This is NOT a sourced or certified club-brand HEX value.</t>
      </text>
    </comment>
    <comment authorId="0" ref="F162">
      <text>
        <t xml:space="preserve">Illustrative generic shade assigned to this colour name for display. This is NOT a sourced or certified club-brand HEX value.</t>
      </text>
    </comment>
    <comment authorId="0" ref="C30">
      <text>
        <t xml:space="preserve">Illustrative generic shade assigned to this colour name for display. This is NOT a sourced or certified club-brand HEX value.</t>
      </text>
    </comment>
    <comment authorId="0" ref="D30">
      <text>
        <t xml:space="preserve">Illustrative generic shade assigned to this colour name for display. This is NOT a sourced or certified club-brand HEX value.</t>
      </text>
    </comment>
    <comment authorId="0" ref="E30">
      <text>
        <t xml:space="preserve">Illustrative generic shade assigned to this colour name for display. This is NOT a sourced or certified club-brand HEX value.</t>
      </text>
    </comment>
    <comment authorId="0" ref="F30">
      <text>
        <t xml:space="preserve">Illustrative generic shade assigned to this colour name for display. This is NOT a sourced or certified club-brand HEX value.</t>
      </text>
    </comment>
    <comment authorId="0" ref="C691">
      <text>
        <t xml:space="preserve">Illustrative generic shade assigned to this colour name for display. This is NOT a sourced or certified club-brand HEX value.</t>
      </text>
    </comment>
    <comment authorId="0" ref="D691">
      <text>
        <t xml:space="preserve">Illustrative generic shade assigned to this colour name for display. This is NOT a sourced or certified club-brand HEX value.</t>
      </text>
    </comment>
    <comment authorId="0" ref="E691">
      <text>
        <t xml:space="preserve">Illustrative generic shade assigned to this colour name for display. This is NOT a sourced or certified club-brand HEX value.</t>
      </text>
    </comment>
    <comment authorId="0" ref="F691">
      <text>
        <t xml:space="preserve">Illustrative generic shade assigned to this colour name for display. This is NOT a sourced or certified club-brand HEX value.</t>
      </text>
    </comment>
    <comment authorId="0" ref="C559">
      <text>
        <t xml:space="preserve">Illustrative generic shade assigned to this colour name for display. This is NOT a sourced or certified club-brand HEX value.</t>
      </text>
    </comment>
    <comment authorId="0" ref="D559">
      <text>
        <t xml:space="preserve">Illustrative generic shade assigned to this colour name for display. This is NOT a sourced or certified club-brand HEX value.</t>
      </text>
    </comment>
    <comment authorId="0" ref="E559">
      <text>
        <t xml:space="preserve">Illustrative generic shade assigned to this colour name for display. This is NOT a sourced or certified club-brand HEX value.</t>
      </text>
    </comment>
    <comment authorId="0" ref="F559">
      <text>
        <t xml:space="preserve">Illustrative generic shade assigned to this colour name for display. This is NOT a sourced or certified club-brand HEX value.</t>
      </text>
    </comment>
    <comment authorId="0" ref="E427">
      <text>
        <t xml:space="preserve">Illustrative generic shade assigned to this colour name for display. This is NOT a sourced or certified club-brand HEX value.</t>
      </text>
    </comment>
    <comment authorId="0" ref="F427">
      <text>
        <t xml:space="preserve">Illustrative generic shade assigned to this colour name for display. This is NOT a sourced or certified club-brand HEX value.</t>
      </text>
    </comment>
    <comment authorId="0" ref="C295">
      <text>
        <t xml:space="preserve">Illustrative generic shade assigned to this colour name for display. This is NOT a sourced or certified club-brand HEX value.</t>
      </text>
    </comment>
    <comment authorId="0" ref="D295">
      <text>
        <t xml:space="preserve">Illustrative generic shade assigned to this colour name for display. This is NOT a sourced or certified club-brand HEX value.</t>
      </text>
    </comment>
    <comment authorId="0" ref="E295">
      <text>
        <t xml:space="preserve">Illustrative generic shade assigned to this colour name for display. This is NOT a sourced or certified club-brand HEX value.</t>
      </text>
    </comment>
    <comment authorId="0" ref="F295">
      <text>
        <t xml:space="preserve">Illustrative generic shade assigned to this colour name for display. This is NOT a sourced or certified club-brand HEX value.</t>
      </text>
    </comment>
    <comment authorId="0" ref="C163">
      <text>
        <t xml:space="preserve">Illustrative generic shade assigned to this colour name for display. This is NOT a sourced or certified club-brand HEX value.</t>
      </text>
    </comment>
    <comment authorId="0" ref="D163">
      <text>
        <t xml:space="preserve">Illustrative generic shade assigned to this colour name for display. This is NOT a sourced or certified club-brand HEX value.</t>
      </text>
    </comment>
    <comment authorId="0" ref="E163">
      <text>
        <t xml:space="preserve">Illustrative generic shade assigned to this colour name for display. This is NOT a sourced or certified club-brand HEX value.</t>
      </text>
    </comment>
    <comment authorId="0" ref="F163">
      <text>
        <t xml:space="preserve">Illustrative generic shade assigned to this colour name for display. This is NOT a sourced or certified club-brand HEX value.</t>
      </text>
    </comment>
    <comment authorId="0" ref="C31">
      <text>
        <t xml:space="preserve">Illustrative generic shade assigned to this colour name for display. This is NOT a sourced or certified club-brand HEX value.</t>
      </text>
    </comment>
    <comment authorId="0" ref="D31">
      <text>
        <t xml:space="preserve">Illustrative generic shade assigned to this colour name for display. This is NOT a sourced or certified club-brand HEX value.</t>
      </text>
    </comment>
    <comment authorId="0" ref="E31">
      <text>
        <t xml:space="preserve">Illustrative generic shade assigned to this colour name for display. This is NOT a sourced or certified club-brand HEX value.</t>
      </text>
    </comment>
    <comment authorId="0" ref="F31">
      <text>
        <t xml:space="preserve">Illustrative generic shade assigned to this colour name for display. This is NOT a sourced or certified club-brand HEX value.</t>
      </text>
    </comment>
    <comment authorId="0" ref="C692">
      <text>
        <t xml:space="preserve">Illustrative generic shade assigned to this colour name for display. This is NOT a sourced or certified club-brand HEX value.</t>
      </text>
    </comment>
    <comment authorId="0" ref="D692">
      <text>
        <t xml:space="preserve">Illustrative generic shade assigned to this colour name for display. This is NOT a sourced or certified club-brand HEX value.</t>
      </text>
    </comment>
    <comment authorId="0" ref="E692">
      <text>
        <t xml:space="preserve">Illustrative generic shade assigned to this colour name for display. This is NOT a sourced or certified club-brand HEX value.</t>
      </text>
    </comment>
    <comment authorId="0" ref="F692">
      <text>
        <t xml:space="preserve">Illustrative generic shade assigned to this colour name for display. This is NOT a sourced or certified club-brand HEX value.</t>
      </text>
    </comment>
    <comment authorId="0" ref="C560">
      <text>
        <t xml:space="preserve">Illustrative generic shade assigned to this colour name for display. This is NOT a sourced or certified club-brand HEX value.</t>
      </text>
    </comment>
    <comment authorId="0" ref="D560">
      <text>
        <t xml:space="preserve">Illustrative generic shade assigned to this colour name for display. This is NOT a sourced or certified club-brand HEX value.</t>
      </text>
    </comment>
    <comment authorId="0" ref="E560">
      <text>
        <t xml:space="preserve">Illustrative generic shade assigned to this colour name for display. This is NOT a sourced or certified club-brand HEX value.</t>
      </text>
    </comment>
    <comment authorId="0" ref="F560">
      <text>
        <t xml:space="preserve">Illustrative generic shade assigned to this colour name for display. This is NOT a sourced or certified club-brand HEX value.</t>
      </text>
    </comment>
    <comment authorId="0" ref="E428">
      <text>
        <t xml:space="preserve">Illustrative generic shade assigned to this colour name for display. This is NOT a sourced or certified club-brand HEX value.</t>
      </text>
    </comment>
    <comment authorId="0" ref="F428">
      <text>
        <t xml:space="preserve">Illustrative generic shade assigned to this colour name for display. This is NOT a sourced or certified club-brand HEX value.</t>
      </text>
    </comment>
    <comment authorId="0" ref="C296">
      <text>
        <t xml:space="preserve">Illustrative generic shade assigned to this colour name for display. This is NOT a sourced or certified club-brand HEX value.</t>
      </text>
    </comment>
    <comment authorId="0" ref="D296">
      <text>
        <t xml:space="preserve">Illustrative generic shade assigned to this colour name for display. This is NOT a sourced or certified club-brand HEX value.</t>
      </text>
    </comment>
    <comment authorId="0" ref="E296">
      <text>
        <t xml:space="preserve">Illustrative generic shade assigned to this colour name for display. This is NOT a sourced or certified club-brand HEX value.</t>
      </text>
    </comment>
    <comment authorId="0" ref="F296">
      <text>
        <t xml:space="preserve">Illustrative generic shade assigned to this colour name for display. This is NOT a sourced or certified club-brand HEX value.</t>
      </text>
    </comment>
    <comment authorId="0" ref="C164">
      <text>
        <t xml:space="preserve">Illustrative generic shade assigned to this colour name for display. This is NOT a sourced or certified club-brand HEX value.</t>
      </text>
    </comment>
    <comment authorId="0" ref="D164">
      <text>
        <t xml:space="preserve">Illustrative generic shade assigned to this colour name for display. This is NOT a sourced or certified club-brand HEX value.</t>
      </text>
    </comment>
    <comment authorId="0" ref="E164">
      <text>
        <t xml:space="preserve">Illustrative generic shade assigned to this colour name for display. This is NOT a sourced or certified club-brand HEX value.</t>
      </text>
    </comment>
    <comment authorId="0" ref="F164">
      <text>
        <t xml:space="preserve">Illustrative generic shade assigned to this colour name for display. This is NOT a sourced or certified club-brand HEX value.</t>
      </text>
    </comment>
    <comment authorId="0" ref="C32">
      <text>
        <t xml:space="preserve">Illustrative generic shade assigned to this colour name for display. This is NOT a sourced or certified club-brand HEX value.</t>
      </text>
    </comment>
    <comment authorId="0" ref="D32">
      <text>
        <t xml:space="preserve">Illustrative generic shade assigned to this colour name for display. This is NOT a sourced or certified club-brand HEX value.</t>
      </text>
    </comment>
    <comment authorId="0" ref="E32">
      <text>
        <t xml:space="preserve">Illustrative generic shade assigned to this colour name for display. This is NOT a sourced or certified club-brand HEX value.</t>
      </text>
    </comment>
    <comment authorId="0" ref="F32">
      <text>
        <t xml:space="preserve">Illustrative generic shade assigned to this colour name for display. This is NOT a sourced or certified club-brand HEX value.</t>
      </text>
    </comment>
    <comment authorId="0" ref="C693">
      <text>
        <t xml:space="preserve">Illustrative generic shade assigned to this colour name for display. This is NOT a sourced or certified club-brand HEX value.</t>
      </text>
    </comment>
    <comment authorId="0" ref="E693">
      <text>
        <t xml:space="preserve">Illustrative generic shade assigned to this colour name for display. This is NOT a sourced or certified club-brand HEX value.</t>
      </text>
    </comment>
    <comment authorId="0" ref="F693">
      <text>
        <t xml:space="preserve">Illustrative generic shade assigned to this colour name for display. This is NOT a sourced or certified club-brand HEX value.</t>
      </text>
    </comment>
    <comment authorId="0" ref="E561">
      <text>
        <t xml:space="preserve">Illustrative generic shade assigned to this colour name for display. This is NOT a sourced or certified club-brand HEX value.</t>
      </text>
    </comment>
    <comment authorId="0" ref="F561">
      <text>
        <t xml:space="preserve">Illustrative generic shade assigned to this colour name for display. This is NOT a sourced or certified club-brand HEX value.</t>
      </text>
    </comment>
    <comment authorId="0" ref="C429">
      <text>
        <t xml:space="preserve">Illustrative generic shade assigned to this colour name for display. This is NOT a sourced or certified club-brand HEX value.</t>
      </text>
    </comment>
    <comment authorId="0" ref="D429">
      <text>
        <t xml:space="preserve">Illustrative generic shade assigned to this colour name for display. This is NOT a sourced or certified club-brand HEX value.</t>
      </text>
    </comment>
    <comment authorId="0" ref="E429">
      <text>
        <t xml:space="preserve">Illustrative generic shade assigned to this colour name for display. This is NOT a sourced or certified club-brand HEX value.</t>
      </text>
    </comment>
    <comment authorId="0" ref="F429">
      <text>
        <t xml:space="preserve">Illustrative generic shade assigned to this colour name for display. This is NOT a sourced or certified club-brand HEX value.</t>
      </text>
    </comment>
    <comment authorId="0" ref="C297">
      <text>
        <t xml:space="preserve">Illustrative generic shade assigned to this colour name for display. This is NOT a sourced or certified club-brand HEX value.</t>
      </text>
    </comment>
    <comment authorId="0" ref="D297">
      <text>
        <t xml:space="preserve">Illustrative generic shade assigned to this colour name for display. This is NOT a sourced or certified club-brand HEX value.</t>
      </text>
    </comment>
    <comment authorId="0" ref="E297">
      <text>
        <t xml:space="preserve">Illustrative generic shade assigned to this colour name for display. This is NOT a sourced or certified club-brand HEX value.</t>
      </text>
    </comment>
    <comment authorId="0" ref="F297">
      <text>
        <t xml:space="preserve">Illustrative generic shade assigned to this colour name for display. This is NOT a sourced or certified club-brand HEX value.</t>
      </text>
    </comment>
    <comment authorId="0" ref="C165">
      <text>
        <t xml:space="preserve">Illustrative generic shade assigned to this colour name for display. This is NOT a sourced or certified club-brand HEX value.</t>
      </text>
    </comment>
    <comment authorId="0" ref="D165">
      <text>
        <t xml:space="preserve">Illustrative generic shade assigned to this colour name for display. This is NOT a sourced or certified club-brand HEX value.</t>
      </text>
    </comment>
    <comment authorId="0" ref="E165">
      <text>
        <t xml:space="preserve">Illustrative generic shade assigned to this colour name for display. This is NOT a sourced or certified club-brand HEX value.</t>
      </text>
    </comment>
    <comment authorId="0" ref="F165">
      <text>
        <t xml:space="preserve">Illustrative generic shade assigned to this colour name for display. This is NOT a sourced or certified club-brand HEX value.</t>
      </text>
    </comment>
    <comment authorId="0" ref="C33">
      <text>
        <t xml:space="preserve">Illustrative generic shade assigned to this colour name for display. This is NOT a sourced or certified club-brand HEX value.</t>
      </text>
    </comment>
    <comment authorId="0" ref="D33">
      <text>
        <t xml:space="preserve">Illustrative generic shade assigned to this colour name for display. This is NOT a sourced or certified club-brand HEX value.</t>
      </text>
    </comment>
    <comment authorId="0" ref="E33">
      <text>
        <t xml:space="preserve">Illustrative generic shade assigned to this colour name for display. This is NOT a sourced or certified club-brand HEX value.</t>
      </text>
    </comment>
    <comment authorId="0" ref="F33">
      <text>
        <t xml:space="preserve">Illustrative generic shade assigned to this colour name for display. This is NOT a sourced or certified club-brand HEX value.</t>
      </text>
    </comment>
    <comment authorId="0" ref="C694">
      <text>
        <t xml:space="preserve">Illustrative generic shade assigned to this colour name for display. This is NOT a sourced or certified club-brand HEX value.</t>
      </text>
    </comment>
    <comment authorId="0" ref="D694">
      <text>
        <t xml:space="preserve">Illustrative generic shade assigned to this colour name for display. This is NOT a sourced or certified club-brand HEX value.</t>
      </text>
    </comment>
    <comment authorId="0" ref="E694">
      <text>
        <t xml:space="preserve">Illustrative generic shade assigned to this colour name for display. This is NOT a sourced or certified club-brand HEX value.</t>
      </text>
    </comment>
    <comment authorId="0" ref="F694">
      <text>
        <t xml:space="preserve">Illustrative generic shade assigned to this colour name for display. This is NOT a sourced or certified club-brand HEX value.</t>
      </text>
    </comment>
    <comment authorId="0" ref="C562">
      <text>
        <t xml:space="preserve">Illustrative generic shade assigned to this colour name for display. This is NOT a sourced or certified club-brand HEX value.</t>
      </text>
    </comment>
    <comment authorId="0" ref="D562">
      <text>
        <t xml:space="preserve">Illustrative generic shade assigned to this colour name for display. This is NOT a sourced or certified club-brand HEX value.</t>
      </text>
    </comment>
    <comment authorId="0" ref="E562">
      <text>
        <t xml:space="preserve">Illustrative generic shade assigned to this colour name for display. This is NOT a sourced or certified club-brand HEX value.</t>
      </text>
    </comment>
    <comment authorId="0" ref="F562">
      <text>
        <t xml:space="preserve">Illustrative generic shade assigned to this colour name for display. This is NOT a sourced or certified club-brand HEX value.</t>
      </text>
    </comment>
    <comment authorId="0" ref="C430">
      <text>
        <t xml:space="preserve">Illustrative generic shade assigned to this colour name for display. This is NOT a sourced or certified club-brand HEX value.</t>
      </text>
    </comment>
    <comment authorId="0" ref="D430">
      <text>
        <t xml:space="preserve">Illustrative generic shade assigned to this colour name for display. This is NOT a sourced or certified club-brand HEX value.</t>
      </text>
    </comment>
    <comment authorId="0" ref="E430">
      <text>
        <t xml:space="preserve">Illustrative generic shade assigned to this colour name for display. This is NOT a sourced or certified club-brand HEX value.</t>
      </text>
    </comment>
    <comment authorId="0" ref="F430">
      <text>
        <t xml:space="preserve">Illustrative generic shade assigned to this colour name for display. This is NOT a sourced or certified club-brand HEX value.</t>
      </text>
    </comment>
    <comment authorId="0" ref="C298">
      <text>
        <t xml:space="preserve">Illustrative generic shade assigned to this colour name for display. This is NOT a sourced or certified club-brand HEX value.</t>
      </text>
    </comment>
    <comment authorId="0" ref="D298">
      <text>
        <t xml:space="preserve">Illustrative generic shade assigned to this colour name for display. This is NOT a sourced or certified club-brand HEX value.</t>
      </text>
    </comment>
    <comment authorId="0" ref="E298">
      <text>
        <t xml:space="preserve">Illustrative generic shade assigned to this colour name for display. This is NOT a sourced or certified club-brand HEX value.</t>
      </text>
    </comment>
    <comment authorId="0" ref="F298">
      <text>
        <t xml:space="preserve">Illustrative generic shade assigned to this colour name for display. This is NOT a sourced or certified club-brand HEX value.</t>
      </text>
    </comment>
    <comment authorId="0" ref="C166">
      <text>
        <t xml:space="preserve">Illustrative generic shade assigned to this colour name for display. This is NOT a sourced or certified club-brand HEX value.</t>
      </text>
    </comment>
    <comment authorId="0" ref="D166">
      <text>
        <t xml:space="preserve">Illustrative generic shade assigned to this colour name for display. This is NOT a sourced or certified club-brand HEX value.</t>
      </text>
    </comment>
    <comment authorId="0" ref="E166">
      <text>
        <t xml:space="preserve">Illustrative generic shade assigned to this colour name for display. This is NOT a sourced or certified club-brand HEX value.</t>
      </text>
    </comment>
    <comment authorId="0" ref="F166">
      <text>
        <t xml:space="preserve">Illustrative generic shade assigned to this colour name for display. This is NOT a sourced or certified club-brand HEX value.</t>
      </text>
    </comment>
    <comment authorId="0" ref="C34">
      <text>
        <t xml:space="preserve">Illustrative generic shade assigned to this colour name for display. This is NOT a sourced or certified club-brand HEX value.</t>
      </text>
    </comment>
    <comment authorId="0" ref="D34">
      <text>
        <t xml:space="preserve">Illustrative generic shade assigned to this colour name for display. This is NOT a sourced or certified club-brand HEX value.</t>
      </text>
    </comment>
    <comment authorId="0" ref="E34">
      <text>
        <t xml:space="preserve">Illustrative generic shade assigned to this colour name for display. This is NOT a sourced or certified club-brand HEX value.</t>
      </text>
    </comment>
    <comment authorId="0" ref="F34">
      <text>
        <t xml:space="preserve">Illustrative generic shade assigned to this colour name for display. This is NOT a sourced or certified club-brand HEX value.</t>
      </text>
    </comment>
    <comment authorId="0" ref="C695">
      <text>
        <t xml:space="preserve">Illustrative generic shade assigned to this colour name for display. This is NOT a sourced or certified club-brand HEX value.</t>
      </text>
    </comment>
    <comment authorId="0" ref="D695">
      <text>
        <t xml:space="preserve">Illustrative generic shade assigned to this colour name for display. This is NOT a sourced or certified club-brand HEX value.</t>
      </text>
    </comment>
    <comment authorId="0" ref="E695">
      <text>
        <t xml:space="preserve">Illustrative generic shade assigned to this colour name for display. This is NOT a sourced or certified club-brand HEX value.</t>
      </text>
    </comment>
    <comment authorId="0" ref="F695">
      <text>
        <t xml:space="preserve">Illustrative generic shade assigned to this colour name for display. This is NOT a sourced or certified club-brand HEX value.</t>
      </text>
    </comment>
    <comment authorId="0" ref="C563">
      <text>
        <t xml:space="preserve">Illustrative generic shade assigned to this colour name for display. This is NOT a sourced or certified club-brand HEX value.</t>
      </text>
    </comment>
    <comment authorId="0" ref="D563">
      <text>
        <t xml:space="preserve">Illustrative generic shade assigned to this colour name for display. This is NOT a sourced or certified club-brand HEX value.</t>
      </text>
    </comment>
    <comment authorId="0" ref="E563">
      <text>
        <t xml:space="preserve">Illustrative generic shade assigned to this colour name for display. This is NOT a sourced or certified club-brand HEX value.</t>
      </text>
    </comment>
    <comment authorId="0" ref="F563">
      <text>
        <t xml:space="preserve">Illustrative generic shade assigned to this colour name for display. This is NOT a sourced or certified club-brand HEX value.</t>
      </text>
    </comment>
    <comment authorId="0" ref="C431">
      <text>
        <t xml:space="preserve">Illustrative generic shade assigned to this colour name for display. This is NOT a sourced or certified club-brand HEX value.</t>
      </text>
    </comment>
    <comment authorId="0" ref="D431">
      <text>
        <t xml:space="preserve">Illustrative generic shade assigned to this colour name for display. This is NOT a sourced or certified club-brand HEX value.</t>
      </text>
    </comment>
    <comment authorId="0" ref="E431">
      <text>
        <t xml:space="preserve">Illustrative generic shade assigned to this colour name for display. This is NOT a sourced or certified club-brand HEX value.</t>
      </text>
    </comment>
    <comment authorId="0" ref="F431">
      <text>
        <t xml:space="preserve">Illustrative generic shade assigned to this colour name for display. This is NOT a sourced or certified club-brand HEX value.</t>
      </text>
    </comment>
    <comment authorId="0" ref="C299">
      <text>
        <t xml:space="preserve">Illustrative generic shade assigned to this colour name for display. This is NOT a sourced or certified club-brand HEX value.</t>
      </text>
    </comment>
    <comment authorId="0" ref="D299">
      <text>
        <t xml:space="preserve">Illustrative generic shade assigned to this colour name for display. This is NOT a sourced or certified club-brand HEX value.</t>
      </text>
    </comment>
    <comment authorId="0" ref="E299">
      <text>
        <t xml:space="preserve">Illustrative generic shade assigned to this colour name for display. This is NOT a sourced or certified club-brand HEX value.</t>
      </text>
    </comment>
    <comment authorId="0" ref="F299">
      <text>
        <t xml:space="preserve">Illustrative generic shade assigned to this colour name for display. This is NOT a sourced or certified club-brand HEX value.</t>
      </text>
    </comment>
    <comment authorId="0" ref="C167">
      <text>
        <t xml:space="preserve">Illustrative generic shade assigned to this colour name for display. This is NOT a sourced or certified club-brand HEX value.</t>
      </text>
    </comment>
    <comment authorId="0" ref="D167">
      <text>
        <t xml:space="preserve">Illustrative generic shade assigned to this colour name for display. This is NOT a sourced or certified club-brand HEX value.</t>
      </text>
    </comment>
    <comment authorId="0" ref="E167">
      <text>
        <t xml:space="preserve">Illustrative generic shade assigned to this colour name for display. This is NOT a sourced or certified club-brand HEX value.</t>
      </text>
    </comment>
    <comment authorId="0" ref="F167">
      <text>
        <t xml:space="preserve">Illustrative generic shade assigned to this colour name for display. This is NOT a sourced or certified club-brand HEX value.</t>
      </text>
    </comment>
    <comment authorId="0" ref="C35">
      <text>
        <t xml:space="preserve">Illustrative generic shade assigned to this colour name for display. This is NOT a sourced or certified club-brand HEX value.</t>
      </text>
    </comment>
    <comment authorId="0" ref="D35">
      <text>
        <t xml:space="preserve">Illustrative generic shade assigned to this colour name for display. This is NOT a sourced or certified club-brand HEX value.</t>
      </text>
    </comment>
    <comment authorId="0" ref="E35">
      <text>
        <t xml:space="preserve">Illustrative generic shade assigned to this colour name for display. This is NOT a sourced or certified club-brand HEX value.</t>
      </text>
    </comment>
    <comment authorId="0" ref="F35">
      <text>
        <t xml:space="preserve">Illustrative generic shade assigned to this colour name for display. This is NOT a sourced or certified club-brand HEX value.</t>
      </text>
    </comment>
    <comment authorId="0" ref="C696">
      <text>
        <t xml:space="preserve">Illustrative generic shade assigned to this colour name for display. This is NOT a sourced or certified club-brand HEX value.</t>
      </text>
    </comment>
    <comment authorId="0" ref="D696">
      <text>
        <t xml:space="preserve">Illustrative generic shade assigned to this colour name for display. This is NOT a sourced or certified club-brand HEX value.</t>
      </text>
    </comment>
    <comment authorId="0" ref="E696">
      <text>
        <t xml:space="preserve">Illustrative generic shade assigned to this colour name for display. This is NOT a sourced or certified club-brand HEX value.</t>
      </text>
    </comment>
    <comment authorId="0" ref="F696">
      <text>
        <t xml:space="preserve">Illustrative generic shade assigned to this colour name for display. This is NOT a sourced or certified club-brand HEX value.</t>
      </text>
    </comment>
    <comment authorId="0" ref="C564">
      <text>
        <t xml:space="preserve">Illustrative generic shade assigned to this colour name for display. This is NOT a sourced or certified club-brand HEX value.</t>
      </text>
    </comment>
    <comment authorId="0" ref="D564">
      <text>
        <t xml:space="preserve">Illustrative generic shade assigned to this colour name for display. This is NOT a sourced or certified club-brand HEX value.</t>
      </text>
    </comment>
    <comment authorId="0" ref="E564">
      <text>
        <t xml:space="preserve">Illustrative generic shade assigned to this colour name for display. This is NOT a sourced or certified club-brand HEX value.</t>
      </text>
    </comment>
    <comment authorId="0" ref="F564">
      <text>
        <t xml:space="preserve">Illustrative generic shade assigned to this colour name for display. This is NOT a sourced or certified club-brand HEX value.</t>
      </text>
    </comment>
    <comment authorId="0" ref="C432">
      <text>
        <t xml:space="preserve">Illustrative generic shade assigned to this colour name for display. This is NOT a sourced or certified club-brand HEX value.</t>
      </text>
    </comment>
    <comment authorId="0" ref="D432">
      <text>
        <t xml:space="preserve">Illustrative generic shade assigned to this colour name for display. This is NOT a sourced or certified club-brand HEX value.</t>
      </text>
    </comment>
    <comment authorId="0" ref="E432">
      <text>
        <t xml:space="preserve">Illustrative generic shade assigned to this colour name for display. This is NOT a sourced or certified club-brand HEX value.</t>
      </text>
    </comment>
    <comment authorId="0" ref="F432">
      <text>
        <t xml:space="preserve">Illustrative generic shade assigned to this colour name for display. This is NOT a sourced or certified club-brand HEX value.</t>
      </text>
    </comment>
    <comment authorId="0" ref="C300">
      <text>
        <t xml:space="preserve">Illustrative generic shade assigned to this colour name for display. This is NOT a sourced or certified club-brand HEX value.</t>
      </text>
    </comment>
    <comment authorId="0" ref="D300">
      <text>
        <t xml:space="preserve">Illustrative generic shade assigned to this colour name for display. This is NOT a sourced or certified club-brand HEX value.</t>
      </text>
    </comment>
    <comment authorId="0" ref="E300">
      <text>
        <t xml:space="preserve">Illustrative generic shade assigned to this colour name for display. This is NOT a sourced or certified club-brand HEX value.</t>
      </text>
    </comment>
    <comment authorId="0" ref="F300">
      <text>
        <t xml:space="preserve">Illustrative generic shade assigned to this colour name for display. This is NOT a sourced or certified club-brand HEX value.</t>
      </text>
    </comment>
    <comment authorId="0" ref="C168">
      <text>
        <t xml:space="preserve">Illustrative generic shade assigned to this colour name for display. This is NOT a sourced or certified club-brand HEX value.</t>
      </text>
    </comment>
    <comment authorId="0" ref="D168">
      <text>
        <t xml:space="preserve">Illustrative generic shade assigned to this colour name for display. This is NOT a sourced or certified club-brand HEX value.</t>
      </text>
    </comment>
    <comment authorId="0" ref="E168">
      <text>
        <t xml:space="preserve">Illustrative generic shade assigned to this colour name for display. This is NOT a sourced or certified club-brand HEX value.</t>
      </text>
    </comment>
    <comment authorId="0" ref="F168">
      <text>
        <t xml:space="preserve">Illustrative generic shade assigned to this colour name for display. This is NOT a sourced or certified club-brand HEX value.</t>
      </text>
    </comment>
    <comment authorId="0" ref="C36">
      <text>
        <t xml:space="preserve">Illustrative generic shade assigned to this colour name for display. This is NOT a sourced or certified club-brand HEX value.</t>
      </text>
    </comment>
    <comment authorId="0" ref="D36">
      <text>
        <t xml:space="preserve">Illustrative generic shade assigned to this colour name for display. This is NOT a sourced or certified club-brand HEX value.</t>
      </text>
    </comment>
    <comment authorId="0" ref="E36">
      <text>
        <t xml:space="preserve">Illustrative generic shade assigned to this colour name for display. This is NOT a sourced or certified club-brand HEX value.</t>
      </text>
    </comment>
    <comment authorId="0" ref="F36">
      <text>
        <t xml:space="preserve">Illustrative generic shade assigned to this colour name for display. This is NOT a sourced or certified club-brand HEX value.</t>
      </text>
    </comment>
    <comment authorId="0" ref="C697">
      <text>
        <t xml:space="preserve">Illustrative generic shade assigned to this colour name for display. This is NOT a sourced or certified club-brand HEX value.</t>
      </text>
    </comment>
    <comment authorId="0" ref="D697">
      <text>
        <t xml:space="preserve">Illustrative generic shade assigned to this colour name for display. This is NOT a sourced or certified club-brand HEX value.</t>
      </text>
    </comment>
    <comment authorId="0" ref="E697">
      <text>
        <t xml:space="preserve">Illustrative generic shade assigned to this colour name for display. This is NOT a sourced or certified club-brand HEX value.</t>
      </text>
    </comment>
    <comment authorId="0" ref="F697">
      <text>
        <t xml:space="preserve">Illustrative generic shade assigned to this colour name for display. This is NOT a sourced or certified club-brand HEX value.</t>
      </text>
    </comment>
    <comment authorId="0" ref="E565">
      <text>
        <t xml:space="preserve">Illustrative generic shade assigned to this colour name for display. This is NOT a sourced or certified club-brand HEX value.</t>
      </text>
    </comment>
    <comment authorId="0" ref="F565">
      <text>
        <t xml:space="preserve">Illustrative generic shade assigned to this colour name for display. This is NOT a sourced or certified club-brand HEX value.</t>
      </text>
    </comment>
    <comment authorId="0" ref="E433">
      <text>
        <t xml:space="preserve">Illustrative generic shade assigned to this colour name for display. This is NOT a sourced or certified club-brand HEX value.</t>
      </text>
    </comment>
    <comment authorId="0" ref="F433">
      <text>
        <t xml:space="preserve">Illustrative generic shade assigned to this colour name for display. This is NOT a sourced or certified club-brand HEX value.</t>
      </text>
    </comment>
    <comment authorId="0" ref="C301">
      <text>
        <t xml:space="preserve">Illustrative generic shade assigned to this colour name for display. This is NOT a sourced or certified club-brand HEX value.</t>
      </text>
    </comment>
    <comment authorId="0" ref="D301">
      <text>
        <t xml:space="preserve">Illustrative generic shade assigned to this colour name for display. This is NOT a sourced or certified club-brand HEX value.</t>
      </text>
    </comment>
    <comment authorId="0" ref="E301">
      <text>
        <t xml:space="preserve">Illustrative generic shade assigned to this colour name for display. This is NOT a sourced or certified club-brand HEX value.</t>
      </text>
    </comment>
    <comment authorId="0" ref="F301">
      <text>
        <t xml:space="preserve">Illustrative generic shade assigned to this colour name for display. This is NOT a sourced or certified club-brand HEX value.</t>
      </text>
    </comment>
    <comment authorId="0" ref="C169">
      <text>
        <t xml:space="preserve">Illustrative generic shade assigned to this colour name for display. This is NOT a sourced or certified club-brand HEX value.</t>
      </text>
    </comment>
    <comment authorId="0" ref="D169">
      <text>
        <t xml:space="preserve">Illustrative generic shade assigned to this colour name for display. This is NOT a sourced or certified club-brand HEX value.</t>
      </text>
    </comment>
    <comment authorId="0" ref="E169">
      <text>
        <t xml:space="preserve">Illustrative generic shade assigned to this colour name for display. This is NOT a sourced or certified club-brand HEX value.</t>
      </text>
    </comment>
    <comment authorId="0" ref="F169">
      <text>
        <t xml:space="preserve">Illustrative generic shade assigned to this colour name for display. This is NOT a sourced or certified club-brand HEX value.</t>
      </text>
    </comment>
    <comment authorId="0" ref="C37">
      <text>
        <t xml:space="preserve">Illustrative generic shade assigned to this colour name for display. This is NOT a sourced or certified club-brand HEX value.</t>
      </text>
    </comment>
    <comment authorId="0" ref="D37">
      <text>
        <t xml:space="preserve">Illustrative generic shade assigned to this colour name for display. This is NOT a sourced or certified club-brand HEX value.</t>
      </text>
    </comment>
    <comment authorId="0" ref="E37">
      <text>
        <t xml:space="preserve">Illustrative generic shade assigned to this colour name for display. This is NOT a sourced or certified club-brand HEX value.</t>
      </text>
    </comment>
    <comment authorId="0" ref="F37">
      <text>
        <t xml:space="preserve">Illustrative generic shade assigned to this colour name for display. This is NOT a sourced or certified club-brand HEX value.</t>
      </text>
    </comment>
    <comment authorId="0" ref="C698">
      <text>
        <t xml:space="preserve">Illustrative generic shade assigned to this colour name for display. This is NOT a sourced or certified club-brand HEX value.</t>
      </text>
    </comment>
    <comment authorId="0" ref="D698">
      <text>
        <t xml:space="preserve">Illustrative generic shade assigned to this colour name for display. This is NOT a sourced or certified club-brand HEX value.</t>
      </text>
    </comment>
    <comment authorId="0" ref="E698">
      <text>
        <t xml:space="preserve">Illustrative generic shade assigned to this colour name for display. This is NOT a sourced or certified club-brand HEX value.</t>
      </text>
    </comment>
    <comment authorId="0" ref="F698">
      <text>
        <t xml:space="preserve">Illustrative generic shade assigned to this colour name for display. This is NOT a sourced or certified club-brand HEX value.</t>
      </text>
    </comment>
    <comment authorId="0" ref="E566">
      <text>
        <t xml:space="preserve">Illustrative generic shade assigned to this colour name for display. This is NOT a sourced or certified club-brand HEX value.</t>
      </text>
    </comment>
    <comment authorId="0" ref="F566">
      <text>
        <t xml:space="preserve">Illustrative generic shade assigned to this colour name for display. This is NOT a sourced or certified club-brand HEX value.</t>
      </text>
    </comment>
    <comment authorId="0" ref="E434">
      <text>
        <t xml:space="preserve">Illustrative generic shade assigned to this colour name for display. This is NOT a sourced or certified club-brand HEX value.</t>
      </text>
    </comment>
    <comment authorId="0" ref="F434">
      <text>
        <t xml:space="preserve">Illustrative generic shade assigned to this colour name for display. This is NOT a sourced or certified club-brand HEX value.</t>
      </text>
    </comment>
    <comment authorId="0" ref="C302">
      <text>
        <t xml:space="preserve">Illustrative generic shade assigned to this colour name for display. This is NOT a sourced or certified club-brand HEX value.</t>
      </text>
    </comment>
    <comment authorId="0" ref="D302">
      <text>
        <t xml:space="preserve">Illustrative generic shade assigned to this colour name for display. This is NOT a sourced or certified club-brand HEX value.</t>
      </text>
    </comment>
    <comment authorId="0" ref="E302">
      <text>
        <t xml:space="preserve">Illustrative generic shade assigned to this colour name for display. This is NOT a sourced or certified club-brand HEX value.</t>
      </text>
    </comment>
    <comment authorId="0" ref="F302">
      <text>
        <t xml:space="preserve">Illustrative generic shade assigned to this colour name for display. This is NOT a sourced or certified club-brand HEX value.</t>
      </text>
    </comment>
    <comment authorId="0" ref="C170">
      <text>
        <t xml:space="preserve">Illustrative generic shade assigned to this colour name for display. This is NOT a sourced or certified club-brand HEX value.</t>
      </text>
    </comment>
    <comment authorId="0" ref="D170">
      <text>
        <t xml:space="preserve">Illustrative generic shade assigned to this colour name for display. This is NOT a sourced or certified club-brand HEX value.</t>
      </text>
    </comment>
    <comment authorId="0" ref="E170">
      <text>
        <t xml:space="preserve">Illustrative generic shade assigned to this colour name for display. This is NOT a sourced or certified club-brand HEX value.</t>
      </text>
    </comment>
    <comment authorId="0" ref="F170">
      <text>
        <t xml:space="preserve">Illustrative generic shade assigned to this colour name for display. This is NOT a sourced or certified club-brand HEX value.</t>
      </text>
    </comment>
    <comment authorId="0" ref="C38">
      <text>
        <t xml:space="preserve">Illustrative generic shade assigned to this colour name for display. This is NOT a sourced or certified club-brand HEX value.</t>
      </text>
    </comment>
    <comment authorId="0" ref="D38">
      <text>
        <t xml:space="preserve">Illustrative generic shade assigned to this colour name for display. This is NOT a sourced or certified club-brand HEX value.</t>
      </text>
    </comment>
    <comment authorId="0" ref="E38">
      <text>
        <t xml:space="preserve">Illustrative generic shade assigned to this colour name for display. This is NOT a sourced or certified club-brand HEX value.</t>
      </text>
    </comment>
    <comment authorId="0" ref="F38">
      <text>
        <t xml:space="preserve">Illustrative generic shade assigned to this colour name for display. This is NOT a sourced or certified club-brand HEX value.</t>
      </text>
    </comment>
    <comment authorId="0" ref="C699">
      <text>
        <t xml:space="preserve">Illustrative generic shade assigned to this colour name for display. This is NOT a sourced or certified club-brand HEX value.</t>
      </text>
    </comment>
    <comment authorId="0" ref="D699">
      <text>
        <t xml:space="preserve">Illustrative generic shade assigned to this colour name for display. This is NOT a sourced or certified club-brand HEX value.</t>
      </text>
    </comment>
    <comment authorId="0" ref="E699">
      <text>
        <t xml:space="preserve">Illustrative generic shade assigned to this colour name for display. This is NOT a sourced or certified club-brand HEX value.</t>
      </text>
    </comment>
    <comment authorId="0" ref="F699">
      <text>
        <t xml:space="preserve">Illustrative generic shade assigned to this colour name for display. This is NOT a sourced or certified club-brand HEX value.</t>
      </text>
    </comment>
    <comment authorId="0" ref="E567">
      <text>
        <t xml:space="preserve">Illustrative generic shade assigned to this colour name for display. This is NOT a sourced or certified club-brand HEX value.</t>
      </text>
    </comment>
    <comment authorId="0" ref="F567">
      <text>
        <t xml:space="preserve">Illustrative generic shade assigned to this colour name for display. This is NOT a sourced or certified club-brand HEX value.</t>
      </text>
    </comment>
    <comment authorId="0" ref="E435">
      <text>
        <t xml:space="preserve">Illustrative generic shade assigned to this colour name for display. This is NOT a sourced or certified club-brand HEX value.</t>
      </text>
    </comment>
    <comment authorId="0" ref="F435">
      <text>
        <t xml:space="preserve">Illustrative generic shade assigned to this colour name for display. This is NOT a sourced or certified club-brand HEX value.</t>
      </text>
    </comment>
    <comment authorId="0" ref="C303">
      <text>
        <t xml:space="preserve">Illustrative generic shade assigned to this colour name for display. This is NOT a sourced or certified club-brand HEX value.</t>
      </text>
    </comment>
    <comment authorId="0" ref="D303">
      <text>
        <t xml:space="preserve">Illustrative generic shade assigned to this colour name for display. This is NOT a sourced or certified club-brand HEX value.</t>
      </text>
    </comment>
    <comment authorId="0" ref="E303">
      <text>
        <t xml:space="preserve">Illustrative generic shade assigned to this colour name for display. This is NOT a sourced or certified club-brand HEX value.</t>
      </text>
    </comment>
    <comment authorId="0" ref="F303">
      <text>
        <t xml:space="preserve">Illustrative generic shade assigned to this colour name for display. This is NOT a sourced or certified club-brand HEX value.</t>
      </text>
    </comment>
    <comment authorId="0" ref="C171">
      <text>
        <t xml:space="preserve">Illustrative generic shade assigned to this colour name for display. This is NOT a sourced or certified club-brand HEX value.</t>
      </text>
    </comment>
    <comment authorId="0" ref="D171">
      <text>
        <t xml:space="preserve">Illustrative generic shade assigned to this colour name for display. This is NOT a sourced or certified club-brand HEX value.</t>
      </text>
    </comment>
    <comment authorId="0" ref="E171">
      <text>
        <t xml:space="preserve">Illustrative generic shade assigned to this colour name for display. This is NOT a sourced or certified club-brand HEX value.</t>
      </text>
    </comment>
    <comment authorId="0" ref="F171">
      <text>
        <t xml:space="preserve">Illustrative generic shade assigned to this colour name for display. This is NOT a sourced or certified club-brand HEX value.</t>
      </text>
    </comment>
    <comment authorId="0" ref="C39">
      <text>
        <t xml:space="preserve">Illustrative generic shade assigned to this colour name for display. This is NOT a sourced or certified club-brand HEX value.</t>
      </text>
    </comment>
    <comment authorId="0" ref="D39">
      <text>
        <t xml:space="preserve">Illustrative generic shade assigned to this colour name for display. This is NOT a sourced or certified club-brand HEX value.</t>
      </text>
    </comment>
    <comment authorId="0" ref="E39">
      <text>
        <t xml:space="preserve">Illustrative generic shade assigned to this colour name for display. This is NOT a sourced or certified club-brand HEX value.</t>
      </text>
    </comment>
    <comment authorId="0" ref="F39">
      <text>
        <t xml:space="preserve">Illustrative generic shade assigned to this colour name for display. This is NOT a sourced or certified club-brand HEX value.</t>
      </text>
    </comment>
    <comment authorId="0" ref="C700">
      <text>
        <t xml:space="preserve">Illustrative generic shade assigned to this colour name for display. This is NOT a sourced or certified club-brand HEX value.</t>
      </text>
    </comment>
    <comment authorId="0" ref="D700">
      <text>
        <t xml:space="preserve">Illustrative generic shade assigned to this colour name for display. This is NOT a sourced or certified club-brand HEX value.</t>
      </text>
    </comment>
    <comment authorId="0" ref="E700">
      <text>
        <t xml:space="preserve">Illustrative generic shade assigned to this colour name for display. This is NOT a sourced or certified club-brand HEX value.</t>
      </text>
    </comment>
    <comment authorId="0" ref="F700">
      <text>
        <t xml:space="preserve">Illustrative generic shade assigned to this colour name for display. This is NOT a sourced or certified club-brand HEX value.</t>
      </text>
    </comment>
    <comment authorId="0" ref="C568">
      <text>
        <t xml:space="preserve">Illustrative generic shade assigned to this colour name for display. This is NOT a sourced or certified club-brand HEX value.</t>
      </text>
    </comment>
    <comment authorId="0" ref="D568">
      <text>
        <t xml:space="preserve">Illustrative generic shade assigned to this colour name for display. This is NOT a sourced or certified club-brand HEX value.</t>
      </text>
    </comment>
    <comment authorId="0" ref="E568">
      <text>
        <t xml:space="preserve">Illustrative generic shade assigned to this colour name for display. This is NOT a sourced or certified club-brand HEX value.</t>
      </text>
    </comment>
    <comment authorId="0" ref="F568">
      <text>
        <t xml:space="preserve">Illustrative generic shade assigned to this colour name for display. This is NOT a sourced or certified club-brand HEX value.</t>
      </text>
    </comment>
    <comment authorId="0" ref="E436">
      <text>
        <t xml:space="preserve">Illustrative generic shade assigned to this colour name for display. This is NOT a sourced or certified club-brand HEX value.</t>
      </text>
    </comment>
    <comment authorId="0" ref="F436">
      <text>
        <t xml:space="preserve">Illustrative generic shade assigned to this colour name for display. This is NOT a sourced or certified club-brand HEX value.</t>
      </text>
    </comment>
    <comment authorId="0" ref="C304">
      <text>
        <t xml:space="preserve">Illustrative generic shade assigned to this colour name for display. This is NOT a sourced or certified club-brand HEX value.</t>
      </text>
    </comment>
    <comment authorId="0" ref="D304">
      <text>
        <t xml:space="preserve">Illustrative generic shade assigned to this colour name for display. This is NOT a sourced or certified club-brand HEX value.</t>
      </text>
    </comment>
    <comment authorId="0" ref="E304">
      <text>
        <t xml:space="preserve">Illustrative generic shade assigned to this colour name for display. This is NOT a sourced or certified club-brand HEX value.</t>
      </text>
    </comment>
    <comment authorId="0" ref="F304">
      <text>
        <t xml:space="preserve">Illustrative generic shade assigned to this colour name for display. This is NOT a sourced or certified club-brand HEX value.</t>
      </text>
    </comment>
    <comment authorId="0" ref="C172">
      <text>
        <t xml:space="preserve">Illustrative generic shade assigned to this colour name for display. This is NOT a sourced or certified club-brand HEX value.</t>
      </text>
    </comment>
    <comment authorId="0" ref="D172">
      <text>
        <t xml:space="preserve">Illustrative generic shade assigned to this colour name for display. This is NOT a sourced or certified club-brand HEX value.</t>
      </text>
    </comment>
    <comment authorId="0" ref="E172">
      <text>
        <t xml:space="preserve">Illustrative generic shade assigned to this colour name for display. This is NOT a sourced or certified club-brand HEX value.</t>
      </text>
    </comment>
    <comment authorId="0" ref="F172">
      <text>
        <t xml:space="preserve">Illustrative generic shade assigned to this colour name for display. This is NOT a sourced or certified club-brand HEX value.</t>
      </text>
    </comment>
    <comment authorId="0" ref="C40">
      <text>
        <t xml:space="preserve">Illustrative generic shade assigned to this colour name for display. This is NOT a sourced or certified club-brand HEX value.</t>
      </text>
    </comment>
    <comment authorId="0" ref="D40">
      <text>
        <t xml:space="preserve">Illustrative generic shade assigned to this colour name for display. This is NOT a sourced or certified club-brand HEX value.</t>
      </text>
    </comment>
    <comment authorId="0" ref="E40">
      <text>
        <t xml:space="preserve">Illustrative generic shade assigned to this colour name for display. This is NOT a sourced or certified club-brand HEX value.</t>
      </text>
    </comment>
    <comment authorId="0" ref="F40">
      <text>
        <t xml:space="preserve">Illustrative generic shade assigned to this colour name for display. This is NOT a sourced or certified club-brand HEX value.</t>
      </text>
    </comment>
    <comment authorId="0" ref="C701">
      <text>
        <t xml:space="preserve">Illustrative generic shade assigned to this colour name for display. This is NOT a sourced or certified club-brand HEX value.</t>
      </text>
    </comment>
    <comment authorId="0" ref="D701">
      <text>
        <t xml:space="preserve">Illustrative generic shade assigned to this colour name for display. This is NOT a sourced or certified club-brand HEX value.</t>
      </text>
    </comment>
    <comment authorId="0" ref="E701">
      <text>
        <t xml:space="preserve">Illustrative generic shade assigned to this colour name for display. This is NOT a sourced or certified club-brand HEX value.</t>
      </text>
    </comment>
    <comment authorId="0" ref="F701">
      <text>
        <t xml:space="preserve">Illustrative generic shade assigned to this colour name for display. This is NOT a sourced or certified club-brand HEX value.</t>
      </text>
    </comment>
    <comment authorId="0" ref="E569">
      <text>
        <t xml:space="preserve">Illustrative generic shade assigned to this colour name for display. This is NOT a sourced or certified club-brand HEX value.</t>
      </text>
    </comment>
    <comment authorId="0" ref="F569">
      <text>
        <t xml:space="preserve">Illustrative generic shade assigned to this colour name for display. This is NOT a sourced or certified club-brand HEX value.</t>
      </text>
    </comment>
    <comment authorId="0" ref="C437">
      <text>
        <t xml:space="preserve">Illustrative generic shade assigned to this colour name for display. This is NOT a sourced or certified club-brand HEX value.</t>
      </text>
    </comment>
    <comment authorId="0" ref="D437">
      <text>
        <t xml:space="preserve">Illustrative generic shade assigned to this colour name for display. This is NOT a sourced or certified club-brand HEX value.</t>
      </text>
    </comment>
    <comment authorId="0" ref="E437">
      <text>
        <t xml:space="preserve">Illustrative generic shade assigned to this colour name for display. This is NOT a sourced or certified club-brand HEX value.</t>
      </text>
    </comment>
    <comment authorId="0" ref="F437">
      <text>
        <t xml:space="preserve">Illustrative generic shade assigned to this colour name for display. This is NOT a sourced or certified club-brand HEX value.</t>
      </text>
    </comment>
    <comment authorId="0" ref="C305">
      <text>
        <t xml:space="preserve">Illustrative generic shade assigned to this colour name for display. This is NOT a sourced or certified club-brand HEX value.</t>
      </text>
    </comment>
    <comment authorId="0" ref="D305">
      <text>
        <t xml:space="preserve">Illustrative generic shade assigned to this colour name for display. This is NOT a sourced or certified club-brand HEX value.</t>
      </text>
    </comment>
    <comment authorId="0" ref="E305">
      <text>
        <t xml:space="preserve">Illustrative generic shade assigned to this colour name for display. This is NOT a sourced or certified club-brand HEX value.</t>
      </text>
    </comment>
    <comment authorId="0" ref="F305">
      <text>
        <t xml:space="preserve">Illustrative generic shade assigned to this colour name for display. This is NOT a sourced or certified club-brand HEX value.</t>
      </text>
    </comment>
    <comment authorId="0" ref="C173">
      <text>
        <t xml:space="preserve">Illustrative generic shade assigned to this colour name for display. This is NOT a sourced or certified club-brand HEX value.</t>
      </text>
    </comment>
    <comment authorId="0" ref="D173">
      <text>
        <t xml:space="preserve">Illustrative generic shade assigned to this colour name for display. This is NOT a sourced or certified club-brand HEX value.</t>
      </text>
    </comment>
    <comment authorId="0" ref="E173">
      <text>
        <t xml:space="preserve">Illustrative generic shade assigned to this colour name for display. This is NOT a sourced or certified club-brand HEX value.</t>
      </text>
    </comment>
    <comment authorId="0" ref="F173">
      <text>
        <t xml:space="preserve">Illustrative generic shade assigned to this colour name for display. This is NOT a sourced or certified club-brand HEX value.</t>
      </text>
    </comment>
    <comment authorId="0" ref="C41">
      <text>
        <t xml:space="preserve">Illustrative generic shade assigned to this colour name for display. This is NOT a sourced or certified club-brand HEX value.</t>
      </text>
    </comment>
    <comment authorId="0" ref="D41">
      <text>
        <t xml:space="preserve">Illustrative generic shade assigned to this colour name for display. This is NOT a sourced or certified club-brand HEX value.</t>
      </text>
    </comment>
    <comment authorId="0" ref="E41">
      <text>
        <t xml:space="preserve">Illustrative generic shade assigned to this colour name for display. This is NOT a sourced or certified club-brand HEX value.</t>
      </text>
    </comment>
    <comment authorId="0" ref="F41">
      <text>
        <t xml:space="preserve">Illustrative generic shade assigned to this colour name for display. This is NOT a sourced or certified club-brand HEX value.</t>
      </text>
    </comment>
    <comment authorId="0" ref="C702">
      <text>
        <t xml:space="preserve">Illustrative generic shade assigned to this colour name for display. This is NOT a sourced or certified club-brand HEX value.</t>
      </text>
    </comment>
    <comment authorId="0" ref="D702">
      <text>
        <t xml:space="preserve">Illustrative generic shade assigned to this colour name for display. This is NOT a sourced or certified club-brand HEX value.</t>
      </text>
    </comment>
    <comment authorId="0" ref="E702">
      <text>
        <t xml:space="preserve">Illustrative generic shade assigned to this colour name for display. This is NOT a sourced or certified club-brand HEX value.</t>
      </text>
    </comment>
    <comment authorId="0" ref="F702">
      <text>
        <t xml:space="preserve">Illustrative generic shade assigned to this colour name for display. This is NOT a sourced or certified club-brand HEX value.</t>
      </text>
    </comment>
    <comment authorId="0" ref="E570">
      <text>
        <t xml:space="preserve">Illustrative generic shade assigned to this colour name for display. This is NOT a sourced or certified club-brand HEX value.</t>
      </text>
    </comment>
    <comment authorId="0" ref="F570">
      <text>
        <t xml:space="preserve">Illustrative generic shade assigned to this colour name for display. This is NOT a sourced or certified club-brand HEX value.</t>
      </text>
    </comment>
    <comment authorId="0" ref="E438">
      <text>
        <t xml:space="preserve">Illustrative generic shade assigned to this colour name for display. This is NOT a sourced or certified club-brand HEX value.</t>
      </text>
    </comment>
    <comment authorId="0" ref="F438">
      <text>
        <t xml:space="preserve">Illustrative generic shade assigned to this colour name for display. This is NOT a sourced or certified club-brand HEX value.</t>
      </text>
    </comment>
    <comment authorId="0" ref="C306">
      <text>
        <t xml:space="preserve">Illustrative generic shade assigned to this colour name for display. This is NOT a sourced or certified club-brand HEX value.</t>
      </text>
    </comment>
    <comment authorId="0" ref="D306">
      <text>
        <t xml:space="preserve">Illustrative generic shade assigned to this colour name for display. This is NOT a sourced or certified club-brand HEX value.</t>
      </text>
    </comment>
    <comment authorId="0" ref="E306">
      <text>
        <t xml:space="preserve">Illustrative generic shade assigned to this colour name for display. This is NOT a sourced or certified club-brand HEX value.</t>
      </text>
    </comment>
    <comment authorId="0" ref="F306">
      <text>
        <t xml:space="preserve">Illustrative generic shade assigned to this colour name for display. This is NOT a sourced or certified club-brand HEX value.</t>
      </text>
    </comment>
    <comment authorId="0" ref="C174">
      <text>
        <t xml:space="preserve">Illustrative generic shade assigned to this colour name for display. This is NOT a sourced or certified club-brand HEX value.</t>
      </text>
    </comment>
    <comment authorId="0" ref="D174">
      <text>
        <t xml:space="preserve">Illustrative generic shade assigned to this colour name for display. This is NOT a sourced or certified club-brand HEX value.</t>
      </text>
    </comment>
    <comment authorId="0" ref="E174">
      <text>
        <t xml:space="preserve">Illustrative generic shade assigned to this colour name for display. This is NOT a sourced or certified club-brand HEX value.</t>
      </text>
    </comment>
    <comment authorId="0" ref="F174">
      <text>
        <t xml:space="preserve">Illustrative generic shade assigned to this colour name for display. This is NOT a sourced or certified club-brand HEX value.</t>
      </text>
    </comment>
    <comment authorId="0" ref="C42">
      <text>
        <t xml:space="preserve">Illustrative generic shade assigned to this colour name for display. This is NOT a sourced or certified club-brand HEX value.</t>
      </text>
    </comment>
    <comment authorId="0" ref="D42">
      <text>
        <t xml:space="preserve">Illustrative generic shade assigned to this colour name for display. This is NOT a sourced or certified club-brand HEX value.</t>
      </text>
    </comment>
    <comment authorId="0" ref="E42">
      <text>
        <t xml:space="preserve">Illustrative generic shade assigned to this colour name for display. This is NOT a sourced or certified club-brand HEX value.</t>
      </text>
    </comment>
    <comment authorId="0" ref="F42">
      <text>
        <t xml:space="preserve">Illustrative generic shade assigned to this colour name for display. This is NOT a sourced or certified club-brand HEX value.</t>
      </text>
    </comment>
    <comment authorId="0" ref="C703">
      <text>
        <t xml:space="preserve">Illustrative generic shade assigned to this colour name for display. This is NOT a sourced or certified club-brand HEX value.</t>
      </text>
    </comment>
    <comment authorId="0" ref="D703">
      <text>
        <t xml:space="preserve">Illustrative generic shade assigned to this colour name for display. This is NOT a sourced or certified club-brand HEX value.</t>
      </text>
    </comment>
    <comment authorId="0" ref="E703">
      <text>
        <t xml:space="preserve">Illustrative generic shade assigned to this colour name for display. This is NOT a sourced or certified club-brand HEX value.</t>
      </text>
    </comment>
    <comment authorId="0" ref="F703">
      <text>
        <t xml:space="preserve">Illustrative generic shade assigned to this colour name for display. This is NOT a sourced or certified club-brand HEX value.</t>
      </text>
    </comment>
    <comment authorId="0" ref="E571">
      <text>
        <t xml:space="preserve">Illustrative generic shade assigned to this colour name for display. This is NOT a sourced or certified club-brand HEX value.</t>
      </text>
    </comment>
    <comment authorId="0" ref="F571">
      <text>
        <t xml:space="preserve">Illustrative generic shade assigned to this colour name for display. This is NOT a sourced or certified club-brand HEX value.</t>
      </text>
    </comment>
    <comment authorId="0" ref="E439">
      <text>
        <t xml:space="preserve">Illustrative generic shade assigned to this colour name for display. This is NOT a sourced or certified club-brand HEX value.</t>
      </text>
    </comment>
    <comment authorId="0" ref="F439">
      <text>
        <t xml:space="preserve">Illustrative generic shade assigned to this colour name for display. This is NOT a sourced or certified club-brand HEX value.</t>
      </text>
    </comment>
    <comment authorId="0" ref="C307">
      <text>
        <t xml:space="preserve">Illustrative generic shade assigned to this colour name for display. This is NOT a sourced or certified club-brand HEX value.</t>
      </text>
    </comment>
    <comment authorId="0" ref="D307">
      <text>
        <t xml:space="preserve">Illustrative generic shade assigned to this colour name for display. This is NOT a sourced or certified club-brand HEX value.</t>
      </text>
    </comment>
    <comment authorId="0" ref="E307">
      <text>
        <t xml:space="preserve">Illustrative generic shade assigned to this colour name for display. This is NOT a sourced or certified club-brand HEX value.</t>
      </text>
    </comment>
    <comment authorId="0" ref="F307">
      <text>
        <t xml:space="preserve">Illustrative generic shade assigned to this colour name for display. This is NOT a sourced or certified club-brand HEX value.</t>
      </text>
    </comment>
    <comment authorId="0" ref="C175">
      <text>
        <t xml:space="preserve">Illustrative generic shade assigned to this colour name for display. This is NOT a sourced or certified club-brand HEX value.</t>
      </text>
    </comment>
    <comment authorId="0" ref="D175">
      <text>
        <t xml:space="preserve">Illustrative generic shade assigned to this colour name for display. This is NOT a sourced or certified club-brand HEX value.</t>
      </text>
    </comment>
    <comment authorId="0" ref="E175">
      <text>
        <t xml:space="preserve">Illustrative generic shade assigned to this colour name for display. This is NOT a sourced or certified club-brand HEX value.</t>
      </text>
    </comment>
    <comment authorId="0" ref="F175">
      <text>
        <t xml:space="preserve">Illustrative generic shade assigned to this colour name for display. This is NOT a sourced or certified club-brand HEX value.</t>
      </text>
    </comment>
    <comment authorId="0" ref="C43">
      <text>
        <t xml:space="preserve">Illustrative generic shade assigned to this colour name for display. This is NOT a sourced or certified club-brand HEX value.</t>
      </text>
    </comment>
    <comment authorId="0" ref="D43">
      <text>
        <t xml:space="preserve">Illustrative generic shade assigned to this colour name for display. This is NOT a sourced or certified club-brand HEX value.</t>
      </text>
    </comment>
    <comment authorId="0" ref="E43">
      <text>
        <t xml:space="preserve">Illustrative generic shade assigned to this colour name for display. This is NOT a sourced or certified club-brand HEX value.</t>
      </text>
    </comment>
    <comment authorId="0" ref="F43">
      <text>
        <t xml:space="preserve">Illustrative generic shade assigned to this colour name for display. This is NOT a sourced or certified club-brand HEX value.</t>
      </text>
    </comment>
    <comment authorId="0" ref="C704">
      <text>
        <t xml:space="preserve">Illustrative generic shade assigned to this colour name for display. This is NOT a sourced or certified club-brand HEX value.</t>
      </text>
    </comment>
    <comment authorId="0" ref="D704">
      <text>
        <t xml:space="preserve">Illustrative generic shade assigned to this colour name for display. This is NOT a sourced or certified club-brand HEX value.</t>
      </text>
    </comment>
    <comment authorId="0" ref="E704">
      <text>
        <t xml:space="preserve">Illustrative generic shade assigned to this colour name for display. This is NOT a sourced or certified club-brand HEX value.</t>
      </text>
    </comment>
    <comment authorId="0" ref="F704">
      <text>
        <t xml:space="preserve">Illustrative generic shade assigned to this colour name for display. This is NOT a sourced or certified club-brand HEX value.</t>
      </text>
    </comment>
    <comment authorId="0" ref="C572">
      <text>
        <t xml:space="preserve">Illustrative generic shade assigned to this colour name for display. This is NOT a sourced or certified club-brand HEX value.</t>
      </text>
    </comment>
    <comment authorId="0" ref="D572">
      <text>
        <t xml:space="preserve">Illustrative generic shade assigned to this colour name for display. This is NOT a sourced or certified club-brand HEX value.</t>
      </text>
    </comment>
    <comment authorId="0" ref="E572">
      <text>
        <t xml:space="preserve">Illustrative generic shade assigned to this colour name for display. This is NOT a sourced or certified club-brand HEX value.</t>
      </text>
    </comment>
    <comment authorId="0" ref="F572">
      <text>
        <t xml:space="preserve">Illustrative generic shade assigned to this colour name for display. This is NOT a sourced or certified club-brand HEX value.</t>
      </text>
    </comment>
    <comment authorId="0" ref="C440">
      <text>
        <t xml:space="preserve">Illustrative generic shade assigned to this colour name for display. This is NOT a sourced or certified club-brand HEX value.</t>
      </text>
    </comment>
    <comment authorId="0" ref="D440">
      <text>
        <t xml:space="preserve">Illustrative generic shade assigned to this colour name for display. This is NOT a sourced or certified club-brand HEX value.</t>
      </text>
    </comment>
    <comment authorId="0" ref="E440">
      <text>
        <t xml:space="preserve">Illustrative generic shade assigned to this colour name for display. This is NOT a sourced or certified club-brand HEX value.</t>
      </text>
    </comment>
    <comment authorId="0" ref="F440">
      <text>
        <t xml:space="preserve">Illustrative generic shade assigned to this colour name for display. This is NOT a sourced or certified club-brand HEX value.</t>
      </text>
    </comment>
    <comment authorId="0" ref="C308">
      <text>
        <t xml:space="preserve">Illustrative generic shade assigned to this colour name for display. This is NOT a sourced or certified club-brand HEX value.</t>
      </text>
    </comment>
    <comment authorId="0" ref="D308">
      <text>
        <t xml:space="preserve">Illustrative generic shade assigned to this colour name for display. This is NOT a sourced or certified club-brand HEX value.</t>
      </text>
    </comment>
    <comment authorId="0" ref="E308">
      <text>
        <t xml:space="preserve">Illustrative generic shade assigned to this colour name for display. This is NOT a sourced or certified club-brand HEX value.</t>
      </text>
    </comment>
    <comment authorId="0" ref="F308">
      <text>
        <t xml:space="preserve">Illustrative generic shade assigned to this colour name for display. This is NOT a sourced or certified club-brand HEX value.</t>
      </text>
    </comment>
    <comment authorId="0" ref="C176">
      <text>
        <t xml:space="preserve">Illustrative generic shade assigned to this colour name for display. This is NOT a sourced or certified club-brand HEX value.</t>
      </text>
    </comment>
    <comment authorId="0" ref="D176">
      <text>
        <t xml:space="preserve">Illustrative generic shade assigned to this colour name for display. This is NOT a sourced or certified club-brand HEX value.</t>
      </text>
    </comment>
    <comment authorId="0" ref="E176">
      <text>
        <t xml:space="preserve">Illustrative generic shade assigned to this colour name for display. This is NOT a sourced or certified club-brand HEX value.</t>
      </text>
    </comment>
    <comment authorId="0" ref="F176">
      <text>
        <t xml:space="preserve">Illustrative generic shade assigned to this colour name for display. This is NOT a sourced or certified club-brand HEX value.</t>
      </text>
    </comment>
    <comment authorId="0" ref="C44">
      <text>
        <t xml:space="preserve">Illustrative generic shade assigned to this colour name for display. This is NOT a sourced or certified club-brand HEX value.</t>
      </text>
    </comment>
    <comment authorId="0" ref="D44">
      <text>
        <t xml:space="preserve">Illustrative generic shade assigned to this colour name for display. This is NOT a sourced or certified club-brand HEX value.</t>
      </text>
    </comment>
    <comment authorId="0" ref="E44">
      <text>
        <t xml:space="preserve">Illustrative generic shade assigned to this colour name for display. This is NOT a sourced or certified club-brand HEX value.</t>
      </text>
    </comment>
    <comment authorId="0" ref="F44">
      <text>
        <t xml:space="preserve">Illustrative generic shade assigned to this colour name for display. This is NOT a sourced or certified club-brand HEX value.</t>
      </text>
    </comment>
    <comment authorId="0" ref="C705">
      <text>
        <t xml:space="preserve">Illustrative generic shade assigned to this colour name for display. This is NOT a sourced or certified club-brand HEX value.</t>
      </text>
    </comment>
    <comment authorId="0" ref="D705">
      <text>
        <t xml:space="preserve">Illustrative generic shade assigned to this colour name for display. This is NOT a sourced or certified club-brand HEX value.</t>
      </text>
    </comment>
    <comment authorId="0" ref="E705">
      <text>
        <t xml:space="preserve">Illustrative generic shade assigned to this colour name for display. This is NOT a sourced or certified club-brand HEX value.</t>
      </text>
    </comment>
    <comment authorId="0" ref="F705">
      <text>
        <t xml:space="preserve">Illustrative generic shade assigned to this colour name for display. This is NOT a sourced or certified club-brand HEX value.</t>
      </text>
    </comment>
    <comment authorId="0" ref="C573">
      <text>
        <t xml:space="preserve">Illustrative generic shade assigned to this colour name for display. This is NOT a sourced or certified club-brand HEX value.</t>
      </text>
    </comment>
    <comment authorId="0" ref="D573">
      <text>
        <t xml:space="preserve">Illustrative generic shade assigned to this colour name for display. This is NOT a sourced or certified club-brand HEX value.</t>
      </text>
    </comment>
    <comment authorId="0" ref="E573">
      <text>
        <t xml:space="preserve">Illustrative generic shade assigned to this colour name for display. This is NOT a sourced or certified club-brand HEX value.</t>
      </text>
    </comment>
    <comment authorId="0" ref="F573">
      <text>
        <t xml:space="preserve">Illustrative generic shade assigned to this colour name for display. This is NOT a sourced or certified club-brand HEX value.</t>
      </text>
    </comment>
    <comment authorId="0" ref="E441">
      <text>
        <t xml:space="preserve">Illustrative generic shade assigned to this colour name for display. This is NOT a sourced or certified club-brand HEX value.</t>
      </text>
    </comment>
    <comment authorId="0" ref="F441">
      <text>
        <t xml:space="preserve">Illustrative generic shade assigned to this colour name for display. This is NOT a sourced or certified club-brand HEX value.</t>
      </text>
    </comment>
    <comment authorId="0" ref="C309">
      <text>
        <t xml:space="preserve">Illustrative generic shade assigned to this colour name for display. This is NOT a sourced or certified club-brand HEX value.</t>
      </text>
    </comment>
    <comment authorId="0" ref="D309">
      <text>
        <t xml:space="preserve">Illustrative generic shade assigned to this colour name for display. This is NOT a sourced or certified club-brand HEX value.</t>
      </text>
    </comment>
    <comment authorId="0" ref="E309">
      <text>
        <t xml:space="preserve">Illustrative generic shade assigned to this colour name for display. This is NOT a sourced or certified club-brand HEX value.</t>
      </text>
    </comment>
    <comment authorId="0" ref="F309">
      <text>
        <t xml:space="preserve">Illustrative generic shade assigned to this colour name for display. This is NOT a sourced or certified club-brand HEX value.</t>
      </text>
    </comment>
    <comment authorId="0" ref="C177">
      <text>
        <t xml:space="preserve">Illustrative generic shade assigned to this colour name for display. This is NOT a sourced or certified club-brand HEX value.</t>
      </text>
    </comment>
    <comment authorId="0" ref="D177">
      <text>
        <t xml:space="preserve">Illustrative generic shade assigned to this colour name for display. This is NOT a sourced or certified club-brand HEX value.</t>
      </text>
    </comment>
    <comment authorId="0" ref="E177">
      <text>
        <t xml:space="preserve">Illustrative generic shade assigned to this colour name for display. This is NOT a sourced or certified club-brand HEX value.</t>
      </text>
    </comment>
    <comment authorId="0" ref="F177">
      <text>
        <t xml:space="preserve">Illustrative generic shade assigned to this colour name for display. This is NOT a sourced or certified club-brand HEX value.</t>
      </text>
    </comment>
    <comment authorId="0" ref="C45">
      <text>
        <t xml:space="preserve">Illustrative generic shade assigned to this colour name for display. This is NOT a sourced or certified club-brand HEX value.</t>
      </text>
    </comment>
    <comment authorId="0" ref="D45">
      <text>
        <t xml:space="preserve">Illustrative generic shade assigned to this colour name for display. This is NOT a sourced or certified club-brand HEX value.</t>
      </text>
    </comment>
    <comment authorId="0" ref="E45">
      <text>
        <t xml:space="preserve">Illustrative generic shade assigned to this colour name for display. This is NOT a sourced or certified club-brand HEX value.</t>
      </text>
    </comment>
    <comment authorId="0" ref="F45">
      <text>
        <t xml:space="preserve">Illustrative generic shade assigned to this colour name for display. This is NOT a sourced or certified club-brand HEX value.</t>
      </text>
    </comment>
    <comment authorId="0" ref="C706">
      <text>
        <t xml:space="preserve">Illustrative generic shade assigned to this colour name for display. This is NOT a sourced or certified club-brand HEX value.</t>
      </text>
    </comment>
    <comment authorId="0" ref="D706">
      <text>
        <t xml:space="preserve">Illustrative generic shade assigned to this colour name for display. This is NOT a sourced or certified club-brand HEX value.</t>
      </text>
    </comment>
    <comment authorId="0" ref="E706">
      <text>
        <t xml:space="preserve">Illustrative generic shade assigned to this colour name for display. This is NOT a sourced or certified club-brand HEX value.</t>
      </text>
    </comment>
    <comment authorId="0" ref="F706">
      <text>
        <t xml:space="preserve">Illustrative generic shade assigned to this colour name for display. This is NOT a sourced or certified club-brand HEX value.</t>
      </text>
    </comment>
    <comment authorId="0" ref="E574">
      <text>
        <t xml:space="preserve">Illustrative generic shade assigned to this colour name for display. This is NOT a sourced or certified club-brand HEX value.</t>
      </text>
    </comment>
    <comment authorId="0" ref="F574">
      <text>
        <t xml:space="preserve">Illustrative generic shade assigned to this colour name for display. This is NOT a sourced or certified club-brand HEX value.</t>
      </text>
    </comment>
    <comment authorId="0" ref="C442">
      <text>
        <t xml:space="preserve">Illustrative generic shade assigned to this colour name for display. This is NOT a sourced or certified club-brand HEX value.</t>
      </text>
    </comment>
    <comment authorId="0" ref="D442">
      <text>
        <t xml:space="preserve">Illustrative generic shade assigned to this colour name for display. This is NOT a sourced or certified club-brand HEX value.</t>
      </text>
    </comment>
    <comment authorId="0" ref="E442">
      <text>
        <t xml:space="preserve">Illustrative generic shade assigned to this colour name for display. This is NOT a sourced or certified club-brand HEX value.</t>
      </text>
    </comment>
    <comment authorId="0" ref="F442">
      <text>
        <t xml:space="preserve">Illustrative generic shade assigned to this colour name for display. This is NOT a sourced or certified club-brand HEX value.</t>
      </text>
    </comment>
    <comment authorId="0" ref="C310">
      <text>
        <t xml:space="preserve">Illustrative generic shade assigned to this colour name for display. This is NOT a sourced or certified club-brand HEX value.</t>
      </text>
    </comment>
    <comment authorId="0" ref="D310">
      <text>
        <t xml:space="preserve">Illustrative generic shade assigned to this colour name for display. This is NOT a sourced or certified club-brand HEX value.</t>
      </text>
    </comment>
    <comment authorId="0" ref="E310">
      <text>
        <t xml:space="preserve">Illustrative generic shade assigned to this colour name for display. This is NOT a sourced or certified club-brand HEX value.</t>
      </text>
    </comment>
    <comment authorId="0" ref="F310">
      <text>
        <t xml:space="preserve">Illustrative generic shade assigned to this colour name for display. This is NOT a sourced or certified club-brand HEX value.</t>
      </text>
    </comment>
    <comment authorId="0" ref="C178">
      <text>
        <t xml:space="preserve">Illustrative generic shade assigned to this colour name for display. This is NOT a sourced or certified club-brand HEX value.</t>
      </text>
    </comment>
    <comment authorId="0" ref="D178">
      <text>
        <t xml:space="preserve">Illustrative generic shade assigned to this colour name for display. This is NOT a sourced or certified club-brand HEX value.</t>
      </text>
    </comment>
    <comment authorId="0" ref="E178">
      <text>
        <t xml:space="preserve">Illustrative generic shade assigned to this colour name for display. This is NOT a sourced or certified club-brand HEX value.</t>
      </text>
    </comment>
    <comment authorId="0" ref="F178">
      <text>
        <t xml:space="preserve">Illustrative generic shade assigned to this colour name for display. This is NOT a sourced or certified club-brand HEX value.</t>
      </text>
    </comment>
    <comment authorId="0" ref="C46">
      <text>
        <t xml:space="preserve">Illustrative generic shade assigned to this colour name for display. This is NOT a sourced or certified club-brand HEX value.</t>
      </text>
    </comment>
    <comment authorId="0" ref="D46">
      <text>
        <t xml:space="preserve">Illustrative generic shade assigned to this colour name for display. This is NOT a sourced or certified club-brand HEX value.</t>
      </text>
    </comment>
    <comment authorId="0" ref="E46">
      <text>
        <t xml:space="preserve">Illustrative generic shade assigned to this colour name for display. This is NOT a sourced or certified club-brand HEX value.</t>
      </text>
    </comment>
    <comment authorId="0" ref="F46">
      <text>
        <t xml:space="preserve">Illustrative generic shade assigned to this colour name for display. This is NOT a sourced or certified club-brand HEX value.</t>
      </text>
    </comment>
    <comment authorId="0" ref="C707">
      <text>
        <t xml:space="preserve">Illustrative generic shade assigned to this colour name for display. This is NOT a sourced or certified club-brand HEX value.</t>
      </text>
    </comment>
    <comment authorId="0" ref="D707">
      <text>
        <t xml:space="preserve">Illustrative generic shade assigned to this colour name for display. This is NOT a sourced or certified club-brand HEX value.</t>
      </text>
    </comment>
    <comment authorId="0" ref="E707">
      <text>
        <t xml:space="preserve">Illustrative generic shade assigned to this colour name for display. This is NOT a sourced or certified club-brand HEX value.</t>
      </text>
    </comment>
    <comment authorId="0" ref="F707">
      <text>
        <t xml:space="preserve">Illustrative generic shade assigned to this colour name for display. This is NOT a sourced or certified club-brand HEX value.</t>
      </text>
    </comment>
    <comment authorId="0" ref="C575">
      <text>
        <t xml:space="preserve">Illustrative generic shade assigned to this colour name for display. This is NOT a sourced or certified club-brand HEX value.</t>
      </text>
    </comment>
    <comment authorId="0" ref="D575">
      <text>
        <t xml:space="preserve">Illustrative generic shade assigned to this colour name for display. This is NOT a sourced or certified club-brand HEX value.</t>
      </text>
    </comment>
    <comment authorId="0" ref="E575">
      <text>
        <t xml:space="preserve">Illustrative generic shade assigned to this colour name for display. This is NOT a sourced or certified club-brand HEX value.</t>
      </text>
    </comment>
    <comment authorId="0" ref="F575">
      <text>
        <t xml:space="preserve">Illustrative generic shade assigned to this colour name for display. This is NOT a sourced or certified club-brand HEX value.</t>
      </text>
    </comment>
    <comment authorId="0" ref="E443">
      <text>
        <t xml:space="preserve">Illustrative generic shade assigned to this colour name for display. This is NOT a sourced or certified club-brand HEX value.</t>
      </text>
    </comment>
    <comment authorId="0" ref="F443">
      <text>
        <t xml:space="preserve">Illustrative generic shade assigned to this colour name for display. This is NOT a sourced or certified club-brand HEX value.</t>
      </text>
    </comment>
    <comment authorId="0" ref="C311">
      <text>
        <t xml:space="preserve">Illustrative generic shade assigned to this colour name for display. This is NOT a sourced or certified club-brand HEX value.</t>
      </text>
    </comment>
    <comment authorId="0" ref="D311">
      <text>
        <t xml:space="preserve">Illustrative generic shade assigned to this colour name for display. This is NOT a sourced or certified club-brand HEX value.</t>
      </text>
    </comment>
    <comment authorId="0" ref="E311">
      <text>
        <t xml:space="preserve">Illustrative generic shade assigned to this colour name for display. This is NOT a sourced or certified club-brand HEX value.</t>
      </text>
    </comment>
    <comment authorId="0" ref="F311">
      <text>
        <t xml:space="preserve">Illustrative generic shade assigned to this colour name for display. This is NOT a sourced or certified club-brand HEX value.</t>
      </text>
    </comment>
    <comment authorId="0" ref="C179">
      <text>
        <t xml:space="preserve">Illustrative generic shade assigned to this colour name for display. This is NOT a sourced or certified club-brand HEX value.</t>
      </text>
    </comment>
    <comment authorId="0" ref="D179">
      <text>
        <t xml:space="preserve">Illustrative generic shade assigned to this colour name for display. This is NOT a sourced or certified club-brand HEX value.</t>
      </text>
    </comment>
    <comment authorId="0" ref="E179">
      <text>
        <t xml:space="preserve">Illustrative generic shade assigned to this colour name for display. This is NOT a sourced or certified club-brand HEX value.</t>
      </text>
    </comment>
    <comment authorId="0" ref="F179">
      <text>
        <t xml:space="preserve">Illustrative generic shade assigned to this colour name for display. This is NOT a sourced or certified club-brand HEX value.</t>
      </text>
    </comment>
    <comment authorId="0" ref="C47">
      <text>
        <t xml:space="preserve">Illustrative generic shade assigned to this colour name for display. This is NOT a sourced or certified club-brand HEX value.</t>
      </text>
    </comment>
    <comment authorId="0" ref="D47">
      <text>
        <t xml:space="preserve">Illustrative generic shade assigned to this colour name for display. This is NOT a sourced or certified club-brand HEX value.</t>
      </text>
    </comment>
    <comment authorId="0" ref="E47">
      <text>
        <t xml:space="preserve">Illustrative generic shade assigned to this colour name for display. This is NOT a sourced or certified club-brand HEX value.</t>
      </text>
    </comment>
    <comment authorId="0" ref="F47">
      <text>
        <t xml:space="preserve">Illustrative generic shade assigned to this colour name for display. This is NOT a sourced or certified club-brand HEX value.</t>
      </text>
    </comment>
    <comment authorId="0" ref="C708">
      <text>
        <t xml:space="preserve">Illustrative generic shade assigned to this colour name for display. This is NOT a sourced or certified club-brand HEX value.</t>
      </text>
    </comment>
    <comment authorId="0" ref="D708">
      <text>
        <t xml:space="preserve">Illustrative generic shade assigned to this colour name for display. This is NOT a sourced or certified club-brand HEX value.</t>
      </text>
    </comment>
    <comment authorId="0" ref="E708">
      <text>
        <t xml:space="preserve">Illustrative generic shade assigned to this colour name for display. This is NOT a sourced or certified club-brand HEX value.</t>
      </text>
    </comment>
    <comment authorId="0" ref="F708">
      <text>
        <t xml:space="preserve">Illustrative generic shade assigned to this colour name for display. This is NOT a sourced or certified club-brand HEX value.</t>
      </text>
    </comment>
    <comment authorId="0" ref="C576">
      <text>
        <t xml:space="preserve">Illustrative generic shade assigned to this colour name for display. This is NOT a sourced or certified club-brand HEX value.</t>
      </text>
    </comment>
    <comment authorId="0" ref="D576">
      <text>
        <t xml:space="preserve">Illustrative generic shade assigned to this colour name for display. This is NOT a sourced or certified club-brand HEX value.</t>
      </text>
    </comment>
    <comment authorId="0" ref="E576">
      <text>
        <t xml:space="preserve">Illustrative generic shade assigned to this colour name for display. This is NOT a sourced or certified club-brand HEX value.</t>
      </text>
    </comment>
    <comment authorId="0" ref="F576">
      <text>
        <t xml:space="preserve">Illustrative generic shade assigned to this colour name for display. This is NOT a sourced or certified club-brand HEX value.</t>
      </text>
    </comment>
    <comment authorId="0" ref="E444">
      <text>
        <t xml:space="preserve">Illustrative generic shade assigned to this colour name for display. This is NOT a sourced or certified club-brand HEX value.</t>
      </text>
    </comment>
    <comment authorId="0" ref="F444">
      <text>
        <t xml:space="preserve">Illustrative generic shade assigned to this colour name for display. This is NOT a sourced or certified club-brand HEX value.</t>
      </text>
    </comment>
    <comment authorId="0" ref="C312">
      <text>
        <t xml:space="preserve">Illustrative generic shade assigned to this colour name for display. This is NOT a sourced or certified club-brand HEX value.</t>
      </text>
    </comment>
    <comment authorId="0" ref="D312">
      <text>
        <t xml:space="preserve">Illustrative generic shade assigned to this colour name for display. This is NOT a sourced or certified club-brand HEX value.</t>
      </text>
    </comment>
    <comment authorId="0" ref="E312">
      <text>
        <t xml:space="preserve">Illustrative generic shade assigned to this colour name for display. This is NOT a sourced or certified club-brand HEX value.</t>
      </text>
    </comment>
    <comment authorId="0" ref="F312">
      <text>
        <t xml:space="preserve">Illustrative generic shade assigned to this colour name for display. This is NOT a sourced or certified club-brand HEX value.</t>
      </text>
    </comment>
    <comment authorId="0" ref="C180">
      <text>
        <t xml:space="preserve">Illustrative generic shade assigned to this colour name for display. This is NOT a sourced or certified club-brand HEX value.</t>
      </text>
    </comment>
    <comment authorId="0" ref="E180">
      <text>
        <t xml:space="preserve">Illustrative generic shade assigned to this colour name for display. This is NOT a sourced or certified club-brand HEX value.</t>
      </text>
    </comment>
    <comment authorId="0" ref="F180">
      <text>
        <t xml:space="preserve">Illustrative generic shade assigned to this colour name for display. This is NOT a sourced or certified club-brand HEX value.</t>
      </text>
    </comment>
    <comment authorId="0" ref="C48">
      <text>
        <t xml:space="preserve">Illustrative generic shade assigned to this colour name for display. This is NOT a sourced or certified club-brand HEX value.</t>
      </text>
    </comment>
    <comment authorId="0" ref="D48">
      <text>
        <t xml:space="preserve">Illustrative generic shade assigned to this colour name for display. This is NOT a sourced or certified club-brand HEX value.</t>
      </text>
    </comment>
    <comment authorId="0" ref="E48">
      <text>
        <t xml:space="preserve">Illustrative generic shade assigned to this colour name for display. This is NOT a sourced or certified club-brand HEX value.</t>
      </text>
    </comment>
    <comment authorId="0" ref="F48">
      <text>
        <t xml:space="preserve">Illustrative generic shade assigned to this colour name for display. This is NOT a sourced or certified club-brand HEX value.</t>
      </text>
    </comment>
    <comment authorId="0" ref="C709">
      <text>
        <t xml:space="preserve">Illustrative generic shade assigned to this colour name for display. This is NOT a sourced or certified club-brand HEX value.</t>
      </text>
    </comment>
    <comment authorId="0" ref="D709">
      <text>
        <t xml:space="preserve">Illustrative generic shade assigned to this colour name for display. This is NOT a sourced or certified club-brand HEX value.</t>
      </text>
    </comment>
    <comment authorId="0" ref="E709">
      <text>
        <t xml:space="preserve">Illustrative generic shade assigned to this colour name for display. This is NOT a sourced or certified club-brand HEX value.</t>
      </text>
    </comment>
    <comment authorId="0" ref="F709">
      <text>
        <t xml:space="preserve">Illustrative generic shade assigned to this colour name for display. This is NOT a sourced or certified club-brand HEX value.</t>
      </text>
    </comment>
    <comment authorId="0" ref="E577">
      <text>
        <t xml:space="preserve">Illustrative generic shade assigned to this colour name for display. This is NOT a sourced or certified club-brand HEX value.</t>
      </text>
    </comment>
    <comment authorId="0" ref="F577">
      <text>
        <t xml:space="preserve">Illustrative generic shade assigned to this colour name for display. This is NOT a sourced or certified club-brand HEX value.</t>
      </text>
    </comment>
    <comment authorId="0" ref="E445">
      <text>
        <t xml:space="preserve">Illustrative generic shade assigned to this colour name for display. This is NOT a sourced or certified club-brand HEX value.</t>
      </text>
    </comment>
    <comment authorId="0" ref="F445">
      <text>
        <t xml:space="preserve">Illustrative generic shade assigned to this colour name for display. This is NOT a sourced or certified club-brand HEX value.</t>
      </text>
    </comment>
    <comment authorId="0" ref="C313">
      <text>
        <t xml:space="preserve">Illustrative generic shade assigned to this colour name for display. This is NOT a sourced or certified club-brand HEX value.</t>
      </text>
    </comment>
    <comment authorId="0" ref="D313">
      <text>
        <t xml:space="preserve">Illustrative generic shade assigned to this colour name for display. This is NOT a sourced or certified club-brand HEX value.</t>
      </text>
    </comment>
    <comment authorId="0" ref="E313">
      <text>
        <t xml:space="preserve">Illustrative generic shade assigned to this colour name for display. This is NOT a sourced or certified club-brand HEX value.</t>
      </text>
    </comment>
    <comment authorId="0" ref="F313">
      <text>
        <t xml:space="preserve">Illustrative generic shade assigned to this colour name for display. This is NOT a sourced or certified club-brand HEX value.</t>
      </text>
    </comment>
    <comment authorId="0" ref="C181">
      <text>
        <t xml:space="preserve">Illustrative generic shade assigned to this colour name for display. This is NOT a sourced or certified club-brand HEX value.</t>
      </text>
    </comment>
    <comment authorId="0" ref="D181">
      <text>
        <t xml:space="preserve">Illustrative generic shade assigned to this colour name for display. This is NOT a sourced or certified club-brand HEX value.</t>
      </text>
    </comment>
    <comment authorId="0" ref="E181">
      <text>
        <t xml:space="preserve">Illustrative generic shade assigned to this colour name for display. This is NOT a sourced or certified club-brand HEX value.</t>
      </text>
    </comment>
    <comment authorId="0" ref="F181">
      <text>
        <t xml:space="preserve">Illustrative generic shade assigned to this colour name for display. This is NOT a sourced or certified club-brand HEX value.</t>
      </text>
    </comment>
    <comment authorId="0" ref="C49">
      <text>
        <t xml:space="preserve">Illustrative generic shade assigned to this colour name for display. This is NOT a sourced or certified club-brand HEX value.</t>
      </text>
    </comment>
    <comment authorId="0" ref="D49">
      <text>
        <t xml:space="preserve">Illustrative generic shade assigned to this colour name for display. This is NOT a sourced or certified club-brand HEX value.</t>
      </text>
    </comment>
    <comment authorId="0" ref="E49">
      <text>
        <t xml:space="preserve">Illustrative generic shade assigned to this colour name for display. This is NOT a sourced or certified club-brand HEX value.</t>
      </text>
    </comment>
    <comment authorId="0" ref="F49">
      <text>
        <t xml:space="preserve">Illustrative generic shade assigned to this colour name for display. This is NOT a sourced or certified club-brand HEX value.</t>
      </text>
    </comment>
    <comment authorId="0" ref="C710">
      <text>
        <t xml:space="preserve">Illustrative generic shade assigned to this colour name for display. This is NOT a sourced or certified club-brand HEX value.</t>
      </text>
    </comment>
    <comment authorId="0" ref="D710">
      <text>
        <t xml:space="preserve">Illustrative generic shade assigned to this colour name for display. This is NOT a sourced or certified club-brand HEX value.</t>
      </text>
    </comment>
    <comment authorId="0" ref="E710">
      <text>
        <t xml:space="preserve">Illustrative generic shade assigned to this colour name for display. This is NOT a sourced or certified club-brand HEX value.</t>
      </text>
    </comment>
    <comment authorId="0" ref="F710">
      <text>
        <t xml:space="preserve">Illustrative generic shade assigned to this colour name for display. This is NOT a sourced or certified club-brand HEX value.</t>
      </text>
    </comment>
    <comment authorId="0" ref="E578">
      <text>
        <t xml:space="preserve">Illustrative generic shade assigned to this colour name for display. This is NOT a sourced or certified club-brand HEX value.</t>
      </text>
    </comment>
    <comment authorId="0" ref="F578">
      <text>
        <t xml:space="preserve">Illustrative generic shade assigned to this colour name for display. This is NOT a sourced or certified club-brand HEX value.</t>
      </text>
    </comment>
    <comment authorId="0" ref="E446">
      <text>
        <t xml:space="preserve">Illustrative generic shade assigned to this colour name for display. This is NOT a sourced or certified club-brand HEX value.</t>
      </text>
    </comment>
    <comment authorId="0" ref="F446">
      <text>
        <t xml:space="preserve">Illustrative generic shade assigned to this colour name for display. This is NOT a sourced or certified club-brand HEX value.</t>
      </text>
    </comment>
    <comment authorId="0" ref="C314">
      <text>
        <t xml:space="preserve">Illustrative generic shade assigned to this colour name for display. This is NOT a sourced or certified club-brand HEX value.</t>
      </text>
    </comment>
    <comment authorId="0" ref="D314">
      <text>
        <t xml:space="preserve">Illustrative generic shade assigned to this colour name for display. This is NOT a sourced or certified club-brand HEX value.</t>
      </text>
    </comment>
    <comment authorId="0" ref="E314">
      <text>
        <t xml:space="preserve">Illustrative generic shade assigned to this colour name for display. This is NOT a sourced or certified club-brand HEX value.</t>
      </text>
    </comment>
    <comment authorId="0" ref="F314">
      <text>
        <t xml:space="preserve">Illustrative generic shade assigned to this colour name for display. This is NOT a sourced or certified club-brand HEX value.</t>
      </text>
    </comment>
    <comment authorId="0" ref="C182">
      <text>
        <t xml:space="preserve">Illustrative generic shade assigned to this colour name for display. This is NOT a sourced or certified club-brand HEX value.</t>
      </text>
    </comment>
    <comment authorId="0" ref="D182">
      <text>
        <t xml:space="preserve">Illustrative generic shade assigned to this colour name for display. This is NOT a sourced or certified club-brand HEX value.</t>
      </text>
    </comment>
    <comment authorId="0" ref="E182">
      <text>
        <t xml:space="preserve">Illustrative generic shade assigned to this colour name for display. This is NOT a sourced or certified club-brand HEX value.</t>
      </text>
    </comment>
    <comment authorId="0" ref="F182">
      <text>
        <t xml:space="preserve">Illustrative generic shade assigned to this colour name for display. This is NOT a sourced or certified club-brand HEX value.</t>
      </text>
    </comment>
    <comment authorId="0" ref="C50">
      <text>
        <t xml:space="preserve">Illustrative generic shade assigned to this colour name for display. This is NOT a sourced or certified club-brand HEX value.</t>
      </text>
    </comment>
    <comment authorId="0" ref="D50">
      <text>
        <t xml:space="preserve">Illustrative generic shade assigned to this colour name for display. This is NOT a sourced or certified club-brand HEX value.</t>
      </text>
    </comment>
    <comment authorId="0" ref="E50">
      <text>
        <t xml:space="preserve">Illustrative generic shade assigned to this colour name for display. This is NOT a sourced or certified club-brand HEX value.</t>
      </text>
    </comment>
    <comment authorId="0" ref="F50">
      <text>
        <t xml:space="preserve">Illustrative generic shade assigned to this colour name for display. This is NOT a sourced or certified club-brand HEX value.</t>
      </text>
    </comment>
    <comment authorId="0" ref="C711">
      <text>
        <t xml:space="preserve">Illustrative generic shade assigned to this colour name for display. This is NOT a sourced or certified club-brand HEX value.</t>
      </text>
    </comment>
    <comment authorId="0" ref="D711">
      <text>
        <t xml:space="preserve">Illustrative generic shade assigned to this colour name for display. This is NOT a sourced or certified club-brand HEX value.</t>
      </text>
    </comment>
    <comment authorId="0" ref="E711">
      <text>
        <t xml:space="preserve">Illustrative generic shade assigned to this colour name for display. This is NOT a sourced or certified club-brand HEX value.</t>
      </text>
    </comment>
    <comment authorId="0" ref="F711">
      <text>
        <t xml:space="preserve">Illustrative generic shade assigned to this colour name for display. This is NOT a sourced or certified club-brand HEX value.</t>
      </text>
    </comment>
    <comment authorId="0" ref="E579">
      <text>
        <t xml:space="preserve">Illustrative generic shade assigned to this colour name for display. This is NOT a sourced or certified club-brand HEX value.</t>
      </text>
    </comment>
    <comment authorId="0" ref="F579">
      <text>
        <t xml:space="preserve">Illustrative generic shade assigned to this colour name for display. This is NOT a sourced or certified club-brand HEX value.</t>
      </text>
    </comment>
    <comment authorId="0" ref="E447">
      <text>
        <t xml:space="preserve">Illustrative generic shade assigned to this colour name for display. This is NOT a sourced or certified club-brand HEX value.</t>
      </text>
    </comment>
    <comment authorId="0" ref="F447">
      <text>
        <t xml:space="preserve">Illustrative generic shade assigned to this colour name for display. This is NOT a sourced or certified club-brand HEX value.</t>
      </text>
    </comment>
    <comment authorId="0" ref="C315">
      <text>
        <t xml:space="preserve">Illustrative generic shade assigned to this colour name for display. This is NOT a sourced or certified club-brand HEX value.</t>
      </text>
    </comment>
    <comment authorId="0" ref="D315">
      <text>
        <t xml:space="preserve">Illustrative generic shade assigned to this colour name for display. This is NOT a sourced or certified club-brand HEX value.</t>
      </text>
    </comment>
    <comment authorId="0" ref="E315">
      <text>
        <t xml:space="preserve">Illustrative generic shade assigned to this colour name for display. This is NOT a sourced or certified club-brand HEX value.</t>
      </text>
    </comment>
    <comment authorId="0" ref="F315">
      <text>
        <t xml:space="preserve">Illustrative generic shade assigned to this colour name for display. This is NOT a sourced or certified club-brand HEX value.</t>
      </text>
    </comment>
    <comment authorId="0" ref="C183">
      <text>
        <t xml:space="preserve">Illustrative generic shade assigned to this colour name for display. This is NOT a sourced or certified club-brand HEX value.</t>
      </text>
    </comment>
    <comment authorId="0" ref="D183">
      <text>
        <t xml:space="preserve">Illustrative generic shade assigned to this colour name for display. This is NOT a sourced or certified club-brand HEX value.</t>
      </text>
    </comment>
    <comment authorId="0" ref="E183">
      <text>
        <t xml:space="preserve">Illustrative generic shade assigned to this colour name for display. This is NOT a sourced or certified club-brand HEX value.</t>
      </text>
    </comment>
    <comment authorId="0" ref="F183">
      <text>
        <t xml:space="preserve">Illustrative generic shade assigned to this colour name for display. This is NOT a sourced or certified club-brand HEX value.</t>
      </text>
    </comment>
    <comment authorId="0" ref="C51">
      <text>
        <t xml:space="preserve">Illustrative generic shade assigned to this colour name for display. This is NOT a sourced or certified club-brand HEX value.</t>
      </text>
    </comment>
    <comment authorId="0" ref="D51">
      <text>
        <t xml:space="preserve">Illustrative generic shade assigned to this colour name for display. This is NOT a sourced or certified club-brand HEX value.</t>
      </text>
    </comment>
    <comment authorId="0" ref="E51">
      <text>
        <t xml:space="preserve">Illustrative generic shade assigned to this colour name for display. This is NOT a sourced or certified club-brand HEX value.</t>
      </text>
    </comment>
    <comment authorId="0" ref="F51">
      <text>
        <t xml:space="preserve">Illustrative generic shade assigned to this colour name for display. This is NOT a sourced or certified club-brand HEX value.</t>
      </text>
    </comment>
    <comment authorId="0" ref="C712">
      <text>
        <t xml:space="preserve">Illustrative generic shade assigned to this colour name for display. This is NOT a sourced or certified club-brand HEX value.</t>
      </text>
    </comment>
    <comment authorId="0" ref="D712">
      <text>
        <t xml:space="preserve">Illustrative generic shade assigned to this colour name for display. This is NOT a sourced or certified club-brand HEX value.</t>
      </text>
    </comment>
    <comment authorId="0" ref="E712">
      <text>
        <t xml:space="preserve">Illustrative generic shade assigned to this colour name for display. This is NOT a sourced or certified club-brand HEX value.</t>
      </text>
    </comment>
    <comment authorId="0" ref="F712">
      <text>
        <t xml:space="preserve">Illustrative generic shade assigned to this colour name for display. This is NOT a sourced or certified club-brand HEX value.</t>
      </text>
    </comment>
    <comment authorId="0" ref="C580">
      <text>
        <t xml:space="preserve">Illustrative generic shade assigned to this colour name for display. This is NOT a sourced or certified club-brand HEX value.</t>
      </text>
    </comment>
    <comment authorId="0" ref="D580">
      <text>
        <t xml:space="preserve">Illustrative generic shade assigned to this colour name for display. This is NOT a sourced or certified club-brand HEX value.</t>
      </text>
    </comment>
    <comment authorId="0" ref="E580">
      <text>
        <t xml:space="preserve">Illustrative generic shade assigned to this colour name for display. This is NOT a sourced or certified club-brand HEX value.</t>
      </text>
    </comment>
    <comment authorId="0" ref="F580">
      <text>
        <t xml:space="preserve">Illustrative generic shade assigned to this colour name for display. This is NOT a sourced or certified club-brand HEX value.</t>
      </text>
    </comment>
    <comment authorId="0" ref="C448">
      <text>
        <t xml:space="preserve">Illustrative generic shade assigned to this colour name for display. This is NOT a sourced or certified club-brand HEX value.</t>
      </text>
    </comment>
    <comment authorId="0" ref="D448">
      <text>
        <t xml:space="preserve">Illustrative generic shade assigned to this colour name for display. This is NOT a sourced or certified club-brand HEX value.</t>
      </text>
    </comment>
    <comment authorId="0" ref="E448">
      <text>
        <t xml:space="preserve">Illustrative generic shade assigned to this colour name for display. This is NOT a sourced or certified club-brand HEX value.</t>
      </text>
    </comment>
    <comment authorId="0" ref="F448">
      <text>
        <t xml:space="preserve">Illustrative generic shade assigned to this colour name for display. This is NOT a sourced or certified club-brand HEX value.</t>
      </text>
    </comment>
    <comment authorId="0" ref="C316">
      <text>
        <t xml:space="preserve">Illustrative generic shade assigned to this colour name for display. This is NOT a sourced or certified club-brand HEX value.</t>
      </text>
    </comment>
    <comment authorId="0" ref="D316">
      <text>
        <t xml:space="preserve">Illustrative generic shade assigned to this colour name for display. This is NOT a sourced or certified club-brand HEX value.</t>
      </text>
    </comment>
    <comment authorId="0" ref="E316">
      <text>
        <t xml:space="preserve">Illustrative generic shade assigned to this colour name for display. This is NOT a sourced or certified club-brand HEX value.</t>
      </text>
    </comment>
    <comment authorId="0" ref="F316">
      <text>
        <t xml:space="preserve">Illustrative generic shade assigned to this colour name for display. This is NOT a sourced or certified club-brand HEX value.</t>
      </text>
    </comment>
    <comment authorId="0" ref="C184">
      <text>
        <t xml:space="preserve">Illustrative generic shade assigned to this colour name for display. This is NOT a sourced or certified club-brand HEX value.</t>
      </text>
    </comment>
    <comment authorId="0" ref="D184">
      <text>
        <t xml:space="preserve">Illustrative generic shade assigned to this colour name for display. This is NOT a sourced or certified club-brand HEX value.</t>
      </text>
    </comment>
    <comment authorId="0" ref="E184">
      <text>
        <t xml:space="preserve">Illustrative generic shade assigned to this colour name for display. This is NOT a sourced or certified club-brand HEX value.</t>
      </text>
    </comment>
    <comment authorId="0" ref="F184">
      <text>
        <t xml:space="preserve">Illustrative generic shade assigned to this colour name for display. This is NOT a sourced or certified club-brand HEX value.</t>
      </text>
    </comment>
    <comment authorId="0" ref="C52">
      <text>
        <t xml:space="preserve">Illustrative generic shade assigned to this colour name for display. This is NOT a sourced or certified club-brand HEX value.</t>
      </text>
    </comment>
    <comment authorId="0" ref="D52">
      <text>
        <t xml:space="preserve">Illustrative generic shade assigned to this colour name for display. This is NOT a sourced or certified club-brand HEX value.</t>
      </text>
    </comment>
    <comment authorId="0" ref="E52">
      <text>
        <t xml:space="preserve">Illustrative generic shade assigned to this colour name for display. This is NOT a sourced or certified club-brand HEX value.</t>
      </text>
    </comment>
    <comment authorId="0" ref="F52">
      <text>
        <t xml:space="preserve">Illustrative generic shade assigned to this colour name for display. This is NOT a sourced or certified club-brand HEX value.</t>
      </text>
    </comment>
    <comment authorId="0" ref="C713">
      <text>
        <t xml:space="preserve">Illustrative generic shade assigned to this colour name for display. This is NOT a sourced or certified club-brand HEX value.</t>
      </text>
    </comment>
    <comment authorId="0" ref="D713">
      <text>
        <t xml:space="preserve">Illustrative generic shade assigned to this colour name for display. This is NOT a sourced or certified club-brand HEX value.</t>
      </text>
    </comment>
    <comment authorId="0" ref="E713">
      <text>
        <t xml:space="preserve">Illustrative generic shade assigned to this colour name for display. This is NOT a sourced or certified club-brand HEX value.</t>
      </text>
    </comment>
    <comment authorId="0" ref="F713">
      <text>
        <t xml:space="preserve">Illustrative generic shade assigned to this colour name for display. This is NOT a sourced or certified club-brand HEX value.</t>
      </text>
    </comment>
    <comment authorId="0" ref="E581">
      <text>
        <t xml:space="preserve">Illustrative generic shade assigned to this colour name for display. This is NOT a sourced or certified club-brand HEX value.</t>
      </text>
    </comment>
    <comment authorId="0" ref="F581">
      <text>
        <t xml:space="preserve">Illustrative generic shade assigned to this colour name for display. This is NOT a sourced or certified club-brand HEX value.</t>
      </text>
    </comment>
    <comment authorId="0" ref="E449">
      <text>
        <t xml:space="preserve">Illustrative generic shade assigned to this colour name for display. This is NOT a sourced or certified club-brand HEX value.</t>
      </text>
    </comment>
    <comment authorId="0" ref="F449">
      <text>
        <t xml:space="preserve">Illustrative generic shade assigned to this colour name for display. This is NOT a sourced or certified club-brand HEX value.</t>
      </text>
    </comment>
    <comment authorId="0" ref="C317">
      <text>
        <t xml:space="preserve">Illustrative generic shade assigned to this colour name for display. This is NOT a sourced or certified club-brand HEX value.</t>
      </text>
    </comment>
    <comment authorId="0" ref="D317">
      <text>
        <t xml:space="preserve">Illustrative generic shade assigned to this colour name for display. This is NOT a sourced or certified club-brand HEX value.</t>
      </text>
    </comment>
    <comment authorId="0" ref="E317">
      <text>
        <t xml:space="preserve">Illustrative generic shade assigned to this colour name for display. This is NOT a sourced or certified club-brand HEX value.</t>
      </text>
    </comment>
    <comment authorId="0" ref="F317">
      <text>
        <t xml:space="preserve">Illustrative generic shade assigned to this colour name for display. This is NOT a sourced or certified club-brand HEX value.</t>
      </text>
    </comment>
    <comment authorId="0" ref="C185">
      <text>
        <t xml:space="preserve">Illustrative generic shade assigned to this colour name for display. This is NOT a sourced or certified club-brand HEX value.</t>
      </text>
    </comment>
    <comment authorId="0" ref="D185">
      <text>
        <t xml:space="preserve">Illustrative generic shade assigned to this colour name for display. This is NOT a sourced or certified club-brand HEX value.</t>
      </text>
    </comment>
    <comment authorId="0" ref="E185">
      <text>
        <t xml:space="preserve">Illustrative generic shade assigned to this colour name for display. This is NOT a sourced or certified club-brand HEX value.</t>
      </text>
    </comment>
    <comment authorId="0" ref="F185">
      <text>
        <t xml:space="preserve">Illustrative generic shade assigned to this colour name for display. This is NOT a sourced or certified club-brand HEX value.</t>
      </text>
    </comment>
    <comment authorId="0" ref="C53">
      <text>
        <t xml:space="preserve">Illustrative generic shade assigned to this colour name for display. This is NOT a sourced or certified club-brand HEX value.</t>
      </text>
    </comment>
    <comment authorId="0" ref="D53">
      <text>
        <t xml:space="preserve">Illustrative generic shade assigned to this colour name for display. This is NOT a sourced or certified club-brand HEX value.</t>
      </text>
    </comment>
    <comment authorId="0" ref="E53">
      <text>
        <t xml:space="preserve">Illustrative generic shade assigned to this colour name for display. This is NOT a sourced or certified club-brand HEX value.</t>
      </text>
    </comment>
    <comment authorId="0" ref="F53">
      <text>
        <t xml:space="preserve">Illustrative generic shade assigned to this colour name for display. This is NOT a sourced or certified club-brand HEX value.</t>
      </text>
    </comment>
    <comment authorId="0" ref="C714">
      <text>
        <t xml:space="preserve">Illustrative generic shade assigned to this colour name for display. This is NOT a sourced or certified club-brand HEX value.</t>
      </text>
    </comment>
    <comment authorId="0" ref="D714">
      <text>
        <t xml:space="preserve">Illustrative generic shade assigned to this colour name for display. This is NOT a sourced or certified club-brand HEX value.</t>
      </text>
    </comment>
    <comment authorId="0" ref="E714">
      <text>
        <t xml:space="preserve">Illustrative generic shade assigned to this colour name for display. This is NOT a sourced or certified club-brand HEX value.</t>
      </text>
    </comment>
    <comment authorId="0" ref="F714">
      <text>
        <t xml:space="preserve">Illustrative generic shade assigned to this colour name for display. This is NOT a sourced or certified club-brand HEX value.</t>
      </text>
    </comment>
    <comment authorId="0" ref="C582">
      <text>
        <t xml:space="preserve">Illustrative generic shade assigned to this colour name for display. This is NOT a sourced or certified club-brand HEX value.</t>
      </text>
    </comment>
    <comment authorId="0" ref="D582">
      <text>
        <t xml:space="preserve">Illustrative generic shade assigned to this colour name for display. This is NOT a sourced or certified club-brand HEX value.</t>
      </text>
    </comment>
    <comment authorId="0" ref="E582">
      <text>
        <t xml:space="preserve">Illustrative generic shade assigned to this colour name for display. This is NOT a sourced or certified club-brand HEX value.</t>
      </text>
    </comment>
    <comment authorId="0" ref="F582">
      <text>
        <t xml:space="preserve">Illustrative generic shade assigned to this colour name for display. This is NOT a sourced or certified club-brand HEX value.</t>
      </text>
    </comment>
    <comment authorId="0" ref="E450">
      <text>
        <t xml:space="preserve">Illustrative generic shade assigned to this colour name for display. This is NOT a sourced or certified club-brand HEX value.</t>
      </text>
    </comment>
    <comment authorId="0" ref="F450">
      <text>
        <t xml:space="preserve">Illustrative generic shade assigned to this colour name for display. This is NOT a sourced or certified club-brand HEX value.</t>
      </text>
    </comment>
    <comment authorId="0" ref="C318">
      <text>
        <t xml:space="preserve">Illustrative generic shade assigned to this colour name for display. This is NOT a sourced or certified club-brand HEX value.</t>
      </text>
    </comment>
    <comment authorId="0" ref="D318">
      <text>
        <t xml:space="preserve">Illustrative generic shade assigned to this colour name for display. This is NOT a sourced or certified club-brand HEX value.</t>
      </text>
    </comment>
    <comment authorId="0" ref="E318">
      <text>
        <t xml:space="preserve">Illustrative generic shade assigned to this colour name for display. This is NOT a sourced or certified club-brand HEX value.</t>
      </text>
    </comment>
    <comment authorId="0" ref="F318">
      <text>
        <t xml:space="preserve">Illustrative generic shade assigned to this colour name for display. This is NOT a sourced or certified club-brand HEX value.</t>
      </text>
    </comment>
    <comment authorId="0" ref="C186">
      <text>
        <t xml:space="preserve">Illustrative generic shade assigned to this colour name for display. This is NOT a sourced or certified club-brand HEX value.</t>
      </text>
    </comment>
    <comment authorId="0" ref="D186">
      <text>
        <t xml:space="preserve">Illustrative generic shade assigned to this colour name for display. This is NOT a sourced or certified club-brand HEX value.</t>
      </text>
    </comment>
    <comment authorId="0" ref="E186">
      <text>
        <t xml:space="preserve">Illustrative generic shade assigned to this colour name for display. This is NOT a sourced or certified club-brand HEX value.</t>
      </text>
    </comment>
    <comment authorId="0" ref="F186">
      <text>
        <t xml:space="preserve">Illustrative generic shade assigned to this colour name for display. This is NOT a sourced or certified club-brand HEX value.</t>
      </text>
    </comment>
    <comment authorId="0" ref="C54">
      <text>
        <t xml:space="preserve">Illustrative generic shade assigned to this colour name for display. This is NOT a sourced or certified club-brand HEX value.</t>
      </text>
    </comment>
    <comment authorId="0" ref="D54">
      <text>
        <t xml:space="preserve">Illustrative generic shade assigned to this colour name for display. This is NOT a sourced or certified club-brand HEX value.</t>
      </text>
    </comment>
    <comment authorId="0" ref="E54">
      <text>
        <t xml:space="preserve">Illustrative generic shade assigned to this colour name for display. This is NOT a sourced or certified club-brand HEX value.</t>
      </text>
    </comment>
    <comment authorId="0" ref="F54">
      <text>
        <t xml:space="preserve">Illustrative generic shade assigned to this colour name for display. This is NOT a sourced or certified club-brand HEX value.</t>
      </text>
    </comment>
    <comment authorId="0" ref="C715">
      <text>
        <t xml:space="preserve">Illustrative generic shade assigned to this colour name for display. This is NOT a sourced or certified club-brand HEX value.</t>
      </text>
    </comment>
    <comment authorId="0" ref="D715">
      <text>
        <t xml:space="preserve">Illustrative generic shade assigned to this colour name for display. This is NOT a sourced or certified club-brand HEX value.</t>
      </text>
    </comment>
    <comment authorId="0" ref="E715">
      <text>
        <t xml:space="preserve">Illustrative generic shade assigned to this colour name for display. This is NOT a sourced or certified club-brand HEX value.</t>
      </text>
    </comment>
    <comment authorId="0" ref="F715">
      <text>
        <t xml:space="preserve">Illustrative generic shade assigned to this colour name for display. This is NOT a sourced or certified club-brand HEX value.</t>
      </text>
    </comment>
    <comment authorId="0" ref="E583">
      <text>
        <t xml:space="preserve">Illustrative generic shade assigned to this colour name for display. This is NOT a sourced or certified club-brand HEX value.</t>
      </text>
    </comment>
    <comment authorId="0" ref="F583">
      <text>
        <t xml:space="preserve">Illustrative generic shade assigned to this colour name for display. This is NOT a sourced or certified club-brand HEX value.</t>
      </text>
    </comment>
    <comment authorId="0" ref="E451">
      <text>
        <t xml:space="preserve">Illustrative generic shade assigned to this colour name for display. This is NOT a sourced or certified club-brand HEX value.</t>
      </text>
    </comment>
    <comment authorId="0" ref="F451">
      <text>
        <t xml:space="preserve">Illustrative generic shade assigned to this colour name for display. This is NOT a sourced or certified club-brand HEX value.</t>
      </text>
    </comment>
    <comment authorId="0" ref="C319">
      <text>
        <t xml:space="preserve">Illustrative generic shade assigned to this colour name for display. This is NOT a sourced or certified club-brand HEX value.</t>
      </text>
    </comment>
    <comment authorId="0" ref="D319">
      <text>
        <t xml:space="preserve">Illustrative generic shade assigned to this colour name for display. This is NOT a sourced or certified club-brand HEX value.</t>
      </text>
    </comment>
    <comment authorId="0" ref="E319">
      <text>
        <t xml:space="preserve">Illustrative generic shade assigned to this colour name for display. This is NOT a sourced or certified club-brand HEX value.</t>
      </text>
    </comment>
    <comment authorId="0" ref="F319">
      <text>
        <t xml:space="preserve">Illustrative generic shade assigned to this colour name for display. This is NOT a sourced or certified club-brand HEX value.</t>
      </text>
    </comment>
    <comment authorId="0" ref="C187">
      <text>
        <t xml:space="preserve">Illustrative generic shade assigned to this colour name for display. This is NOT a sourced or certified club-brand HEX value.</t>
      </text>
    </comment>
    <comment authorId="0" ref="D187">
      <text>
        <t xml:space="preserve">Illustrative generic shade assigned to this colour name for display. This is NOT a sourced or certified club-brand HEX value.</t>
      </text>
    </comment>
    <comment authorId="0" ref="E187">
      <text>
        <t xml:space="preserve">Illustrative generic shade assigned to this colour name for display. This is NOT a sourced or certified club-brand HEX value.</t>
      </text>
    </comment>
    <comment authorId="0" ref="F187">
      <text>
        <t xml:space="preserve">Illustrative generic shade assigned to this colour name for display. This is NOT a sourced or certified club-brand HEX value.</t>
      </text>
    </comment>
    <comment authorId="0" ref="C55">
      <text>
        <t xml:space="preserve">Illustrative generic shade assigned to this colour name for display. This is NOT a sourced or certified club-brand HEX value.</t>
      </text>
    </comment>
    <comment authorId="0" ref="D55">
      <text>
        <t xml:space="preserve">Illustrative generic shade assigned to this colour name for display. This is NOT a sourced or certified club-brand HEX value.</t>
      </text>
    </comment>
    <comment authorId="0" ref="E55">
      <text>
        <t xml:space="preserve">Illustrative generic shade assigned to this colour name for display. This is NOT a sourced or certified club-brand HEX value.</t>
      </text>
    </comment>
    <comment authorId="0" ref="F55">
      <text>
        <t xml:space="preserve">Illustrative generic shade assigned to this colour name for display. This is NOT a sourced or certified club-brand HEX value.</t>
      </text>
    </comment>
    <comment authorId="0" ref="C716">
      <text>
        <t xml:space="preserve">Illustrative generic shade assigned to this colour name for display. This is NOT a sourced or certified club-brand HEX value.</t>
      </text>
    </comment>
    <comment authorId="0" ref="D716">
      <text>
        <t xml:space="preserve">Illustrative generic shade assigned to this colour name for display. This is NOT a sourced or certified club-brand HEX value.</t>
      </text>
    </comment>
    <comment authorId="0" ref="E716">
      <text>
        <t xml:space="preserve">Illustrative generic shade assigned to this colour name for display. This is NOT a sourced or certified club-brand HEX value.</t>
      </text>
    </comment>
    <comment authorId="0" ref="F716">
      <text>
        <t xml:space="preserve">Illustrative generic shade assigned to this colour name for display. This is NOT a sourced or certified club-brand HEX value.</t>
      </text>
    </comment>
    <comment authorId="0" ref="C584">
      <text>
        <t xml:space="preserve">Illustrative generic shade assigned to this colour name for display. This is NOT a sourced or certified club-brand HEX value.</t>
      </text>
    </comment>
    <comment authorId="0" ref="D584">
      <text>
        <t xml:space="preserve">Illustrative generic shade assigned to this colour name for display. This is NOT a sourced or certified club-brand HEX value.</t>
      </text>
    </comment>
    <comment authorId="0" ref="E584">
      <text>
        <t xml:space="preserve">Illustrative generic shade assigned to this colour name for display. This is NOT a sourced or certified club-brand HEX value.</t>
      </text>
    </comment>
    <comment authorId="0" ref="F584">
      <text>
        <t xml:space="preserve">Illustrative generic shade assigned to this colour name for display. This is NOT a sourced or certified club-brand HEX value.</t>
      </text>
    </comment>
    <comment authorId="0" ref="E452">
      <text>
        <t xml:space="preserve">Illustrative generic shade assigned to this colour name for display. This is NOT a sourced or certified club-brand HEX value.</t>
      </text>
    </comment>
    <comment authorId="0" ref="F452">
      <text>
        <t xml:space="preserve">Illustrative generic shade assigned to this colour name for display. This is NOT a sourced or certified club-brand HEX value.</t>
      </text>
    </comment>
    <comment authorId="0" ref="C320">
      <text>
        <t xml:space="preserve">Illustrative generic shade assigned to this colour name for display. This is NOT a sourced or certified club-brand HEX value.</t>
      </text>
    </comment>
    <comment authorId="0" ref="D320">
      <text>
        <t xml:space="preserve">Illustrative generic shade assigned to this colour name for display. This is NOT a sourced or certified club-brand HEX value.</t>
      </text>
    </comment>
    <comment authorId="0" ref="E320">
      <text>
        <t xml:space="preserve">Illustrative generic shade assigned to this colour name for display. This is NOT a sourced or certified club-brand HEX value.</t>
      </text>
    </comment>
    <comment authorId="0" ref="F320">
      <text>
        <t xml:space="preserve">Illustrative generic shade assigned to this colour name for display. This is NOT a sourced or certified club-brand HEX value.</t>
      </text>
    </comment>
    <comment authorId="0" ref="C188">
      <text>
        <t xml:space="preserve">Illustrative generic shade assigned to this colour name for display. This is NOT a sourced or certified club-brand HEX value.</t>
      </text>
    </comment>
    <comment authorId="0" ref="D188">
      <text>
        <t xml:space="preserve">Illustrative generic shade assigned to this colour name for display. This is NOT a sourced or certified club-brand HEX value.</t>
      </text>
    </comment>
    <comment authorId="0" ref="E188">
      <text>
        <t xml:space="preserve">Illustrative generic shade assigned to this colour name for display. This is NOT a sourced or certified club-brand HEX value.</t>
      </text>
    </comment>
    <comment authorId="0" ref="F188">
      <text>
        <t xml:space="preserve">Illustrative generic shade assigned to this colour name for display. This is NOT a sourced or certified club-brand HEX value.</t>
      </text>
    </comment>
    <comment authorId="0" ref="C56">
      <text>
        <t xml:space="preserve">Illustrative generic shade assigned to this colour name for display. This is NOT a sourced or certified club-brand HEX value.</t>
      </text>
    </comment>
    <comment authorId="0" ref="D56">
      <text>
        <t xml:space="preserve">Illustrative generic shade assigned to this colour name for display. This is NOT a sourced or certified club-brand HEX value.</t>
      </text>
    </comment>
    <comment authorId="0" ref="E56">
      <text>
        <t xml:space="preserve">Illustrative generic shade assigned to this colour name for display. This is NOT a sourced or certified club-brand HEX value.</t>
      </text>
    </comment>
    <comment authorId="0" ref="F56">
      <text>
        <t xml:space="preserve">Illustrative generic shade assigned to this colour name for display. This is NOT a sourced or certified club-brand HEX value.</t>
      </text>
    </comment>
    <comment authorId="0" ref="C717">
      <text>
        <t xml:space="preserve">Illustrative generic shade assigned to this colour name for display. This is NOT a sourced or certified club-brand HEX value.</t>
      </text>
    </comment>
    <comment authorId="0" ref="D717">
      <text>
        <t xml:space="preserve">Illustrative generic shade assigned to this colour name for display. This is NOT a sourced or certified club-brand HEX value.</t>
      </text>
    </comment>
    <comment authorId="0" ref="E717">
      <text>
        <t xml:space="preserve">Illustrative generic shade assigned to this colour name for display. This is NOT a sourced or certified club-brand HEX value.</t>
      </text>
    </comment>
    <comment authorId="0" ref="F717">
      <text>
        <t xml:space="preserve">Illustrative generic shade assigned to this colour name for display. This is NOT a sourced or certified club-brand HEX value.</t>
      </text>
    </comment>
    <comment authorId="0" ref="C585">
      <text>
        <t xml:space="preserve">Illustrative generic shade assigned to this colour name for display. This is NOT a sourced or certified club-brand HEX value.</t>
      </text>
    </comment>
    <comment authorId="0" ref="D585">
      <text>
        <t xml:space="preserve">Illustrative generic shade assigned to this colour name for display. This is NOT a sourced or certified club-brand HEX value.</t>
      </text>
    </comment>
    <comment authorId="0" ref="E585">
      <text>
        <t xml:space="preserve">Illustrative generic shade assigned to this colour name for display. This is NOT a sourced or certified club-brand HEX value.</t>
      </text>
    </comment>
    <comment authorId="0" ref="F585">
      <text>
        <t xml:space="preserve">Illustrative generic shade assigned to this colour name for display. This is NOT a sourced or certified club-brand HEX value.</t>
      </text>
    </comment>
    <comment authorId="0" ref="E453">
      <text>
        <t xml:space="preserve">Illustrative generic shade assigned to this colour name for display. This is NOT a sourced or certified club-brand HEX value.</t>
      </text>
    </comment>
    <comment authorId="0" ref="F453">
      <text>
        <t xml:space="preserve">Illustrative generic shade assigned to this colour name for display. This is NOT a sourced or certified club-brand HEX value.</t>
      </text>
    </comment>
    <comment authorId="0" ref="C321">
      <text>
        <t xml:space="preserve">Illustrative generic shade assigned to this colour name for display. This is NOT a sourced or certified club-brand HEX value.</t>
      </text>
    </comment>
    <comment authorId="0" ref="D321">
      <text>
        <t xml:space="preserve">Illustrative generic shade assigned to this colour name for display. This is NOT a sourced or certified club-brand HEX value.</t>
      </text>
    </comment>
    <comment authorId="0" ref="E321">
      <text>
        <t xml:space="preserve">Illustrative generic shade assigned to this colour name for display. This is NOT a sourced or certified club-brand HEX value.</t>
      </text>
    </comment>
    <comment authorId="0" ref="F321">
      <text>
        <t xml:space="preserve">Illustrative generic shade assigned to this colour name for display. This is NOT a sourced or certified club-brand HEX value.</t>
      </text>
    </comment>
    <comment authorId="0" ref="C189">
      <text>
        <t xml:space="preserve">Illustrative generic shade assigned to this colour name for display. This is NOT a sourced or certified club-brand HEX value.</t>
      </text>
    </comment>
    <comment authorId="0" ref="D189">
      <text>
        <t xml:space="preserve">Illustrative generic shade assigned to this colour name for display. This is NOT a sourced or certified club-brand HEX value.</t>
      </text>
    </comment>
    <comment authorId="0" ref="E189">
      <text>
        <t xml:space="preserve">Illustrative generic shade assigned to this colour name for display. This is NOT a sourced or certified club-brand HEX value.</t>
      </text>
    </comment>
    <comment authorId="0" ref="F189">
      <text>
        <t xml:space="preserve">Illustrative generic shade assigned to this colour name for display. This is NOT a sourced or certified club-brand HEX value.</t>
      </text>
    </comment>
    <comment authorId="0" ref="C57">
      <text>
        <t xml:space="preserve">Illustrative generic shade assigned to this colour name for display. This is NOT a sourced or certified club-brand HEX value.</t>
      </text>
    </comment>
    <comment authorId="0" ref="D57">
      <text>
        <t xml:space="preserve">Illustrative generic shade assigned to this colour name for display. This is NOT a sourced or certified club-brand HEX value.</t>
      </text>
    </comment>
    <comment authorId="0" ref="E57">
      <text>
        <t xml:space="preserve">Illustrative generic shade assigned to this colour name for display. This is NOT a sourced or certified club-brand HEX value.</t>
      </text>
    </comment>
    <comment authorId="0" ref="F57">
      <text>
        <t xml:space="preserve">Illustrative generic shade assigned to this colour name for display. This is NOT a sourced or certified club-brand HEX value.</t>
      </text>
    </comment>
    <comment authorId="0" ref="C718">
      <text>
        <t xml:space="preserve">Illustrative generic shade assigned to this colour name for display. This is NOT a sourced or certified club-brand HEX value.</t>
      </text>
    </comment>
    <comment authorId="0" ref="D718">
      <text>
        <t xml:space="preserve">Illustrative generic shade assigned to this colour name for display. This is NOT a sourced or certified club-brand HEX value.</t>
      </text>
    </comment>
    <comment authorId="0" ref="E718">
      <text>
        <t xml:space="preserve">Illustrative generic shade assigned to this colour name for display. This is NOT a sourced or certified club-brand HEX value.</t>
      </text>
    </comment>
    <comment authorId="0" ref="F718">
      <text>
        <t xml:space="preserve">Illustrative generic shade assigned to this colour name for display. This is NOT a sourced or certified club-brand HEX value.</t>
      </text>
    </comment>
    <comment authorId="0" ref="E586">
      <text>
        <t xml:space="preserve">Illustrative generic shade assigned to this colour name for display. This is NOT a sourced or certified club-brand HEX value.</t>
      </text>
    </comment>
    <comment authorId="0" ref="F586">
      <text>
        <t xml:space="preserve">Illustrative generic shade assigned to this colour name for display. This is NOT a sourced or certified club-brand HEX value.</t>
      </text>
    </comment>
    <comment authorId="0" ref="E454">
      <text>
        <t xml:space="preserve">Illustrative generic shade assigned to this colour name for display. This is NOT a sourced or certified club-brand HEX value.</t>
      </text>
    </comment>
    <comment authorId="0" ref="F454">
      <text>
        <t xml:space="preserve">Illustrative generic shade assigned to this colour name for display. This is NOT a sourced or certified club-brand HEX value.</t>
      </text>
    </comment>
    <comment authorId="0" ref="C322">
      <text>
        <t xml:space="preserve">Illustrative generic shade assigned to this colour name for display. This is NOT a sourced or certified club-brand HEX value.</t>
      </text>
    </comment>
    <comment authorId="0" ref="D322">
      <text>
        <t xml:space="preserve">Illustrative generic shade assigned to this colour name for display. This is NOT a sourced or certified club-brand HEX value.</t>
      </text>
    </comment>
    <comment authorId="0" ref="E322">
      <text>
        <t xml:space="preserve">Illustrative generic shade assigned to this colour name for display. This is NOT a sourced or certified club-brand HEX value.</t>
      </text>
    </comment>
    <comment authorId="0" ref="F322">
      <text>
        <t xml:space="preserve">Illustrative generic shade assigned to this colour name for display. This is NOT a sourced or certified club-brand HEX value.</t>
      </text>
    </comment>
    <comment authorId="0" ref="C190">
      <text>
        <t xml:space="preserve">Illustrative generic shade assigned to this colour name for display. This is NOT a sourced or certified club-brand HEX value.</t>
      </text>
    </comment>
    <comment authorId="0" ref="D190">
      <text>
        <t xml:space="preserve">Illustrative generic shade assigned to this colour name for display. This is NOT a sourced or certified club-brand HEX value.</t>
      </text>
    </comment>
    <comment authorId="0" ref="E190">
      <text>
        <t xml:space="preserve">Illustrative generic shade assigned to this colour name for display. This is NOT a sourced or certified club-brand HEX value.</t>
      </text>
    </comment>
    <comment authorId="0" ref="F190">
      <text>
        <t xml:space="preserve">Illustrative generic shade assigned to this colour name for display. This is NOT a sourced or certified club-brand HEX value.</t>
      </text>
    </comment>
    <comment authorId="0" ref="C58">
      <text>
        <t xml:space="preserve">Illustrative generic shade assigned to this colour name for display. This is NOT a sourced or certified club-brand HEX value.</t>
      </text>
    </comment>
    <comment authorId="0" ref="D58">
      <text>
        <t xml:space="preserve">Illustrative generic shade assigned to this colour name for display. This is NOT a sourced or certified club-brand HEX value.</t>
      </text>
    </comment>
    <comment authorId="0" ref="E58">
      <text>
        <t xml:space="preserve">Illustrative generic shade assigned to this colour name for display. This is NOT a sourced or certified club-brand HEX value.</t>
      </text>
    </comment>
    <comment authorId="0" ref="F58">
      <text>
        <t xml:space="preserve">Illustrative generic shade assigned to this colour name for display. This is NOT a sourced or certified club-brand HEX value.</t>
      </text>
    </comment>
    <comment authorId="0" ref="C719">
      <text>
        <t xml:space="preserve">Illustrative generic shade assigned to this colour name for display. This is NOT a sourced or certified club-brand HEX value.</t>
      </text>
    </comment>
    <comment authorId="0" ref="D719">
      <text>
        <t xml:space="preserve">Illustrative generic shade assigned to this colour name for display. This is NOT a sourced or certified club-brand HEX value.</t>
      </text>
    </comment>
    <comment authorId="0" ref="E719">
      <text>
        <t xml:space="preserve">Illustrative generic shade assigned to this colour name for display. This is NOT a sourced or certified club-brand HEX value.</t>
      </text>
    </comment>
    <comment authorId="0" ref="F719">
      <text>
        <t xml:space="preserve">Illustrative generic shade assigned to this colour name for display. This is NOT a sourced or certified club-brand HEX value.</t>
      </text>
    </comment>
    <comment authorId="0" ref="E587">
      <text>
        <t xml:space="preserve">Illustrative generic shade assigned to this colour name for display. This is NOT a sourced or certified club-brand HEX value.</t>
      </text>
    </comment>
    <comment authorId="0" ref="F587">
      <text>
        <t xml:space="preserve">Illustrative generic shade assigned to this colour name for display. This is NOT a sourced or certified club-brand HEX value.</t>
      </text>
    </comment>
    <comment authorId="0" ref="C455">
      <text>
        <t xml:space="preserve">Illustrative generic shade assigned to this colour name for display. This is NOT a sourced or certified club-brand HEX value.</t>
      </text>
    </comment>
    <comment authorId="0" ref="D455">
      <text>
        <t xml:space="preserve">Illustrative generic shade assigned to this colour name for display. This is NOT a sourced or certified club-brand HEX value.</t>
      </text>
    </comment>
    <comment authorId="0" ref="E455">
      <text>
        <t xml:space="preserve">Illustrative generic shade assigned to this colour name for display. This is NOT a sourced or certified club-brand HEX value.</t>
      </text>
    </comment>
    <comment authorId="0" ref="F455">
      <text>
        <t xml:space="preserve">Illustrative generic shade assigned to this colour name for display. This is NOT a sourced or certified club-brand HEX value.</t>
      </text>
    </comment>
    <comment authorId="0" ref="C323">
      <text>
        <t xml:space="preserve">Illustrative generic shade assigned to this colour name for display. This is NOT a sourced or certified club-brand HEX value.</t>
      </text>
    </comment>
    <comment authorId="0" ref="D323">
      <text>
        <t xml:space="preserve">Illustrative generic shade assigned to this colour name for display. This is NOT a sourced or certified club-brand HEX value.</t>
      </text>
    </comment>
    <comment authorId="0" ref="E323">
      <text>
        <t xml:space="preserve">Illustrative generic shade assigned to this colour name for display. This is NOT a sourced or certified club-brand HEX value.</t>
      </text>
    </comment>
    <comment authorId="0" ref="F323">
      <text>
        <t xml:space="preserve">Illustrative generic shade assigned to this colour name for display. This is NOT a sourced or certified club-brand HEX value.</t>
      </text>
    </comment>
    <comment authorId="0" ref="C191">
      <text>
        <t xml:space="preserve">Illustrative generic shade assigned to this colour name for display. This is NOT a sourced or certified club-brand HEX value.</t>
      </text>
    </comment>
    <comment authorId="0" ref="D191">
      <text>
        <t xml:space="preserve">Illustrative generic shade assigned to this colour name for display. This is NOT a sourced or certified club-brand HEX value.</t>
      </text>
    </comment>
    <comment authorId="0" ref="E191">
      <text>
        <t xml:space="preserve">Illustrative generic shade assigned to this colour name for display. This is NOT a sourced or certified club-brand HEX value.</t>
      </text>
    </comment>
    <comment authorId="0" ref="F191">
      <text>
        <t xml:space="preserve">Illustrative generic shade assigned to this colour name for display. This is NOT a sourced or certified club-brand HEX value.</t>
      </text>
    </comment>
    <comment authorId="0" ref="C59">
      <text>
        <t xml:space="preserve">Illustrative generic shade assigned to this colour name for display. This is NOT a sourced or certified club-brand HEX value.</t>
      </text>
    </comment>
    <comment authorId="0" ref="D59">
      <text>
        <t xml:space="preserve">Illustrative generic shade assigned to this colour name for display. This is NOT a sourced or certified club-brand HEX value.</t>
      </text>
    </comment>
    <comment authorId="0" ref="E59">
      <text>
        <t xml:space="preserve">Illustrative generic shade assigned to this colour name for display. This is NOT a sourced or certified club-brand HEX value.</t>
      </text>
    </comment>
    <comment authorId="0" ref="F59">
      <text>
        <t xml:space="preserve">Illustrative generic shade assigned to this colour name for display. This is NOT a sourced or certified club-brand HEX value.</t>
      </text>
    </comment>
    <comment authorId="0" ref="C720">
      <text>
        <t xml:space="preserve">Illustrative generic shade assigned to this colour name for display. This is NOT a sourced or certified club-brand HEX value.</t>
      </text>
    </comment>
    <comment authorId="0" ref="D720">
      <text>
        <t xml:space="preserve">Illustrative generic shade assigned to this colour name for display. This is NOT a sourced or certified club-brand HEX value.</t>
      </text>
    </comment>
    <comment authorId="0" ref="E720">
      <text>
        <t xml:space="preserve">Illustrative generic shade assigned to this colour name for display. This is NOT a sourced or certified club-brand HEX value.</t>
      </text>
    </comment>
    <comment authorId="0" ref="F720">
      <text>
        <t xml:space="preserve">Illustrative generic shade assigned to this colour name for display. This is NOT a sourced or certified club-brand HEX value.</t>
      </text>
    </comment>
    <comment authorId="0" ref="C588">
      <text>
        <t xml:space="preserve">Illustrative generic shade assigned to this colour name for display. This is NOT a sourced or certified club-brand HEX value.</t>
      </text>
    </comment>
    <comment authorId="0" ref="D588">
      <text>
        <t xml:space="preserve">Illustrative generic shade assigned to this colour name for display. This is NOT a sourced or certified club-brand HEX value.</t>
      </text>
    </comment>
    <comment authorId="0" ref="E588">
      <text>
        <t xml:space="preserve">Illustrative generic shade assigned to this colour name for display. This is NOT a sourced or certified club-brand HEX value.</t>
      </text>
    </comment>
    <comment authorId="0" ref="F588">
      <text>
        <t xml:space="preserve">Illustrative generic shade assigned to this colour name for display. This is NOT a sourced or certified club-brand HEX value.</t>
      </text>
    </comment>
    <comment authorId="0" ref="C456">
      <text>
        <t xml:space="preserve">Illustrative generic shade assigned to this colour name for display. This is NOT a sourced or certified club-brand HEX value.</t>
      </text>
    </comment>
    <comment authorId="0" ref="D456">
      <text>
        <t xml:space="preserve">Illustrative generic shade assigned to this colour name for display. This is NOT a sourced or certified club-brand HEX value.</t>
      </text>
    </comment>
    <comment authorId="0" ref="E456">
      <text>
        <t xml:space="preserve">Illustrative generic shade assigned to this colour name for display. This is NOT a sourced or certified club-brand HEX value.</t>
      </text>
    </comment>
    <comment authorId="0" ref="F456">
      <text>
        <t xml:space="preserve">Illustrative generic shade assigned to this colour name for display. This is NOT a sourced or certified club-brand HEX value.</t>
      </text>
    </comment>
    <comment authorId="0" ref="C324">
      <text>
        <t xml:space="preserve">Illustrative generic shade assigned to this colour name for display. This is NOT a sourced or certified club-brand HEX value.</t>
      </text>
    </comment>
    <comment authorId="0" ref="D324">
      <text>
        <t xml:space="preserve">Illustrative generic shade assigned to this colour name for display. This is NOT a sourced or certified club-brand HEX value.</t>
      </text>
    </comment>
    <comment authorId="0" ref="E324">
      <text>
        <t xml:space="preserve">Illustrative generic shade assigned to this colour name for display. This is NOT a sourced or certified club-brand HEX value.</t>
      </text>
    </comment>
    <comment authorId="0" ref="F324">
      <text>
        <t xml:space="preserve">Illustrative generic shade assigned to this colour name for display. This is NOT a sourced or certified club-brand HEX value.</t>
      </text>
    </comment>
    <comment authorId="0" ref="C192">
      <text>
        <t xml:space="preserve">Illustrative generic shade assigned to this colour name for display. This is NOT a sourced or certified club-brand HEX value.</t>
      </text>
    </comment>
    <comment authorId="0" ref="D192">
      <text>
        <t xml:space="preserve">Illustrative generic shade assigned to this colour name for display. This is NOT a sourced or certified club-brand HEX value.</t>
      </text>
    </comment>
    <comment authorId="0" ref="E192">
      <text>
        <t xml:space="preserve">Illustrative generic shade assigned to this colour name for display. This is NOT a sourced or certified club-brand HEX value.</t>
      </text>
    </comment>
    <comment authorId="0" ref="F192">
      <text>
        <t xml:space="preserve">Illustrative generic shade assigned to this colour name for display. This is NOT a sourced or certified club-brand HEX value.</t>
      </text>
    </comment>
    <comment authorId="0" ref="C60">
      <text>
        <t xml:space="preserve">Illustrative generic shade assigned to this colour name for display. This is NOT a sourced or certified club-brand HEX value.</t>
      </text>
    </comment>
    <comment authorId="0" ref="D60">
      <text>
        <t xml:space="preserve">Illustrative generic shade assigned to this colour name for display. This is NOT a sourced or certified club-brand HEX value.</t>
      </text>
    </comment>
    <comment authorId="0" ref="E60">
      <text>
        <t xml:space="preserve">Illustrative generic shade assigned to this colour name for display. This is NOT a sourced or certified club-brand HEX value.</t>
      </text>
    </comment>
    <comment authorId="0" ref="F60">
      <text>
        <t xml:space="preserve">Illustrative generic shade assigned to this colour name for display. This is NOT a sourced or certified club-brand HEX value.</t>
      </text>
    </comment>
    <comment authorId="0" ref="C721">
      <text>
        <t xml:space="preserve">Illustrative generic shade assigned to this colour name for display. This is NOT a sourced or certified club-brand HEX value.</t>
      </text>
    </comment>
    <comment authorId="0" ref="D721">
      <text>
        <t xml:space="preserve">Illustrative generic shade assigned to this colour name for display. This is NOT a sourced or certified club-brand HEX value.</t>
      </text>
    </comment>
    <comment authorId="0" ref="E721">
      <text>
        <t xml:space="preserve">Illustrative generic shade assigned to this colour name for display. This is NOT a sourced or certified club-brand HEX value.</t>
      </text>
    </comment>
    <comment authorId="0" ref="F721">
      <text>
        <t xml:space="preserve">Illustrative generic shade assigned to this colour name for display. This is NOT a sourced or certified club-brand HEX value.</t>
      </text>
    </comment>
    <comment authorId="0" ref="C589">
      <text>
        <t xml:space="preserve">Illustrative generic shade assigned to this colour name for display. This is NOT a sourced or certified club-brand HEX value.</t>
      </text>
    </comment>
    <comment authorId="0" ref="D589">
      <text>
        <t xml:space="preserve">Illustrative generic shade assigned to this colour name for display. This is NOT a sourced or certified club-brand HEX value.</t>
      </text>
    </comment>
    <comment authorId="0" ref="E589">
      <text>
        <t xml:space="preserve">Illustrative generic shade assigned to this colour name for display. This is NOT a sourced or certified club-brand HEX value.</t>
      </text>
    </comment>
    <comment authorId="0" ref="F589">
      <text>
        <t xml:space="preserve">Illustrative generic shade assigned to this colour name for display. This is NOT a sourced or certified club-brand HEX value.</t>
      </text>
    </comment>
    <comment authorId="0" ref="E457">
      <text>
        <t xml:space="preserve">Illustrative generic shade assigned to this colour name for display. This is NOT a sourced or certified club-brand HEX value.</t>
      </text>
    </comment>
    <comment authorId="0" ref="F457">
      <text>
        <t xml:space="preserve">Illustrative generic shade assigned to this colour name for display. This is NOT a sourced or certified club-brand HEX value.</t>
      </text>
    </comment>
    <comment authorId="0" ref="C325">
      <text>
        <t xml:space="preserve">Illustrative generic shade assigned to this colour name for display. This is NOT a sourced or certified club-brand HEX value.</t>
      </text>
    </comment>
    <comment authorId="0" ref="D325">
      <text>
        <t xml:space="preserve">Illustrative generic shade assigned to this colour name for display. This is NOT a sourced or certified club-brand HEX value.</t>
      </text>
    </comment>
    <comment authorId="0" ref="E325">
      <text>
        <t xml:space="preserve">Illustrative generic shade assigned to this colour name for display. This is NOT a sourced or certified club-brand HEX value.</t>
      </text>
    </comment>
    <comment authorId="0" ref="F325">
      <text>
        <t xml:space="preserve">Illustrative generic shade assigned to this colour name for display. This is NOT a sourced or certified club-brand HEX value.</t>
      </text>
    </comment>
    <comment authorId="0" ref="C193">
      <text>
        <t xml:space="preserve">Illustrative generic shade assigned to this colour name for display. This is NOT a sourced or certified club-brand HEX value.</t>
      </text>
    </comment>
    <comment authorId="0" ref="D193">
      <text>
        <t xml:space="preserve">Illustrative generic shade assigned to this colour name for display. This is NOT a sourced or certified club-brand HEX value.</t>
      </text>
    </comment>
    <comment authorId="0" ref="E193">
      <text>
        <t xml:space="preserve">Illustrative generic shade assigned to this colour name for display. This is NOT a sourced or certified club-brand HEX value.</t>
      </text>
    </comment>
    <comment authorId="0" ref="F193">
      <text>
        <t xml:space="preserve">Illustrative generic shade assigned to this colour name for display. This is NOT a sourced or certified club-brand HEX value.</t>
      </text>
    </comment>
    <comment authorId="0" ref="C61">
      <text>
        <t xml:space="preserve">Illustrative generic shade assigned to this colour name for display. This is NOT a sourced or certified club-brand HEX value.</t>
      </text>
    </comment>
    <comment authorId="0" ref="D61">
      <text>
        <t xml:space="preserve">Illustrative generic shade assigned to this colour name for display. This is NOT a sourced or certified club-brand HEX value.</t>
      </text>
    </comment>
    <comment authorId="0" ref="E61">
      <text>
        <t xml:space="preserve">Illustrative generic shade assigned to this colour name for display. This is NOT a sourced or certified club-brand HEX value.</t>
      </text>
    </comment>
    <comment authorId="0" ref="F61">
      <text>
        <t xml:space="preserve">Illustrative generic shade assigned to this colour name for display. This is NOT a sourced or certified club-brand HEX value.</t>
      </text>
    </comment>
    <comment authorId="0" ref="C722">
      <text>
        <t xml:space="preserve">Illustrative generic shade assigned to this colour name for display. This is NOT a sourced or certified club-brand HEX value.</t>
      </text>
    </comment>
    <comment authorId="0" ref="D722">
      <text>
        <t xml:space="preserve">Illustrative generic shade assigned to this colour name for display. This is NOT a sourced or certified club-brand HEX value.</t>
      </text>
    </comment>
    <comment authorId="0" ref="E722">
      <text>
        <t xml:space="preserve">Illustrative generic shade assigned to this colour name for display. This is NOT a sourced or certified club-brand HEX value.</t>
      </text>
    </comment>
    <comment authorId="0" ref="F722">
      <text>
        <t xml:space="preserve">Illustrative generic shade assigned to this colour name for display. This is NOT a sourced or certified club-brand HEX value.</t>
      </text>
    </comment>
    <comment authorId="0" ref="E590">
      <text>
        <t xml:space="preserve">Illustrative generic shade assigned to this colour name for display. This is NOT a sourced or certified club-brand HEX value.</t>
      </text>
    </comment>
    <comment authorId="0" ref="F590">
      <text>
        <t xml:space="preserve">Illustrative generic shade assigned to this colour name for display. This is NOT a sourced or certified club-brand HEX value.</t>
      </text>
    </comment>
    <comment authorId="0" ref="E458">
      <text>
        <t xml:space="preserve">Illustrative generic shade assigned to this colour name for display. This is NOT a sourced or certified club-brand HEX value.</t>
      </text>
    </comment>
    <comment authorId="0" ref="F458">
      <text>
        <t xml:space="preserve">Illustrative generic shade assigned to this colour name for display. This is NOT a sourced or certified club-brand HEX value.</t>
      </text>
    </comment>
    <comment authorId="0" ref="C326">
      <text>
        <t xml:space="preserve">Illustrative generic shade assigned to this colour name for display. This is NOT a sourced or certified club-brand HEX value.</t>
      </text>
    </comment>
    <comment authorId="0" ref="D326">
      <text>
        <t xml:space="preserve">Illustrative generic shade assigned to this colour name for display. This is NOT a sourced or certified club-brand HEX value.</t>
      </text>
    </comment>
    <comment authorId="0" ref="E326">
      <text>
        <t xml:space="preserve">Illustrative generic shade assigned to this colour name for display. This is NOT a sourced or certified club-brand HEX value.</t>
      </text>
    </comment>
    <comment authorId="0" ref="F326">
      <text>
        <t xml:space="preserve">Illustrative generic shade assigned to this colour name for display. This is NOT a sourced or certified club-brand HEX value.</t>
      </text>
    </comment>
    <comment authorId="0" ref="C194">
      <text>
        <t xml:space="preserve">Illustrative generic shade assigned to this colour name for display. This is NOT a sourced or certified club-brand HEX value.</t>
      </text>
    </comment>
    <comment authorId="0" ref="D194">
      <text>
        <t xml:space="preserve">Illustrative generic shade assigned to this colour name for display. This is NOT a sourced or certified club-brand HEX value.</t>
      </text>
    </comment>
    <comment authorId="0" ref="E194">
      <text>
        <t xml:space="preserve">Illustrative generic shade assigned to this colour name for display. This is NOT a sourced or certified club-brand HEX value.</t>
      </text>
    </comment>
    <comment authorId="0" ref="F194">
      <text>
        <t xml:space="preserve">Illustrative generic shade assigned to this colour name for display. This is NOT a sourced or certified club-brand HEX value.</t>
      </text>
    </comment>
    <comment authorId="0" ref="C62">
      <text>
        <t xml:space="preserve">Illustrative generic shade assigned to this colour name for display. This is NOT a sourced or certified club-brand HEX value.</t>
      </text>
    </comment>
    <comment authorId="0" ref="D62">
      <text>
        <t xml:space="preserve">Illustrative generic shade assigned to this colour name for display. This is NOT a sourced or certified club-brand HEX value.</t>
      </text>
    </comment>
    <comment authorId="0" ref="E62">
      <text>
        <t xml:space="preserve">Illustrative generic shade assigned to this colour name for display. This is NOT a sourced or certified club-brand HEX value.</t>
      </text>
    </comment>
    <comment authorId="0" ref="F62">
      <text>
        <t xml:space="preserve">Illustrative generic shade assigned to this colour name for display. This is NOT a sourced or certified club-brand HEX value.</t>
      </text>
    </comment>
    <comment authorId="0" ref="C723">
      <text>
        <t xml:space="preserve">Illustrative generic shade assigned to this colour name for display. This is NOT a sourced or certified club-brand HEX value.</t>
      </text>
    </comment>
    <comment authorId="0" ref="D723">
      <text>
        <t xml:space="preserve">Illustrative generic shade assigned to this colour name for display. This is NOT a sourced or certified club-brand HEX value.</t>
      </text>
    </comment>
    <comment authorId="0" ref="E723">
      <text>
        <t xml:space="preserve">Illustrative generic shade assigned to this colour name for display. This is NOT a sourced or certified club-brand HEX value.</t>
      </text>
    </comment>
    <comment authorId="0" ref="F723">
      <text>
        <t xml:space="preserve">Illustrative generic shade assigned to this colour name for display. This is NOT a sourced or certified club-brand HEX value.</t>
      </text>
    </comment>
    <comment authorId="0" ref="C591">
      <text>
        <t xml:space="preserve">Illustrative generic shade assigned to this colour name for display. This is NOT a sourced or certified club-brand HEX value.</t>
      </text>
    </comment>
    <comment authorId="0" ref="D591">
      <text>
        <t xml:space="preserve">Illustrative generic shade assigned to this colour name for display. This is NOT a sourced or certified club-brand HEX value.</t>
      </text>
    </comment>
    <comment authorId="0" ref="E591">
      <text>
        <t xml:space="preserve">Illustrative generic shade assigned to this colour name for display. This is NOT a sourced or certified club-brand HEX value.</t>
      </text>
    </comment>
    <comment authorId="0" ref="F591">
      <text>
        <t xml:space="preserve">Illustrative generic shade assigned to this colour name for display. This is NOT a sourced or certified club-brand HEX value.</t>
      </text>
    </comment>
    <comment authorId="0" ref="C459">
      <text>
        <t xml:space="preserve">Illustrative generic shade assigned to this colour name for display. This is NOT a sourced or certified club-brand HEX value.</t>
      </text>
    </comment>
    <comment authorId="0" ref="D459">
      <text>
        <t xml:space="preserve">Illustrative generic shade assigned to this colour name for display. This is NOT a sourced or certified club-brand HEX value.</t>
      </text>
    </comment>
    <comment authorId="0" ref="E459">
      <text>
        <t xml:space="preserve">Illustrative generic shade assigned to this colour name for display. This is NOT a sourced or certified club-brand HEX value.</t>
      </text>
    </comment>
    <comment authorId="0" ref="F459">
      <text>
        <t xml:space="preserve">Illustrative generic shade assigned to this colour name for display. This is NOT a sourced or certified club-brand HEX value.</t>
      </text>
    </comment>
    <comment authorId="0" ref="C327">
      <text>
        <t xml:space="preserve">Illustrative generic shade assigned to this colour name for display. This is NOT a sourced or certified club-brand HEX value.</t>
      </text>
    </comment>
    <comment authorId="0" ref="D327">
      <text>
        <t xml:space="preserve">Illustrative generic shade assigned to this colour name for display. This is NOT a sourced or certified club-brand HEX value.</t>
      </text>
    </comment>
    <comment authorId="0" ref="E327">
      <text>
        <t xml:space="preserve">Illustrative generic shade assigned to this colour name for display. This is NOT a sourced or certified club-brand HEX value.</t>
      </text>
    </comment>
    <comment authorId="0" ref="F327">
      <text>
        <t xml:space="preserve">Illustrative generic shade assigned to this colour name for display. This is NOT a sourced or certified club-brand HEX value.</t>
      </text>
    </comment>
    <comment authorId="0" ref="C195">
      <text>
        <t xml:space="preserve">Illustrative generic shade assigned to this colour name for display. This is NOT a sourced or certified club-brand HEX value.</t>
      </text>
    </comment>
    <comment authorId="0" ref="D195">
      <text>
        <t xml:space="preserve">Illustrative generic shade assigned to this colour name for display. This is NOT a sourced or certified club-brand HEX value.</t>
      </text>
    </comment>
    <comment authorId="0" ref="E195">
      <text>
        <t xml:space="preserve">Illustrative generic shade assigned to this colour name for display. This is NOT a sourced or certified club-brand HEX value.</t>
      </text>
    </comment>
    <comment authorId="0" ref="F195">
      <text>
        <t xml:space="preserve">Illustrative generic shade assigned to this colour name for display. This is NOT a sourced or certified club-brand HEX value.</t>
      </text>
    </comment>
    <comment authorId="0" ref="C63">
      <text>
        <t xml:space="preserve">Illustrative generic shade assigned to this colour name for display. This is NOT a sourced or certified club-brand HEX value.</t>
      </text>
    </comment>
    <comment authorId="0" ref="D63">
      <text>
        <t xml:space="preserve">Illustrative generic shade assigned to this colour name for display. This is NOT a sourced or certified club-brand HEX value.</t>
      </text>
    </comment>
    <comment authorId="0" ref="E63">
      <text>
        <t xml:space="preserve">Illustrative generic shade assigned to this colour name for display. This is NOT a sourced or certified club-brand HEX value.</t>
      </text>
    </comment>
    <comment authorId="0" ref="F63">
      <text>
        <t xml:space="preserve">Illustrative generic shade assigned to this colour name for display. This is NOT a sourced or certified club-brand HEX value.</t>
      </text>
    </comment>
    <comment authorId="0" ref="C724">
      <text>
        <t xml:space="preserve">Illustrative generic shade assigned to this colour name for display. This is NOT a sourced or certified club-brand HEX value.</t>
      </text>
    </comment>
    <comment authorId="0" ref="D724">
      <text>
        <t xml:space="preserve">Illustrative generic shade assigned to this colour name for display. This is NOT a sourced or certified club-brand HEX value.</t>
      </text>
    </comment>
    <comment authorId="0" ref="E724">
      <text>
        <t xml:space="preserve">Illustrative generic shade assigned to this colour name for display. This is NOT a sourced or certified club-brand HEX value.</t>
      </text>
    </comment>
    <comment authorId="0" ref="F724">
      <text>
        <t xml:space="preserve">Illustrative generic shade assigned to this colour name for display. This is NOT a sourced or certified club-brand HEX value.</t>
      </text>
    </comment>
    <comment authorId="0" ref="C592">
      <text>
        <t xml:space="preserve">Illustrative generic shade assigned to this colour name for display. This is NOT a sourced or certified club-brand HEX value.</t>
      </text>
    </comment>
    <comment authorId="0" ref="D592">
      <text>
        <t xml:space="preserve">Illustrative generic shade assigned to this colour name for display. This is NOT a sourced or certified club-brand HEX value.</t>
      </text>
    </comment>
    <comment authorId="0" ref="E592">
      <text>
        <t xml:space="preserve">Illustrative generic shade assigned to this colour name for display. This is NOT a sourced or certified club-brand HEX value.</t>
      </text>
    </comment>
    <comment authorId="0" ref="F592">
      <text>
        <t xml:space="preserve">Illustrative generic shade assigned to this colour name for display. This is NOT a sourced or certified club-brand HEX value.</t>
      </text>
    </comment>
    <comment authorId="0" ref="C460">
      <text>
        <t xml:space="preserve">Illustrative generic shade assigned to this colour name for display. This is NOT a sourced or certified club-brand HEX value.</t>
      </text>
    </comment>
    <comment authorId="0" ref="D460">
      <text>
        <t xml:space="preserve">Illustrative generic shade assigned to this colour name for display. This is NOT a sourced or certified club-brand HEX value.</t>
      </text>
    </comment>
    <comment authorId="0" ref="E460">
      <text>
        <t xml:space="preserve">Illustrative generic shade assigned to this colour name for display. This is NOT a sourced or certified club-brand HEX value.</t>
      </text>
    </comment>
    <comment authorId="0" ref="F460">
      <text>
        <t xml:space="preserve">Illustrative generic shade assigned to this colour name for display. This is NOT a sourced or certified club-brand HEX value.</t>
      </text>
    </comment>
    <comment authorId="0" ref="C328">
      <text>
        <t xml:space="preserve">Illustrative generic shade assigned to this colour name for display. This is NOT a sourced or certified club-brand HEX value.</t>
      </text>
    </comment>
    <comment authorId="0" ref="D328">
      <text>
        <t xml:space="preserve">Illustrative generic shade assigned to this colour name for display. This is NOT a sourced or certified club-brand HEX value.</t>
      </text>
    </comment>
    <comment authorId="0" ref="E328">
      <text>
        <t xml:space="preserve">Illustrative generic shade assigned to this colour name for display. This is NOT a sourced or certified club-brand HEX value.</t>
      </text>
    </comment>
    <comment authorId="0" ref="F328">
      <text>
        <t xml:space="preserve">Illustrative generic shade assigned to this colour name for display. This is NOT a sourced or certified club-brand HEX value.</t>
      </text>
    </comment>
    <comment authorId="0" ref="C196">
      <text>
        <t xml:space="preserve">Illustrative generic shade assigned to this colour name for display. This is NOT a sourced or certified club-brand HEX value.</t>
      </text>
    </comment>
    <comment authorId="0" ref="D196">
      <text>
        <t xml:space="preserve">Illustrative generic shade assigned to this colour name for display. This is NOT a sourced or certified club-brand HEX value.</t>
      </text>
    </comment>
    <comment authorId="0" ref="E196">
      <text>
        <t xml:space="preserve">Illustrative generic shade assigned to this colour name for display. This is NOT a sourced or certified club-brand HEX value.</t>
      </text>
    </comment>
    <comment authorId="0" ref="F196">
      <text>
        <t xml:space="preserve">Illustrative generic shade assigned to this colour name for display. This is NOT a sourced or certified club-brand HEX value.</t>
      </text>
    </comment>
    <comment authorId="0" ref="C64">
      <text>
        <t xml:space="preserve">Illustrative generic shade assigned to this colour name for display. This is NOT a sourced or certified club-brand HEX value.</t>
      </text>
    </comment>
    <comment authorId="0" ref="D64">
      <text>
        <t xml:space="preserve">Illustrative generic shade assigned to this colour name for display. This is NOT a sourced or certified club-brand HEX value.</t>
      </text>
    </comment>
    <comment authorId="0" ref="E64">
      <text>
        <t xml:space="preserve">Illustrative generic shade assigned to this colour name for display. This is NOT a sourced or certified club-brand HEX value.</t>
      </text>
    </comment>
    <comment authorId="0" ref="F64">
      <text>
        <t xml:space="preserve">Illustrative generic shade assigned to this colour name for display. This is NOT a sourced or certified club-brand HEX value.</t>
      </text>
    </comment>
    <comment authorId="0" ref="C725">
      <text>
        <t xml:space="preserve">Illustrative generic shade assigned to this colour name for display. This is NOT a sourced or certified club-brand HEX value.</t>
      </text>
    </comment>
    <comment authorId="0" ref="D725">
      <text>
        <t xml:space="preserve">Illustrative generic shade assigned to this colour name for display. This is NOT a sourced or certified club-brand HEX value.</t>
      </text>
    </comment>
    <comment authorId="0" ref="E725">
      <text>
        <t xml:space="preserve">Illustrative generic shade assigned to this colour name for display. This is NOT a sourced or certified club-brand HEX value.</t>
      </text>
    </comment>
    <comment authorId="0" ref="F725">
      <text>
        <t xml:space="preserve">Illustrative generic shade assigned to this colour name for display. This is NOT a sourced or certified club-brand HEX value.</t>
      </text>
    </comment>
    <comment authorId="0" ref="E593">
      <text>
        <t xml:space="preserve">Illustrative generic shade assigned to this colour name for display. This is NOT a sourced or certified club-brand HEX value.</t>
      </text>
    </comment>
    <comment authorId="0" ref="F593">
      <text>
        <t xml:space="preserve">Illustrative generic shade assigned to this colour name for display. This is NOT a sourced or certified club-brand HEX value.</t>
      </text>
    </comment>
    <comment authorId="0" ref="C461">
      <text>
        <t xml:space="preserve">Illustrative generic shade assigned to this colour name for display. This is NOT a sourced or certified club-brand HEX value.</t>
      </text>
    </comment>
    <comment authorId="0" ref="D461">
      <text>
        <t xml:space="preserve">Illustrative generic shade assigned to this colour name for display. This is NOT a sourced or certified club-brand HEX value.</t>
      </text>
    </comment>
    <comment authorId="0" ref="E461">
      <text>
        <t xml:space="preserve">Illustrative generic shade assigned to this colour name for display. This is NOT a sourced or certified club-brand HEX value.</t>
      </text>
    </comment>
    <comment authorId="0" ref="F461">
      <text>
        <t xml:space="preserve">Illustrative generic shade assigned to this colour name for display. This is NOT a sourced or certified club-brand HEX value.</t>
      </text>
    </comment>
    <comment authorId="0" ref="C329">
      <text>
        <t xml:space="preserve">Illustrative generic shade assigned to this colour name for display. This is NOT a sourced or certified club-brand HEX value.</t>
      </text>
    </comment>
    <comment authorId="0" ref="D329">
      <text>
        <t xml:space="preserve">Illustrative generic shade assigned to this colour name for display. This is NOT a sourced or certified club-brand HEX value.</t>
      </text>
    </comment>
    <comment authorId="0" ref="E329">
      <text>
        <t xml:space="preserve">Illustrative generic shade assigned to this colour name for display. This is NOT a sourced or certified club-brand HEX value.</t>
      </text>
    </comment>
    <comment authorId="0" ref="F329">
      <text>
        <t xml:space="preserve">Illustrative generic shade assigned to this colour name for display. This is NOT a sourced or certified club-brand HEX value.</t>
      </text>
    </comment>
    <comment authorId="0" ref="C197">
      <text>
        <t xml:space="preserve">Illustrative generic shade assigned to this colour name for display. This is NOT a sourced or certified club-brand HEX value.</t>
      </text>
    </comment>
    <comment authorId="0" ref="D197">
      <text>
        <t xml:space="preserve">Illustrative generic shade assigned to this colour name for display. This is NOT a sourced or certified club-brand HEX value.</t>
      </text>
    </comment>
    <comment authorId="0" ref="E197">
      <text>
        <t xml:space="preserve">Illustrative generic shade assigned to this colour name for display. This is NOT a sourced or certified club-brand HEX value.</t>
      </text>
    </comment>
    <comment authorId="0" ref="F197">
      <text>
        <t xml:space="preserve">Illustrative generic shade assigned to this colour name for display. This is NOT a sourced or certified club-brand HEX value.</t>
      </text>
    </comment>
    <comment authorId="0" ref="C65">
      <text>
        <t xml:space="preserve">Illustrative generic shade assigned to this colour name for display. This is NOT a sourced or certified club-brand HEX value.</t>
      </text>
    </comment>
    <comment authorId="0" ref="D65">
      <text>
        <t xml:space="preserve">Illustrative generic shade assigned to this colour name for display. This is NOT a sourced or certified club-brand HEX value.</t>
      </text>
    </comment>
    <comment authorId="0" ref="E65">
      <text>
        <t xml:space="preserve">Illustrative generic shade assigned to this colour name for display. This is NOT a sourced or certified club-brand HEX value.</t>
      </text>
    </comment>
    <comment authorId="0" ref="F65">
      <text>
        <t xml:space="preserve">Illustrative generic shade assigned to this colour name for display. This is NOT a sourced or certified club-brand HEX value.</t>
      </text>
    </comment>
    <comment authorId="0" ref="C726">
      <text>
        <t xml:space="preserve">Illustrative generic shade assigned to this colour name for display. This is NOT a sourced or certified club-brand HEX value.</t>
      </text>
    </comment>
    <comment authorId="0" ref="D726">
      <text>
        <t xml:space="preserve">Illustrative generic shade assigned to this colour name for display. This is NOT a sourced or certified club-brand HEX value.</t>
      </text>
    </comment>
    <comment authorId="0" ref="E726">
      <text>
        <t xml:space="preserve">Illustrative generic shade assigned to this colour name for display. This is NOT a sourced or certified club-brand HEX value.</t>
      </text>
    </comment>
    <comment authorId="0" ref="F726">
      <text>
        <t xml:space="preserve">Illustrative generic shade assigned to this colour name for display. This is NOT a sourced or certified club-brand HEX value.</t>
      </text>
    </comment>
    <comment authorId="0" ref="C594">
      <text>
        <t xml:space="preserve">Illustrative generic shade assigned to this colour name for display. This is NOT a sourced or certified club-brand HEX value.</t>
      </text>
    </comment>
    <comment authorId="0" ref="D594">
      <text>
        <t xml:space="preserve">Illustrative generic shade assigned to this colour name for display. This is NOT a sourced or certified club-brand HEX value.</t>
      </text>
    </comment>
    <comment authorId="0" ref="E594">
      <text>
        <t xml:space="preserve">Illustrative generic shade assigned to this colour name for display. This is NOT a sourced or certified club-brand HEX value.</t>
      </text>
    </comment>
    <comment authorId="0" ref="F594">
      <text>
        <t xml:space="preserve">Illustrative generic shade assigned to this colour name for display. This is NOT a sourced or certified club-brand HEX value.</t>
      </text>
    </comment>
    <comment authorId="0" ref="E462">
      <text>
        <t xml:space="preserve">Illustrative generic shade assigned to this colour name for display. This is NOT a sourced or certified club-brand HEX value.</t>
      </text>
    </comment>
    <comment authorId="0" ref="F462">
      <text>
        <t xml:space="preserve">Illustrative generic shade assigned to this colour name for display. This is NOT a sourced or certified club-brand HEX value.</t>
      </text>
    </comment>
    <comment authorId="0" ref="C330">
      <text>
        <t xml:space="preserve">Illustrative generic shade assigned to this colour name for display. This is NOT a sourced or certified club-brand HEX value.</t>
      </text>
    </comment>
    <comment authorId="0" ref="D330">
      <text>
        <t xml:space="preserve">Illustrative generic shade assigned to this colour name for display. This is NOT a sourced or certified club-brand HEX value.</t>
      </text>
    </comment>
    <comment authorId="0" ref="E330">
      <text>
        <t xml:space="preserve">Illustrative generic shade assigned to this colour name for display. This is NOT a sourced or certified club-brand HEX value.</t>
      </text>
    </comment>
    <comment authorId="0" ref="F330">
      <text>
        <t xml:space="preserve">Illustrative generic shade assigned to this colour name for display. This is NOT a sourced or certified club-brand HEX value.</t>
      </text>
    </comment>
    <comment authorId="0" ref="C198">
      <text>
        <t xml:space="preserve">Illustrative generic shade assigned to this colour name for display. This is NOT a sourced or certified club-brand HEX value.</t>
      </text>
    </comment>
    <comment authorId="0" ref="D198">
      <text>
        <t xml:space="preserve">Illustrative generic shade assigned to this colour name for display. This is NOT a sourced or certified club-brand HEX value.</t>
      </text>
    </comment>
    <comment authorId="0" ref="E198">
      <text>
        <t xml:space="preserve">Illustrative generic shade assigned to this colour name for display. This is NOT a sourced or certified club-brand HEX value.</t>
      </text>
    </comment>
    <comment authorId="0" ref="F198">
      <text>
        <t xml:space="preserve">Illustrative generic shade assigned to this colour name for display. This is NOT a sourced or certified club-brand HEX value.</t>
      </text>
    </comment>
    <comment authorId="0" ref="C66">
      <text>
        <t xml:space="preserve">Illustrative generic shade assigned to this colour name for display. This is NOT a sourced or certified club-brand HEX value.</t>
      </text>
    </comment>
    <comment authorId="0" ref="D66">
      <text>
        <t xml:space="preserve">Illustrative generic shade assigned to this colour name for display. This is NOT a sourced or certified club-brand HEX value.</t>
      </text>
    </comment>
    <comment authorId="0" ref="E66">
      <text>
        <t xml:space="preserve">Illustrative generic shade assigned to this colour name for display. This is NOT a sourced or certified club-brand HEX value.</t>
      </text>
    </comment>
    <comment authorId="0" ref="F66">
      <text>
        <t xml:space="preserve">Illustrative generic shade assigned to this colour name for display. This is NOT a sourced or certified club-brand HEX value.</t>
      </text>
    </comment>
    <comment authorId="0" ref="C727">
      <text>
        <t xml:space="preserve">Illustrative generic shade assigned to this colour name for display. This is NOT a sourced or certified club-brand HEX value.</t>
      </text>
    </comment>
    <comment authorId="0" ref="D727">
      <text>
        <t xml:space="preserve">Illustrative generic shade assigned to this colour name for display. This is NOT a sourced or certified club-brand HEX value.</t>
      </text>
    </comment>
    <comment authorId="0" ref="E727">
      <text>
        <t xml:space="preserve">Illustrative generic shade assigned to this colour name for display. This is NOT a sourced or certified club-brand HEX value.</t>
      </text>
    </comment>
    <comment authorId="0" ref="F727">
      <text>
        <t xml:space="preserve">Illustrative generic shade assigned to this colour name for display. This is NOT a sourced or certified club-brand HEX value.</t>
      </text>
    </comment>
    <comment authorId="0" ref="C595">
      <text>
        <t xml:space="preserve">Illustrative generic shade assigned to this colour name for display. This is NOT a sourced or certified club-brand HEX value.</t>
      </text>
    </comment>
    <comment authorId="0" ref="D595">
      <text>
        <t xml:space="preserve">Illustrative generic shade assigned to this colour name for display. This is NOT a sourced or certified club-brand HEX value.</t>
      </text>
    </comment>
    <comment authorId="0" ref="E595">
      <text>
        <t xml:space="preserve">Illustrative generic shade assigned to this colour name for display. This is NOT a sourced or certified club-brand HEX value.</t>
      </text>
    </comment>
    <comment authorId="0" ref="F595">
      <text>
        <t xml:space="preserve">Illustrative generic shade assigned to this colour name for display. This is NOT a sourced or certified club-brand HEX value.</t>
      </text>
    </comment>
    <comment authorId="0" ref="E463">
      <text>
        <t xml:space="preserve">Illustrative generic shade assigned to this colour name for display. This is NOT a sourced or certified club-brand HEX value.</t>
      </text>
    </comment>
    <comment authorId="0" ref="F463">
      <text>
        <t xml:space="preserve">Illustrative generic shade assigned to this colour name for display. This is NOT a sourced or certified club-brand HEX value.</t>
      </text>
    </comment>
    <comment authorId="0" ref="C331">
      <text>
        <t xml:space="preserve">Illustrative generic shade assigned to this colour name for display. This is NOT a sourced or certified club-brand HEX value.</t>
      </text>
    </comment>
    <comment authorId="0" ref="D331">
      <text>
        <t xml:space="preserve">Illustrative generic shade assigned to this colour name for display. This is NOT a sourced or certified club-brand HEX value.</t>
      </text>
    </comment>
    <comment authorId="0" ref="E331">
      <text>
        <t xml:space="preserve">Illustrative generic shade assigned to this colour name for display. This is NOT a sourced or certified club-brand HEX value.</t>
      </text>
    </comment>
    <comment authorId="0" ref="F331">
      <text>
        <t xml:space="preserve">Illustrative generic shade assigned to this colour name for display. This is NOT a sourced or certified club-brand HEX value.</t>
      </text>
    </comment>
    <comment authorId="0" ref="C199">
      <text>
        <t xml:space="preserve">Illustrative generic shade assigned to this colour name for display. This is NOT a sourced or certified club-brand HEX value.</t>
      </text>
    </comment>
    <comment authorId="0" ref="D199">
      <text>
        <t xml:space="preserve">Illustrative generic shade assigned to this colour name for display. This is NOT a sourced or certified club-brand HEX value.</t>
      </text>
    </comment>
    <comment authorId="0" ref="E199">
      <text>
        <t xml:space="preserve">Illustrative generic shade assigned to this colour name for display. This is NOT a sourced or certified club-brand HEX value.</t>
      </text>
    </comment>
    <comment authorId="0" ref="F199">
      <text>
        <t xml:space="preserve">Illustrative generic shade assigned to this colour name for display. This is NOT a sourced or certified club-brand HEX value.</t>
      </text>
    </comment>
    <comment authorId="0" ref="C67">
      <text>
        <t xml:space="preserve">Illustrative generic shade assigned to this colour name for display. This is NOT a sourced or certified club-brand HEX value.</t>
      </text>
    </comment>
    <comment authorId="0" ref="D67">
      <text>
        <t xml:space="preserve">Illustrative generic shade assigned to this colour name for display. This is NOT a sourced or certified club-brand HEX value.</t>
      </text>
    </comment>
    <comment authorId="0" ref="E67">
      <text>
        <t xml:space="preserve">Illustrative generic shade assigned to this colour name for display. This is NOT a sourced or certified club-brand HEX value.</t>
      </text>
    </comment>
    <comment authorId="0" ref="F67">
      <text>
        <t xml:space="preserve">Illustrative generic shade assigned to this colour name for display. This is NOT a sourced or certified club-brand HEX value.</t>
      </text>
    </comment>
    <comment authorId="0" ref="C728">
      <text>
        <t xml:space="preserve">Illustrative generic shade assigned to this colour name for display. This is NOT a sourced or certified club-brand HEX value.</t>
      </text>
    </comment>
    <comment authorId="0" ref="D728">
      <text>
        <t xml:space="preserve">Illustrative generic shade assigned to this colour name for display. This is NOT a sourced or certified club-brand HEX value.</t>
      </text>
    </comment>
    <comment authorId="0" ref="E728">
      <text>
        <t xml:space="preserve">Illustrative generic shade assigned to this colour name for display. This is NOT a sourced or certified club-brand HEX value.</t>
      </text>
    </comment>
    <comment authorId="0" ref="F728">
      <text>
        <t xml:space="preserve">Illustrative generic shade assigned to this colour name for display. This is NOT a sourced or certified club-brand HEX value.</t>
      </text>
    </comment>
    <comment authorId="0" ref="C596">
      <text>
        <t xml:space="preserve">Illustrative generic shade assigned to this colour name for display. This is NOT a sourced or certified club-brand HEX value.</t>
      </text>
    </comment>
    <comment authorId="0" ref="D596">
      <text>
        <t xml:space="preserve">Illustrative generic shade assigned to this colour name for display. This is NOT a sourced or certified club-brand HEX value.</t>
      </text>
    </comment>
    <comment authorId="0" ref="E596">
      <text>
        <t xml:space="preserve">Illustrative generic shade assigned to this colour name for display. This is NOT a sourced or certified club-brand HEX value.</t>
      </text>
    </comment>
    <comment authorId="0" ref="F596">
      <text>
        <t xml:space="preserve">Illustrative generic shade assigned to this colour name for display. This is NOT a sourced or certified club-brand HEX value.</t>
      </text>
    </comment>
    <comment authorId="0" ref="E464">
      <text>
        <t xml:space="preserve">Illustrative generic shade assigned to this colour name for display. This is NOT a sourced or certified club-brand HEX value.</t>
      </text>
    </comment>
    <comment authorId="0" ref="F464">
      <text>
        <t xml:space="preserve">Illustrative generic shade assigned to this colour name for display. This is NOT a sourced or certified club-brand HEX value.</t>
      </text>
    </comment>
    <comment authorId="0" ref="C332">
      <text>
        <t xml:space="preserve">Illustrative generic shade assigned to this colour name for display. This is NOT a sourced or certified club-brand HEX value.</t>
      </text>
    </comment>
    <comment authorId="0" ref="D332">
      <text>
        <t xml:space="preserve">Illustrative generic shade assigned to this colour name for display. This is NOT a sourced or certified club-brand HEX value.</t>
      </text>
    </comment>
    <comment authorId="0" ref="E332">
      <text>
        <t xml:space="preserve">Illustrative generic shade assigned to this colour name for display. This is NOT a sourced or certified club-brand HEX value.</t>
      </text>
    </comment>
    <comment authorId="0" ref="F332">
      <text>
        <t xml:space="preserve">Illustrative generic shade assigned to this colour name for display. This is NOT a sourced or certified club-brand HEX value.</t>
      </text>
    </comment>
    <comment authorId="0" ref="C200">
      <text>
        <t xml:space="preserve">Illustrative generic shade assigned to this colour name for display. This is NOT a sourced or certified club-brand HEX value.</t>
      </text>
    </comment>
    <comment authorId="0" ref="D200">
      <text>
        <t xml:space="preserve">Illustrative generic shade assigned to this colour name for display. This is NOT a sourced or certified club-brand HEX value.</t>
      </text>
    </comment>
    <comment authorId="0" ref="E200">
      <text>
        <t xml:space="preserve">Illustrative generic shade assigned to this colour name for display. This is NOT a sourced or certified club-brand HEX value.</t>
      </text>
    </comment>
    <comment authorId="0" ref="F200">
      <text>
        <t xml:space="preserve">Illustrative generic shade assigned to this colour name for display. This is NOT a sourced or certified club-brand HEX value.</t>
      </text>
    </comment>
    <comment authorId="0" ref="C68">
      <text>
        <t xml:space="preserve">Illustrative generic shade assigned to this colour name for display. This is NOT a sourced or certified club-brand HEX value.</t>
      </text>
    </comment>
    <comment authorId="0" ref="D68">
      <text>
        <t xml:space="preserve">Illustrative generic shade assigned to this colour name for display. This is NOT a sourced or certified club-brand HEX value.</t>
      </text>
    </comment>
    <comment authorId="0" ref="E68">
      <text>
        <t xml:space="preserve">Illustrative generic shade assigned to this colour name for display. This is NOT a sourced or certified club-brand HEX value.</t>
      </text>
    </comment>
    <comment authorId="0" ref="F68">
      <text>
        <t xml:space="preserve">Illustrative generic shade assigned to this colour name for display. This is NOT a sourced or certified club-brand HEX value.</t>
      </text>
    </comment>
    <comment authorId="0" ref="C729">
      <text>
        <t xml:space="preserve">Illustrative generic shade assigned to this colour name for display. This is NOT a sourced or certified club-brand HEX value.</t>
      </text>
    </comment>
    <comment authorId="0" ref="D729">
      <text>
        <t xml:space="preserve">Illustrative generic shade assigned to this colour name for display. This is NOT a sourced or certified club-brand HEX value.</t>
      </text>
    </comment>
    <comment authorId="0" ref="E729">
      <text>
        <t xml:space="preserve">Illustrative generic shade assigned to this colour name for display. This is NOT a sourced or certified club-brand HEX value.</t>
      </text>
    </comment>
    <comment authorId="0" ref="F729">
      <text>
        <t xml:space="preserve">Illustrative generic shade assigned to this colour name for display. This is NOT a sourced or certified club-brand HEX value.</t>
      </text>
    </comment>
    <comment authorId="0" ref="E597">
      <text>
        <t xml:space="preserve">Illustrative generic shade assigned to this colour name for display. This is NOT a sourced or certified club-brand HEX value.</t>
      </text>
    </comment>
    <comment authorId="0" ref="F597">
      <text>
        <t xml:space="preserve">Illustrative generic shade assigned to this colour name for display. This is NOT a sourced or certified club-brand HEX value.</t>
      </text>
    </comment>
    <comment authorId="0" ref="E465">
      <text>
        <t xml:space="preserve">Illustrative generic shade assigned to this colour name for display. This is NOT a sourced or certified club-brand HEX value.</t>
      </text>
    </comment>
    <comment authorId="0" ref="F465">
      <text>
        <t xml:space="preserve">Illustrative generic shade assigned to this colour name for display. This is NOT a sourced or certified club-brand HEX value.</t>
      </text>
    </comment>
    <comment authorId="0" ref="C333">
      <text>
        <t xml:space="preserve">Illustrative generic shade assigned to this colour name for display. This is NOT a sourced or certified club-brand HEX value.</t>
      </text>
    </comment>
    <comment authorId="0" ref="D333">
      <text>
        <t xml:space="preserve">Illustrative generic shade assigned to this colour name for display. This is NOT a sourced or certified club-brand HEX value.</t>
      </text>
    </comment>
    <comment authorId="0" ref="E333">
      <text>
        <t xml:space="preserve">Illustrative generic shade assigned to this colour name for display. This is NOT a sourced or certified club-brand HEX value.</t>
      </text>
    </comment>
    <comment authorId="0" ref="F333">
      <text>
        <t xml:space="preserve">Illustrative generic shade assigned to this colour name for display. This is NOT a sourced or certified club-brand HEX value.</t>
      </text>
    </comment>
    <comment authorId="0" ref="C201">
      <text>
        <t xml:space="preserve">Illustrative generic shade assigned to this colour name for display. This is NOT a sourced or certified club-brand HEX value.</t>
      </text>
    </comment>
    <comment authorId="0" ref="D201">
      <text>
        <t xml:space="preserve">Illustrative generic shade assigned to this colour name for display. This is NOT a sourced or certified club-brand HEX value.</t>
      </text>
    </comment>
    <comment authorId="0" ref="E201">
      <text>
        <t xml:space="preserve">Illustrative generic shade assigned to this colour name for display. This is NOT a sourced or certified club-brand HEX value.</t>
      </text>
    </comment>
    <comment authorId="0" ref="F201">
      <text>
        <t xml:space="preserve">Illustrative generic shade assigned to this colour name for display. This is NOT a sourced or certified club-brand HEX value.</t>
      </text>
    </comment>
    <comment authorId="0" ref="C69">
      <text>
        <t xml:space="preserve">Illustrative generic shade assigned to this colour name for display. This is NOT a sourced or certified club-brand HEX value.</t>
      </text>
    </comment>
    <comment authorId="0" ref="D69">
      <text>
        <t xml:space="preserve">Illustrative generic shade assigned to this colour name for display. This is NOT a sourced or certified club-brand HEX value.</t>
      </text>
    </comment>
    <comment authorId="0" ref="E69">
      <text>
        <t xml:space="preserve">Illustrative generic shade assigned to this colour name for display. This is NOT a sourced or certified club-brand HEX value.</t>
      </text>
    </comment>
    <comment authorId="0" ref="F69">
      <text>
        <t xml:space="preserve">Illustrative generic shade assigned to this colour name for display. This is NOT a sourced or certified club-brand HEX value.</t>
      </text>
    </comment>
    <comment authorId="0" ref="C730">
      <text>
        <t xml:space="preserve">Illustrative generic shade assigned to this colour name for display. This is NOT a sourced or certified club-brand HEX value.</t>
      </text>
    </comment>
    <comment authorId="0" ref="D730">
      <text>
        <t xml:space="preserve">Illustrative generic shade assigned to this colour name for display. This is NOT a sourced or certified club-brand HEX value.</t>
      </text>
    </comment>
    <comment authorId="0" ref="E730">
      <text>
        <t xml:space="preserve">Illustrative generic shade assigned to this colour name for display. This is NOT a sourced or certified club-brand HEX value.</t>
      </text>
    </comment>
    <comment authorId="0" ref="F730">
      <text>
        <t xml:space="preserve">Illustrative generic shade assigned to this colour name for display. This is NOT a sourced or certified club-brand HEX value.</t>
      </text>
    </comment>
    <comment authorId="0" ref="C598">
      <text>
        <t xml:space="preserve">Illustrative generic shade assigned to this colour name for display. This is NOT a sourced or certified club-brand HEX value.</t>
      </text>
    </comment>
    <comment authorId="0" ref="D598">
      <text>
        <t xml:space="preserve">Illustrative generic shade assigned to this colour name for display. This is NOT a sourced or certified club-brand HEX value.</t>
      </text>
    </comment>
    <comment authorId="0" ref="E598">
      <text>
        <t xml:space="preserve">Illustrative generic shade assigned to this colour name for display. This is NOT a sourced or certified club-brand HEX value.</t>
      </text>
    </comment>
    <comment authorId="0" ref="F598">
      <text>
        <t xml:space="preserve">Illustrative generic shade assigned to this colour name for display. This is NOT a sourced or certified club-brand HEX value.</t>
      </text>
    </comment>
    <comment authorId="0" ref="E466">
      <text>
        <t xml:space="preserve">Illustrative generic shade assigned to this colour name for display. This is NOT a sourced or certified club-brand HEX value.</t>
      </text>
    </comment>
    <comment authorId="0" ref="F466">
      <text>
        <t xml:space="preserve">Illustrative generic shade assigned to this colour name for display. This is NOT a sourced or certified club-brand HEX value.</t>
      </text>
    </comment>
    <comment authorId="0" ref="C334">
      <text>
        <t xml:space="preserve">Illustrative generic shade assigned to this colour name for display. This is NOT a sourced or certified club-brand HEX value.</t>
      </text>
    </comment>
    <comment authorId="0" ref="D334">
      <text>
        <t xml:space="preserve">Illustrative generic shade assigned to this colour name for display. This is NOT a sourced or certified club-brand HEX value.</t>
      </text>
    </comment>
    <comment authorId="0" ref="E334">
      <text>
        <t xml:space="preserve">Illustrative generic shade assigned to this colour name for display. This is NOT a sourced or certified club-brand HEX value.</t>
      </text>
    </comment>
    <comment authorId="0" ref="F334">
      <text>
        <t xml:space="preserve">Illustrative generic shade assigned to this colour name for display. This is NOT a sourced or certified club-brand HEX value.</t>
      </text>
    </comment>
    <comment authorId="0" ref="C202">
      <text>
        <t xml:space="preserve">Illustrative generic shade assigned to this colour name for display. This is NOT a sourced or certified club-brand HEX value.</t>
      </text>
    </comment>
    <comment authorId="0" ref="D202">
      <text>
        <t xml:space="preserve">Illustrative generic shade assigned to this colour name for display. This is NOT a sourced or certified club-brand HEX value.</t>
      </text>
    </comment>
    <comment authorId="0" ref="E202">
      <text>
        <t xml:space="preserve">Illustrative generic shade assigned to this colour name for display. This is NOT a sourced or certified club-brand HEX value.</t>
      </text>
    </comment>
    <comment authorId="0" ref="F202">
      <text>
        <t xml:space="preserve">Illustrative generic shade assigned to this colour name for display. This is NOT a sourced or certified club-brand HEX value.</t>
      </text>
    </comment>
    <comment authorId="0" ref="C70">
      <text>
        <t xml:space="preserve">Illustrative generic shade assigned to this colour name for display. This is NOT a sourced or certified club-brand HEX value.</t>
      </text>
    </comment>
    <comment authorId="0" ref="D70">
      <text>
        <t xml:space="preserve">Illustrative generic shade assigned to this colour name for display. This is NOT a sourced or certified club-brand HEX value.</t>
      </text>
    </comment>
    <comment authorId="0" ref="E70">
      <text>
        <t xml:space="preserve">Illustrative generic shade assigned to this colour name for display. This is NOT a sourced or certified club-brand HEX value.</t>
      </text>
    </comment>
    <comment authorId="0" ref="F70">
      <text>
        <t xml:space="preserve">Illustrative generic shade assigned to this colour name for display. This is NOT a sourced or certified club-brand HEX value.</t>
      </text>
    </comment>
    <comment authorId="0" ref="C731">
      <text>
        <t xml:space="preserve">Illustrative generic shade assigned to this colour name for display. This is NOT a sourced or certified club-brand HEX value.</t>
      </text>
    </comment>
    <comment authorId="0" ref="D731">
      <text>
        <t xml:space="preserve">Illustrative generic shade assigned to this colour name for display. This is NOT a sourced or certified club-brand HEX value.</t>
      </text>
    </comment>
    <comment authorId="0" ref="E731">
      <text>
        <t xml:space="preserve">Illustrative generic shade assigned to this colour name for display. This is NOT a sourced or certified club-brand HEX value.</t>
      </text>
    </comment>
    <comment authorId="0" ref="F731">
      <text>
        <t xml:space="preserve">Illustrative generic shade assigned to this colour name for display. This is NOT a sourced or certified club-brand HEX value.</t>
      </text>
    </comment>
    <comment authorId="0" ref="E599">
      <text>
        <t xml:space="preserve">Illustrative generic shade assigned to this colour name for display. This is NOT a sourced or certified club-brand HEX value.</t>
      </text>
    </comment>
    <comment authorId="0" ref="F599">
      <text>
        <t xml:space="preserve">Illustrative generic shade assigned to this colour name for display. This is NOT a sourced or certified club-brand HEX value.</t>
      </text>
    </comment>
    <comment authorId="0" ref="E467">
      <text>
        <t xml:space="preserve">Illustrative generic shade assigned to this colour name for display. This is NOT a sourced or certified club-brand HEX value.</t>
      </text>
    </comment>
    <comment authorId="0" ref="F467">
      <text>
        <t xml:space="preserve">Illustrative generic shade assigned to this colour name for display. This is NOT a sourced or certified club-brand HEX value.</t>
      </text>
    </comment>
    <comment authorId="0" ref="C335">
      <text>
        <t xml:space="preserve">Illustrative generic shade assigned to this colour name for display. This is NOT a sourced or certified club-brand HEX value.</t>
      </text>
    </comment>
    <comment authorId="0" ref="D335">
      <text>
        <t xml:space="preserve">Illustrative generic shade assigned to this colour name for display. This is NOT a sourced or certified club-brand HEX value.</t>
      </text>
    </comment>
    <comment authorId="0" ref="E335">
      <text>
        <t xml:space="preserve">Illustrative generic shade assigned to this colour name for display. This is NOT a sourced or certified club-brand HEX value.</t>
      </text>
    </comment>
    <comment authorId="0" ref="F335">
      <text>
        <t xml:space="preserve">Illustrative generic shade assigned to this colour name for display. This is NOT a sourced or certified club-brand HEX value.</t>
      </text>
    </comment>
    <comment authorId="0" ref="C203">
      <text>
        <t xml:space="preserve">Illustrative generic shade assigned to this colour name for display. This is NOT a sourced or certified club-brand HEX value.</t>
      </text>
    </comment>
    <comment authorId="0" ref="D203">
      <text>
        <t xml:space="preserve">Illustrative generic shade assigned to this colour name for display. This is NOT a sourced or certified club-brand HEX value.</t>
      </text>
    </comment>
    <comment authorId="0" ref="E203">
      <text>
        <t xml:space="preserve">Illustrative generic shade assigned to this colour name for display. This is NOT a sourced or certified club-brand HEX value.</t>
      </text>
    </comment>
    <comment authorId="0" ref="F203">
      <text>
        <t xml:space="preserve">Illustrative generic shade assigned to this colour name for display. This is NOT a sourced or certified club-brand HEX value.</t>
      </text>
    </comment>
    <comment authorId="0" ref="C71">
      <text>
        <t xml:space="preserve">Illustrative generic shade assigned to this colour name for display. This is NOT a sourced or certified club-brand HEX value.</t>
      </text>
    </comment>
    <comment authorId="0" ref="D71">
      <text>
        <t xml:space="preserve">Illustrative generic shade assigned to this colour name for display. This is NOT a sourced or certified club-brand HEX value.</t>
      </text>
    </comment>
    <comment authorId="0" ref="E71">
      <text>
        <t xml:space="preserve">Illustrative generic shade assigned to this colour name for display. This is NOT a sourced or certified club-brand HEX value.</t>
      </text>
    </comment>
    <comment authorId="0" ref="F71">
      <text>
        <t xml:space="preserve">Illustrative generic shade assigned to this colour name for display. This is NOT a sourced or certified club-brand HEX value.</t>
      </text>
    </comment>
    <comment authorId="0" ref="C732">
      <text>
        <t xml:space="preserve">Illustrative generic shade assigned to this colour name for display. This is NOT a sourced or certified club-brand HEX value.</t>
      </text>
    </comment>
    <comment authorId="0" ref="D732">
      <text>
        <t xml:space="preserve">Illustrative generic shade assigned to this colour name for display. This is NOT a sourced or certified club-brand HEX value.</t>
      </text>
    </comment>
    <comment authorId="0" ref="E732">
      <text>
        <t xml:space="preserve">Illustrative generic shade assigned to this colour name for display. This is NOT a sourced or certified club-brand HEX value.</t>
      </text>
    </comment>
    <comment authorId="0" ref="F732">
      <text>
        <t xml:space="preserve">Illustrative generic shade assigned to this colour name for display. This is NOT a sourced or certified club-brand HEX value.</t>
      </text>
    </comment>
    <comment authorId="0" ref="C600">
      <text>
        <t xml:space="preserve">Illustrative generic shade assigned to this colour name for display. This is NOT a sourced or certified club-brand HEX value.</t>
      </text>
    </comment>
    <comment authorId="0" ref="D600">
      <text>
        <t xml:space="preserve">Illustrative generic shade assigned to this colour name for display. This is NOT a sourced or certified club-brand HEX value.</t>
      </text>
    </comment>
    <comment authorId="0" ref="E600">
      <text>
        <t xml:space="preserve">Illustrative generic shade assigned to this colour name for display. This is NOT a sourced or certified club-brand HEX value.</t>
      </text>
    </comment>
    <comment authorId="0" ref="F600">
      <text>
        <t xml:space="preserve">Illustrative generic shade assigned to this colour name for display. This is NOT a sourced or certified club-brand HEX value.</t>
      </text>
    </comment>
    <comment authorId="0" ref="C468">
      <text>
        <t xml:space="preserve">Illustrative generic shade assigned to this colour name for display. This is NOT a sourced or certified club-brand HEX value.</t>
      </text>
    </comment>
    <comment authorId="0" ref="D468">
      <text>
        <t xml:space="preserve">Illustrative generic shade assigned to this colour name for display. This is NOT a sourced or certified club-brand HEX value.</t>
      </text>
    </comment>
    <comment authorId="0" ref="E468">
      <text>
        <t xml:space="preserve">Illustrative generic shade assigned to this colour name for display. This is NOT a sourced or certified club-brand HEX value.</t>
      </text>
    </comment>
    <comment authorId="0" ref="F468">
      <text>
        <t xml:space="preserve">Illustrative generic shade assigned to this colour name for display. This is NOT a sourced or certified club-brand HEX value.</t>
      </text>
    </comment>
    <comment authorId="0" ref="C336">
      <text>
        <t xml:space="preserve">Illustrative generic shade assigned to this colour name for display. This is NOT a sourced or certified club-brand HEX value.</t>
      </text>
    </comment>
    <comment authorId="0" ref="D336">
      <text>
        <t xml:space="preserve">Illustrative generic shade assigned to this colour name for display. This is NOT a sourced or certified club-brand HEX value.</t>
      </text>
    </comment>
    <comment authorId="0" ref="E336">
      <text>
        <t xml:space="preserve">Illustrative generic shade assigned to this colour name for display. This is NOT a sourced or certified club-brand HEX value.</t>
      </text>
    </comment>
    <comment authorId="0" ref="F336">
      <text>
        <t xml:space="preserve">Illustrative generic shade assigned to this colour name for display. This is NOT a sourced or certified club-brand HEX value.</t>
      </text>
    </comment>
    <comment authorId="0" ref="C204">
      <text>
        <t xml:space="preserve">Illustrative generic shade assigned to this colour name for display. This is NOT a sourced or certified club-brand HEX value.</t>
      </text>
    </comment>
    <comment authorId="0" ref="D204">
      <text>
        <t xml:space="preserve">Illustrative generic shade assigned to this colour name for display. This is NOT a sourced or certified club-brand HEX value.</t>
      </text>
    </comment>
    <comment authorId="0" ref="E204">
      <text>
        <t xml:space="preserve">Illustrative generic shade assigned to this colour name for display. This is NOT a sourced or certified club-brand HEX value.</t>
      </text>
    </comment>
    <comment authorId="0" ref="F204">
      <text>
        <t xml:space="preserve">Illustrative generic shade assigned to this colour name for display. This is NOT a sourced or certified club-brand HEX value.</t>
      </text>
    </comment>
    <comment authorId="0" ref="C72">
      <text>
        <t xml:space="preserve">Illustrative generic shade assigned to this colour name for display. This is NOT a sourced or certified club-brand HEX value.</t>
      </text>
    </comment>
    <comment authorId="0" ref="D72">
      <text>
        <t xml:space="preserve">Illustrative generic shade assigned to this colour name for display. This is NOT a sourced or certified club-brand HEX value.</t>
      </text>
    </comment>
    <comment authorId="0" ref="E72">
      <text>
        <t xml:space="preserve">Illustrative generic shade assigned to this colour name for display. This is NOT a sourced or certified club-brand HEX value.</t>
      </text>
    </comment>
    <comment authorId="0" ref="F72">
      <text>
        <t xml:space="preserve">Illustrative generic shade assigned to this colour name for display. This is NOT a sourced or certified club-brand HEX value.</t>
      </text>
    </comment>
    <comment authorId="0" ref="C733">
      <text>
        <t xml:space="preserve">Illustrative generic shade assigned to this colour name for display. This is NOT a sourced or certified club-brand HEX value.</t>
      </text>
    </comment>
    <comment authorId="0" ref="D733">
      <text>
        <t xml:space="preserve">Illustrative generic shade assigned to this colour name for display. This is NOT a sourced or certified club-brand HEX value.</t>
      </text>
    </comment>
    <comment authorId="0" ref="E733">
      <text>
        <t xml:space="preserve">Illustrative generic shade assigned to this colour name for display. This is NOT a sourced or certified club-brand HEX value.</t>
      </text>
    </comment>
    <comment authorId="0" ref="F733">
      <text>
        <t xml:space="preserve">Illustrative generic shade assigned to this colour name for display. This is NOT a sourced or certified club-brand HEX value.</t>
      </text>
    </comment>
    <comment authorId="0" ref="E601">
      <text>
        <t xml:space="preserve">Illustrative generic shade assigned to this colour name for display. This is NOT a sourced or certified club-brand HEX value.</t>
      </text>
    </comment>
    <comment authorId="0" ref="F601">
      <text>
        <t xml:space="preserve">Illustrative generic shade assigned to this colour name for display. This is NOT a sourced or certified club-brand HEX value.</t>
      </text>
    </comment>
    <comment authorId="0" ref="E469">
      <text>
        <t xml:space="preserve">Illustrative generic shade assigned to this colour name for display. This is NOT a sourced or certified club-brand HEX value.</t>
      </text>
    </comment>
    <comment authorId="0" ref="F469">
      <text>
        <t xml:space="preserve">Illustrative generic shade assigned to this colour name for display. This is NOT a sourced or certified club-brand HEX value.</t>
      </text>
    </comment>
    <comment authorId="0" ref="C337">
      <text>
        <t xml:space="preserve">Illustrative generic shade assigned to this colour name for display. This is NOT a sourced or certified club-brand HEX value.</t>
      </text>
    </comment>
    <comment authorId="0" ref="D337">
      <text>
        <t xml:space="preserve">Illustrative generic shade assigned to this colour name for display. This is NOT a sourced or certified club-brand HEX value.</t>
      </text>
    </comment>
    <comment authorId="0" ref="E337">
      <text>
        <t xml:space="preserve">Illustrative generic shade assigned to this colour name for display. This is NOT a sourced or certified club-brand HEX value.</t>
      </text>
    </comment>
    <comment authorId="0" ref="F337">
      <text>
        <t xml:space="preserve">Illustrative generic shade assigned to this colour name for display. This is NOT a sourced or certified club-brand HEX value.</t>
      </text>
    </comment>
    <comment authorId="0" ref="C205">
      <text>
        <t xml:space="preserve">Illustrative generic shade assigned to this colour name for display. This is NOT a sourced or certified club-brand HEX value.</t>
      </text>
    </comment>
    <comment authorId="0" ref="D205">
      <text>
        <t xml:space="preserve">Illustrative generic shade assigned to this colour name for display. This is NOT a sourced or certified club-brand HEX value.</t>
      </text>
    </comment>
    <comment authorId="0" ref="E205">
      <text>
        <t xml:space="preserve">Illustrative generic shade assigned to this colour name for display. This is NOT a sourced or certified club-brand HEX value.</t>
      </text>
    </comment>
    <comment authorId="0" ref="F205">
      <text>
        <t xml:space="preserve">Illustrative generic shade assigned to this colour name for display. This is NOT a sourced or certified club-brand HEX value.</t>
      </text>
    </comment>
    <comment authorId="0" ref="C73">
      <text>
        <t xml:space="preserve">Illustrative generic shade assigned to this colour name for display. This is NOT a sourced or certified club-brand HEX value.</t>
      </text>
    </comment>
    <comment authorId="0" ref="D73">
      <text>
        <t xml:space="preserve">Illustrative generic shade assigned to this colour name for display. This is NOT a sourced or certified club-brand HEX value.</t>
      </text>
    </comment>
    <comment authorId="0" ref="E73">
      <text>
        <t xml:space="preserve">Illustrative generic shade assigned to this colour name for display. This is NOT a sourced or certified club-brand HEX value.</t>
      </text>
    </comment>
    <comment authorId="0" ref="F73">
      <text>
        <t xml:space="preserve">Illustrative generic shade assigned to this colour name for display. This is NOT a sourced or certified club-brand HEX value.</t>
      </text>
    </comment>
    <comment authorId="0" ref="C734">
      <text>
        <t xml:space="preserve">Illustrative generic shade assigned to this colour name for display. This is NOT a sourced or certified club-brand HEX value.</t>
      </text>
    </comment>
    <comment authorId="0" ref="D734">
      <text>
        <t xml:space="preserve">Illustrative generic shade assigned to this colour name for display. This is NOT a sourced or certified club-brand HEX value.</t>
      </text>
    </comment>
    <comment authorId="0" ref="E734">
      <text>
        <t xml:space="preserve">Illustrative generic shade assigned to this colour name for display. This is NOT a sourced or certified club-brand HEX value.</t>
      </text>
    </comment>
    <comment authorId="0" ref="F734">
      <text>
        <t xml:space="preserve">Illustrative generic shade assigned to this colour name for display. This is NOT a sourced or certified club-brand HEX value.</t>
      </text>
    </comment>
    <comment authorId="0" ref="E602">
      <text>
        <t xml:space="preserve">Illustrative generic shade assigned to this colour name for display. This is NOT a sourced or certified club-brand HEX value.</t>
      </text>
    </comment>
    <comment authorId="0" ref="F602">
      <text>
        <t xml:space="preserve">Illustrative generic shade assigned to this colour name for display. This is NOT a sourced or certified club-brand HEX value.</t>
      </text>
    </comment>
    <comment authorId="0" ref="C470">
      <text>
        <t xml:space="preserve">Illustrative generic shade assigned to this colour name for display. This is NOT a sourced or certified club-brand HEX value.</t>
      </text>
    </comment>
    <comment authorId="0" ref="D470">
      <text>
        <t xml:space="preserve">Illustrative generic shade assigned to this colour name for display. This is NOT a sourced or certified club-brand HEX value.</t>
      </text>
    </comment>
    <comment authorId="0" ref="E470">
      <text>
        <t xml:space="preserve">Illustrative generic shade assigned to this colour name for display. This is NOT a sourced or certified club-brand HEX value.</t>
      </text>
    </comment>
    <comment authorId="0" ref="F470">
      <text>
        <t xml:space="preserve">Illustrative generic shade assigned to this colour name for display. This is NOT a sourced or certified club-brand HEX value.</t>
      </text>
    </comment>
    <comment authorId="0" ref="C338">
      <text>
        <t xml:space="preserve">Illustrative generic shade assigned to this colour name for display. This is NOT a sourced or certified club-brand HEX value.</t>
      </text>
    </comment>
    <comment authorId="0" ref="D338">
      <text>
        <t xml:space="preserve">Illustrative generic shade assigned to this colour name for display. This is NOT a sourced or certified club-brand HEX value.</t>
      </text>
    </comment>
    <comment authorId="0" ref="E338">
      <text>
        <t xml:space="preserve">Illustrative generic shade assigned to this colour name for display. This is NOT a sourced or certified club-brand HEX value.</t>
      </text>
    </comment>
    <comment authorId="0" ref="F338">
      <text>
        <t xml:space="preserve">Illustrative generic shade assigned to this colour name for display. This is NOT a sourced or certified club-brand HEX value.</t>
      </text>
    </comment>
    <comment authorId="0" ref="C206">
      <text>
        <t xml:space="preserve">Illustrative generic shade assigned to this colour name for display. This is NOT a sourced or certified club-brand HEX value.</t>
      </text>
    </comment>
    <comment authorId="0" ref="D206">
      <text>
        <t xml:space="preserve">Illustrative generic shade assigned to this colour name for display. This is NOT a sourced or certified club-brand HEX value.</t>
      </text>
    </comment>
    <comment authorId="0" ref="E206">
      <text>
        <t xml:space="preserve">Illustrative generic shade assigned to this colour name for display. This is NOT a sourced or certified club-brand HEX value.</t>
      </text>
    </comment>
    <comment authorId="0" ref="F206">
      <text>
        <t xml:space="preserve">Illustrative generic shade assigned to this colour name for display. This is NOT a sourced or certified club-brand HEX value.</t>
      </text>
    </comment>
    <comment authorId="0" ref="C74">
      <text>
        <t xml:space="preserve">Illustrative generic shade assigned to this colour name for display. This is NOT a sourced or certified club-brand HEX value.</t>
      </text>
    </comment>
    <comment authorId="0" ref="D74">
      <text>
        <t xml:space="preserve">Illustrative generic shade assigned to this colour name for display. This is NOT a sourced or certified club-brand HEX value.</t>
      </text>
    </comment>
    <comment authorId="0" ref="E74">
      <text>
        <t xml:space="preserve">Illustrative generic shade assigned to this colour name for display. This is NOT a sourced or certified club-brand HEX value.</t>
      </text>
    </comment>
    <comment authorId="0" ref="F74">
      <text>
        <t xml:space="preserve">Illustrative generic shade assigned to this colour name for display. This is NOT a sourced or certified club-brand HEX value.</t>
      </text>
    </comment>
    <comment authorId="0" ref="C735">
      <text>
        <t xml:space="preserve">Illustrative generic shade assigned to this colour name for display. This is NOT a sourced or certified club-brand HEX value.</t>
      </text>
    </comment>
    <comment authorId="0" ref="D735">
      <text>
        <t xml:space="preserve">Illustrative generic shade assigned to this colour name for display. This is NOT a sourced or certified club-brand HEX value.</t>
      </text>
    </comment>
    <comment authorId="0" ref="E735">
      <text>
        <t xml:space="preserve">Illustrative generic shade assigned to this colour name for display. This is NOT a sourced or certified club-brand HEX value.</t>
      </text>
    </comment>
    <comment authorId="0" ref="F735">
      <text>
        <t xml:space="preserve">Illustrative generic shade assigned to this colour name for display. This is NOT a sourced or certified club-brand HEX value.</t>
      </text>
    </comment>
    <comment authorId="0" ref="E603">
      <text>
        <t xml:space="preserve">Illustrative generic shade assigned to this colour name for display. This is NOT a sourced or certified club-brand HEX value.</t>
      </text>
    </comment>
    <comment authorId="0" ref="F603">
      <text>
        <t xml:space="preserve">Illustrative generic shade assigned to this colour name for display. This is NOT a sourced or certified club-brand HEX value.</t>
      </text>
    </comment>
    <comment authorId="0" ref="E471">
      <text>
        <t xml:space="preserve">Illustrative generic shade assigned to this colour name for display. This is NOT a sourced or certified club-brand HEX value.</t>
      </text>
    </comment>
    <comment authorId="0" ref="F471">
      <text>
        <t xml:space="preserve">Illustrative generic shade assigned to this colour name for display. This is NOT a sourced or certified club-brand HEX value.</t>
      </text>
    </comment>
    <comment authorId="0" ref="C339">
      <text>
        <t xml:space="preserve">Illustrative generic shade assigned to this colour name for display. This is NOT a sourced or certified club-brand HEX value.</t>
      </text>
    </comment>
    <comment authorId="0" ref="D339">
      <text>
        <t xml:space="preserve">Illustrative generic shade assigned to this colour name for display. This is NOT a sourced or certified club-brand HEX value.</t>
      </text>
    </comment>
    <comment authorId="0" ref="E339">
      <text>
        <t xml:space="preserve">Illustrative generic shade assigned to this colour name for display. This is NOT a sourced or certified club-brand HEX value.</t>
      </text>
    </comment>
    <comment authorId="0" ref="F339">
      <text>
        <t xml:space="preserve">Illustrative generic shade assigned to this colour name for display. This is NOT a sourced or certified club-brand HEX value.</t>
      </text>
    </comment>
    <comment authorId="0" ref="C207">
      <text>
        <t xml:space="preserve">Illustrative generic shade assigned to this colour name for display. This is NOT a sourced or certified club-brand HEX value.</t>
      </text>
    </comment>
    <comment authorId="0" ref="D207">
      <text>
        <t xml:space="preserve">Illustrative generic shade assigned to this colour name for display. This is NOT a sourced or certified club-brand HEX value.</t>
      </text>
    </comment>
    <comment authorId="0" ref="E207">
      <text>
        <t xml:space="preserve">Illustrative generic shade assigned to this colour name for display. This is NOT a sourced or certified club-brand HEX value.</t>
      </text>
    </comment>
    <comment authorId="0" ref="F207">
      <text>
        <t xml:space="preserve">Illustrative generic shade assigned to this colour name for display. This is NOT a sourced or certified club-brand HEX value.</t>
      </text>
    </comment>
    <comment authorId="0" ref="C75">
      <text>
        <t xml:space="preserve">Illustrative generic shade assigned to this colour name for display. This is NOT a sourced or certified club-brand HEX value.</t>
      </text>
    </comment>
    <comment authorId="0" ref="D75">
      <text>
        <t xml:space="preserve">Illustrative generic shade assigned to this colour name for display. This is NOT a sourced or certified club-brand HEX value.</t>
      </text>
    </comment>
    <comment authorId="0" ref="E75">
      <text>
        <t xml:space="preserve">Illustrative generic shade assigned to this colour name for display. This is NOT a sourced or certified club-brand HEX value.</t>
      </text>
    </comment>
    <comment authorId="0" ref="F75">
      <text>
        <t xml:space="preserve">Illustrative generic shade assigned to this colour name for display. This is NOT a sourced or certified club-brand HEX value.</t>
      </text>
    </comment>
    <comment authorId="0" ref="C736">
      <text>
        <t xml:space="preserve">Illustrative generic shade assigned to this colour name for display. This is NOT a sourced or certified club-brand HEX value.</t>
      </text>
    </comment>
    <comment authorId="0" ref="D736">
      <text>
        <t xml:space="preserve">Illustrative generic shade assigned to this colour name for display. This is NOT a sourced or certified club-brand HEX value.</t>
      </text>
    </comment>
    <comment authorId="0" ref="E736">
      <text>
        <t xml:space="preserve">Illustrative generic shade assigned to this colour name for display. This is NOT a sourced or certified club-brand HEX value.</t>
      </text>
    </comment>
    <comment authorId="0" ref="F736">
      <text>
        <t xml:space="preserve">Illustrative generic shade assigned to this colour name for display. This is NOT a sourced or certified club-brand HEX value.</t>
      </text>
    </comment>
    <comment authorId="0" ref="C604">
      <text>
        <t xml:space="preserve">Illustrative generic shade assigned to this colour name for display. This is NOT a sourced or certified club-brand HEX value.</t>
      </text>
    </comment>
    <comment authorId="0" ref="D604">
      <text>
        <t xml:space="preserve">Illustrative generic shade assigned to this colour name for display. This is NOT a sourced or certified club-brand HEX value.</t>
      </text>
    </comment>
    <comment authorId="0" ref="E604">
      <text>
        <t xml:space="preserve">Illustrative generic shade assigned to this colour name for display. This is NOT a sourced or certified club-brand HEX value.</t>
      </text>
    </comment>
    <comment authorId="0" ref="F604">
      <text>
        <t xml:space="preserve">Illustrative generic shade assigned to this colour name for display. This is NOT a sourced or certified club-brand HEX value.</t>
      </text>
    </comment>
    <comment authorId="0" ref="E472">
      <text>
        <t xml:space="preserve">Illustrative generic shade assigned to this colour name for display. This is NOT a sourced or certified club-brand HEX value.</t>
      </text>
    </comment>
    <comment authorId="0" ref="F472">
      <text>
        <t xml:space="preserve">Illustrative generic shade assigned to this colour name for display. This is NOT a sourced or certified club-brand HEX value.</t>
      </text>
    </comment>
    <comment authorId="0" ref="C340">
      <text>
        <t xml:space="preserve">Illustrative generic shade assigned to this colour name for display. This is NOT a sourced or certified club-brand HEX value.</t>
      </text>
    </comment>
    <comment authorId="0" ref="D340">
      <text>
        <t xml:space="preserve">Illustrative generic shade assigned to this colour name for display. This is NOT a sourced or certified club-brand HEX value.</t>
      </text>
    </comment>
    <comment authorId="0" ref="E340">
      <text>
        <t xml:space="preserve">Illustrative generic shade assigned to this colour name for display. This is NOT a sourced or certified club-brand HEX value.</t>
      </text>
    </comment>
    <comment authorId="0" ref="F340">
      <text>
        <t xml:space="preserve">Illustrative generic shade assigned to this colour name for display. This is NOT a sourced or certified club-brand HEX value.</t>
      </text>
    </comment>
    <comment authorId="0" ref="C208">
      <text>
        <t xml:space="preserve">Illustrative generic shade assigned to this colour name for display. This is NOT a sourced or certified club-brand HEX value.</t>
      </text>
    </comment>
    <comment authorId="0" ref="D208">
      <text>
        <t xml:space="preserve">Illustrative generic shade assigned to this colour name for display. This is NOT a sourced or certified club-brand HEX value.</t>
      </text>
    </comment>
    <comment authorId="0" ref="E208">
      <text>
        <t xml:space="preserve">Illustrative generic shade assigned to this colour name for display. This is NOT a sourced or certified club-brand HEX value.</t>
      </text>
    </comment>
    <comment authorId="0" ref="F208">
      <text>
        <t xml:space="preserve">Illustrative generic shade assigned to this colour name for display. This is NOT a sourced or certified club-brand HEX value.</t>
      </text>
    </comment>
    <comment authorId="0" ref="C76">
      <text>
        <t xml:space="preserve">Illustrative generic shade assigned to this colour name for display. This is NOT a sourced or certified club-brand HEX value.</t>
      </text>
    </comment>
    <comment authorId="0" ref="D76">
      <text>
        <t xml:space="preserve">Illustrative generic shade assigned to this colour name for display. This is NOT a sourced or certified club-brand HEX value.</t>
      </text>
    </comment>
    <comment authorId="0" ref="E76">
      <text>
        <t xml:space="preserve">Illustrative generic shade assigned to this colour name for display. This is NOT a sourced or certified club-brand HEX value.</t>
      </text>
    </comment>
    <comment authorId="0" ref="F76">
      <text>
        <t xml:space="preserve">Illustrative generic shade assigned to this colour name for display. This is NOT a sourced or certified club-brand HEX value.</t>
      </text>
    </comment>
    <comment authorId="0" ref="C737">
      <text>
        <t xml:space="preserve">Illustrative generic shade assigned to this colour name for display. This is NOT a sourced or certified club-brand HEX value.</t>
      </text>
    </comment>
    <comment authorId="0" ref="D737">
      <text>
        <t xml:space="preserve">Illustrative generic shade assigned to this colour name for display. This is NOT a sourced or certified club-brand HEX value.</t>
      </text>
    </comment>
    <comment authorId="0" ref="E737">
      <text>
        <t xml:space="preserve">Illustrative generic shade assigned to this colour name for display. This is NOT a sourced or certified club-brand HEX value.</t>
      </text>
    </comment>
    <comment authorId="0" ref="F737">
      <text>
        <t xml:space="preserve">Illustrative generic shade assigned to this colour name for display. This is NOT a sourced or certified club-brand HEX value.</t>
      </text>
    </comment>
    <comment authorId="0" ref="C605">
      <text>
        <t xml:space="preserve">Illustrative generic shade assigned to this colour name for display. This is NOT a sourced or certified club-brand HEX value.</t>
      </text>
    </comment>
    <comment authorId="0" ref="D605">
      <text>
        <t xml:space="preserve">Illustrative generic shade assigned to this colour name for display. This is NOT a sourced or certified club-brand HEX value.</t>
      </text>
    </comment>
    <comment authorId="0" ref="E605">
      <text>
        <t xml:space="preserve">Illustrative generic shade assigned to this colour name for display. This is NOT a sourced or certified club-brand HEX value.</t>
      </text>
    </comment>
    <comment authorId="0" ref="F605">
      <text>
        <t xml:space="preserve">Illustrative generic shade assigned to this colour name for display. This is NOT a sourced or certified club-brand HEX value.</t>
      </text>
    </comment>
    <comment authorId="0" ref="C473">
      <text>
        <t xml:space="preserve">Illustrative generic shade assigned to this colour name for display. This is NOT a sourced or certified club-brand HEX value.</t>
      </text>
    </comment>
    <comment authorId="0" ref="D473">
      <text>
        <t xml:space="preserve">Illustrative generic shade assigned to this colour name for display. This is NOT a sourced or certified club-brand HEX value.</t>
      </text>
    </comment>
    <comment authorId="0" ref="E473">
      <text>
        <t xml:space="preserve">Illustrative generic shade assigned to this colour name for display. This is NOT a sourced or certified club-brand HEX value.</t>
      </text>
    </comment>
    <comment authorId="0" ref="F473">
      <text>
        <t xml:space="preserve">Illustrative generic shade assigned to this colour name for display. This is NOT a sourced or certified club-brand HEX value.</t>
      </text>
    </comment>
    <comment authorId="0" ref="C341">
      <text>
        <t xml:space="preserve">Illustrative generic shade assigned to this colour name for display. This is NOT a sourced or certified club-brand HEX value.</t>
      </text>
    </comment>
    <comment authorId="0" ref="D341">
      <text>
        <t xml:space="preserve">Illustrative generic shade assigned to this colour name for display. This is NOT a sourced or certified club-brand HEX value.</t>
      </text>
    </comment>
    <comment authorId="0" ref="E341">
      <text>
        <t xml:space="preserve">Illustrative generic shade assigned to this colour name for display. This is NOT a sourced or certified club-brand HEX value.</t>
      </text>
    </comment>
    <comment authorId="0" ref="F341">
      <text>
        <t xml:space="preserve">Illustrative generic shade assigned to this colour name for display. This is NOT a sourced or certified club-brand HEX value.</t>
      </text>
    </comment>
    <comment authorId="0" ref="C209">
      <text>
        <t xml:space="preserve">Illustrative generic shade assigned to this colour name for display. This is NOT a sourced or certified club-brand HEX value.</t>
      </text>
    </comment>
    <comment authorId="0" ref="D209">
      <text>
        <t xml:space="preserve">Illustrative generic shade assigned to this colour name for display. This is NOT a sourced or certified club-brand HEX value.</t>
      </text>
    </comment>
    <comment authorId="0" ref="E209">
      <text>
        <t xml:space="preserve">Illustrative generic shade assigned to this colour name for display. This is NOT a sourced or certified club-brand HEX value.</t>
      </text>
    </comment>
    <comment authorId="0" ref="F209">
      <text>
        <t xml:space="preserve">Illustrative generic shade assigned to this colour name for display. This is NOT a sourced or certified club-brand HEX value.</t>
      </text>
    </comment>
    <comment authorId="0" ref="C77">
      <text>
        <t xml:space="preserve">Illustrative generic shade assigned to this colour name for display. This is NOT a sourced or certified club-brand HEX value.</t>
      </text>
    </comment>
    <comment authorId="0" ref="D77">
      <text>
        <t xml:space="preserve">Illustrative generic shade assigned to this colour name for display. This is NOT a sourced or certified club-brand HEX value.</t>
      </text>
    </comment>
    <comment authorId="0" ref="E77">
      <text>
        <t xml:space="preserve">Illustrative generic shade assigned to this colour name for display. This is NOT a sourced or certified club-brand HEX value.</t>
      </text>
    </comment>
    <comment authorId="0" ref="F77">
      <text>
        <t xml:space="preserve">Illustrative generic shade assigned to this colour name for display. This is NOT a sourced or certified club-brand HEX value.</t>
      </text>
    </comment>
    <comment authorId="0" ref="C738">
      <text>
        <t xml:space="preserve">Illustrative generic shade assigned to this colour name for display. This is NOT a sourced or certified club-brand HEX value.</t>
      </text>
    </comment>
    <comment authorId="0" ref="D738">
      <text>
        <t xml:space="preserve">Illustrative generic shade assigned to this colour name for display. This is NOT a sourced or certified club-brand HEX value.</t>
      </text>
    </comment>
    <comment authorId="0" ref="E738">
      <text>
        <t xml:space="preserve">Illustrative generic shade assigned to this colour name for display. This is NOT a sourced or certified club-brand HEX value.</t>
      </text>
    </comment>
    <comment authorId="0" ref="F738">
      <text>
        <t xml:space="preserve">Illustrative generic shade assigned to this colour name for display. This is NOT a sourced or certified club-brand HEX value.</t>
      </text>
    </comment>
    <comment authorId="0" ref="C606">
      <text>
        <t xml:space="preserve">Illustrative generic shade assigned to this colour name for display. This is NOT a sourced or certified club-brand HEX value.</t>
      </text>
    </comment>
    <comment authorId="0" ref="D606">
      <text>
        <t xml:space="preserve">Illustrative generic shade assigned to this colour name for display. This is NOT a sourced or certified club-brand HEX value.</t>
      </text>
    </comment>
    <comment authorId="0" ref="E606">
      <text>
        <t xml:space="preserve">Illustrative generic shade assigned to this colour name for display. This is NOT a sourced or certified club-brand HEX value.</t>
      </text>
    </comment>
    <comment authorId="0" ref="F606">
      <text>
        <t xml:space="preserve">Illustrative generic shade assigned to this colour name for display. This is NOT a sourced or certified club-brand HEX value.</t>
      </text>
    </comment>
    <comment authorId="0" ref="C474">
      <text>
        <t xml:space="preserve">Illustrative generic shade assigned to this colour name for display. This is NOT a sourced or certified club-brand HEX value.</t>
      </text>
    </comment>
    <comment authorId="0" ref="D474">
      <text>
        <t xml:space="preserve">Illustrative generic shade assigned to this colour name for display. This is NOT a sourced or certified club-brand HEX value.</t>
      </text>
    </comment>
    <comment authorId="0" ref="E474">
      <text>
        <t xml:space="preserve">Illustrative generic shade assigned to this colour name for display. This is NOT a sourced or certified club-brand HEX value.</t>
      </text>
    </comment>
    <comment authorId="0" ref="F474">
      <text>
        <t xml:space="preserve">Illustrative generic shade assigned to this colour name for display. This is NOT a sourced or certified club-brand HEX value.</t>
      </text>
    </comment>
    <comment authorId="0" ref="C342">
      <text>
        <t xml:space="preserve">Illustrative generic shade assigned to this colour name for display. This is NOT a sourced or certified club-brand HEX value.</t>
      </text>
    </comment>
    <comment authorId="0" ref="D342">
      <text>
        <t xml:space="preserve">Illustrative generic shade assigned to this colour name for display. This is NOT a sourced or certified club-brand HEX value.</t>
      </text>
    </comment>
    <comment authorId="0" ref="E342">
      <text>
        <t xml:space="preserve">Illustrative generic shade assigned to this colour name for display. This is NOT a sourced or certified club-brand HEX value.</t>
      </text>
    </comment>
    <comment authorId="0" ref="F342">
      <text>
        <t xml:space="preserve">Illustrative generic shade assigned to this colour name for display. This is NOT a sourced or certified club-brand HEX value.</t>
      </text>
    </comment>
    <comment authorId="0" ref="C210">
      <text>
        <t xml:space="preserve">Illustrative generic shade assigned to this colour name for display. This is NOT a sourced or certified club-brand HEX value.</t>
      </text>
    </comment>
    <comment authorId="0" ref="D210">
      <text>
        <t xml:space="preserve">Illustrative generic shade assigned to this colour name for display. This is NOT a sourced or certified club-brand HEX value.</t>
      </text>
    </comment>
    <comment authorId="0" ref="E210">
      <text>
        <t xml:space="preserve">Illustrative generic shade assigned to this colour name for display. This is NOT a sourced or certified club-brand HEX value.</t>
      </text>
    </comment>
    <comment authorId="0" ref="F210">
      <text>
        <t xml:space="preserve">Illustrative generic shade assigned to this colour name for display. This is NOT a sourced or certified club-brand HEX value.</t>
      </text>
    </comment>
    <comment authorId="0" ref="C78">
      <text>
        <t xml:space="preserve">Illustrative generic shade assigned to this colour name for display. This is NOT a sourced or certified club-brand HEX value.</t>
      </text>
    </comment>
    <comment authorId="0" ref="D78">
      <text>
        <t xml:space="preserve">Illustrative generic shade assigned to this colour name for display. This is NOT a sourced or certified club-brand HEX value.</t>
      </text>
    </comment>
    <comment authorId="0" ref="E78">
      <text>
        <t xml:space="preserve">Illustrative generic shade assigned to this colour name for display. This is NOT a sourced or certified club-brand HEX value.</t>
      </text>
    </comment>
    <comment authorId="0" ref="F78">
      <text>
        <t xml:space="preserve">Illustrative generic shade assigned to this colour name for display. This is NOT a sourced or certified club-brand HEX value.</t>
      </text>
    </comment>
    <comment authorId="0" ref="C739">
      <text>
        <t xml:space="preserve">Illustrative generic shade assigned to this colour name for display. This is NOT a sourced or certified club-brand HEX value.</t>
      </text>
    </comment>
    <comment authorId="0" ref="D739">
      <text>
        <t xml:space="preserve">Illustrative generic shade assigned to this colour name for display. This is NOT a sourced or certified club-brand HEX value.</t>
      </text>
    </comment>
    <comment authorId="0" ref="E739">
      <text>
        <t xml:space="preserve">Illustrative generic shade assigned to this colour name for display. This is NOT a sourced or certified club-brand HEX value.</t>
      </text>
    </comment>
    <comment authorId="0" ref="F739">
      <text>
        <t xml:space="preserve">Illustrative generic shade assigned to this colour name for display. This is NOT a sourced or certified club-brand HEX value.</t>
      </text>
    </comment>
    <comment authorId="0" ref="C607">
      <text>
        <t xml:space="preserve">Illustrative generic shade assigned to this colour name for display. This is NOT a sourced or certified club-brand HEX value.</t>
      </text>
    </comment>
    <comment authorId="0" ref="D607">
      <text>
        <t xml:space="preserve">Illustrative generic shade assigned to this colour name for display. This is NOT a sourced or certified club-brand HEX value.</t>
      </text>
    </comment>
    <comment authorId="0" ref="E607">
      <text>
        <t xml:space="preserve">Illustrative generic shade assigned to this colour name for display. This is NOT a sourced or certified club-brand HEX value.</t>
      </text>
    </comment>
    <comment authorId="0" ref="F607">
      <text>
        <t xml:space="preserve">Illustrative generic shade assigned to this colour name for display. This is NOT a sourced or certified club-brand HEX value.</t>
      </text>
    </comment>
    <comment authorId="0" ref="E475">
      <text>
        <t xml:space="preserve">Illustrative generic shade assigned to this colour name for display. This is NOT a sourced or certified club-brand HEX value.</t>
      </text>
    </comment>
    <comment authorId="0" ref="F475">
      <text>
        <t xml:space="preserve">Illustrative generic shade assigned to this colour name for display. This is NOT a sourced or certified club-brand HEX value.</t>
      </text>
    </comment>
    <comment authorId="0" ref="C343">
      <text>
        <t xml:space="preserve">Illustrative generic shade assigned to this colour name for display. This is NOT a sourced or certified club-brand HEX value.</t>
      </text>
    </comment>
    <comment authorId="0" ref="D343">
      <text>
        <t xml:space="preserve">Illustrative generic shade assigned to this colour name for display. This is NOT a sourced or certified club-brand HEX value.</t>
      </text>
    </comment>
    <comment authorId="0" ref="E343">
      <text>
        <t xml:space="preserve">Illustrative generic shade assigned to this colour name for display. This is NOT a sourced or certified club-brand HEX value.</t>
      </text>
    </comment>
    <comment authorId="0" ref="F343">
      <text>
        <t xml:space="preserve">Illustrative generic shade assigned to this colour name for display. This is NOT a sourced or certified club-brand HEX value.</t>
      </text>
    </comment>
    <comment authorId="0" ref="C211">
      <text>
        <t xml:space="preserve">Illustrative generic shade assigned to this colour name for display. This is NOT a sourced or certified club-brand HEX value.</t>
      </text>
    </comment>
    <comment authorId="0" ref="D211">
      <text>
        <t xml:space="preserve">Illustrative generic shade assigned to this colour name for display. This is NOT a sourced or certified club-brand HEX value.</t>
      </text>
    </comment>
    <comment authorId="0" ref="E211">
      <text>
        <t xml:space="preserve">Illustrative generic shade assigned to this colour name for display. This is NOT a sourced or certified club-brand HEX value.</t>
      </text>
    </comment>
    <comment authorId="0" ref="F211">
      <text>
        <t xml:space="preserve">Illustrative generic shade assigned to this colour name for display. This is NOT a sourced or certified club-brand HEX value.</t>
      </text>
    </comment>
    <comment authorId="0" ref="C79">
      <text>
        <t xml:space="preserve">Illustrative generic shade assigned to this colour name for display. This is NOT a sourced or certified club-brand HEX value.</t>
      </text>
    </comment>
    <comment authorId="0" ref="D79">
      <text>
        <t xml:space="preserve">Illustrative generic shade assigned to this colour name for display. This is NOT a sourced or certified club-brand HEX value.</t>
      </text>
    </comment>
    <comment authorId="0" ref="E79">
      <text>
        <t xml:space="preserve">Illustrative generic shade assigned to this colour name for display. This is NOT a sourced or certified club-brand HEX value.</t>
      </text>
    </comment>
    <comment authorId="0" ref="F79">
      <text>
        <t xml:space="preserve">Illustrative generic shade assigned to this colour name for display. This is NOT a sourced or certified club-brand HEX value.</t>
      </text>
    </comment>
    <comment authorId="0" ref="C740">
      <text>
        <t xml:space="preserve">Illustrative generic shade assigned to this colour name for display. This is NOT a sourced or certified club-brand HEX value.</t>
      </text>
    </comment>
    <comment authorId="0" ref="D740">
      <text>
        <t xml:space="preserve">Illustrative generic shade assigned to this colour name for display. This is NOT a sourced or certified club-brand HEX value.</t>
      </text>
    </comment>
    <comment authorId="0" ref="E740">
      <text>
        <t xml:space="preserve">Illustrative generic shade assigned to this colour name for display. This is NOT a sourced or certified club-brand HEX value.</t>
      </text>
    </comment>
    <comment authorId="0" ref="F740">
      <text>
        <t xml:space="preserve">Illustrative generic shade assigned to this colour name for display. This is NOT a sourced or certified club-brand HEX value.</t>
      </text>
    </comment>
    <comment authorId="0" ref="C608">
      <text>
        <t xml:space="preserve">Illustrative generic shade assigned to this colour name for display. This is NOT a sourced or certified club-brand HEX value.</t>
      </text>
    </comment>
    <comment authorId="0" ref="D608">
      <text>
        <t xml:space="preserve">Illustrative generic shade assigned to this colour name for display. This is NOT a sourced or certified club-brand HEX value.</t>
      </text>
    </comment>
    <comment authorId="0" ref="E608">
      <text>
        <t xml:space="preserve">Illustrative generic shade assigned to this colour name for display. This is NOT a sourced or certified club-brand HEX value.</t>
      </text>
    </comment>
    <comment authorId="0" ref="F608">
      <text>
        <t xml:space="preserve">Illustrative generic shade assigned to this colour name for display. This is NOT a sourced or certified club-brand HEX value.</t>
      </text>
    </comment>
    <comment authorId="0" ref="C476">
      <text>
        <t xml:space="preserve">Illustrative generic shade assigned to this colour name for display. This is NOT a sourced or certified club-brand HEX value.</t>
      </text>
    </comment>
    <comment authorId="0" ref="D476">
      <text>
        <t xml:space="preserve">Illustrative generic shade assigned to this colour name for display. This is NOT a sourced or certified club-brand HEX value.</t>
      </text>
    </comment>
    <comment authorId="0" ref="E476">
      <text>
        <t xml:space="preserve">Illustrative generic shade assigned to this colour name for display. This is NOT a sourced or certified club-brand HEX value.</t>
      </text>
    </comment>
    <comment authorId="0" ref="F476">
      <text>
        <t xml:space="preserve">Illustrative generic shade assigned to this colour name for display. This is NOT a sourced or certified club-brand HEX value.</t>
      </text>
    </comment>
    <comment authorId="0" ref="C344">
      <text>
        <t xml:space="preserve">Illustrative generic shade assigned to this colour name for display. This is NOT a sourced or certified club-brand HEX value.</t>
      </text>
    </comment>
    <comment authorId="0" ref="D344">
      <text>
        <t xml:space="preserve">Illustrative generic shade assigned to this colour name for display. This is NOT a sourced or certified club-brand HEX value.</t>
      </text>
    </comment>
    <comment authorId="0" ref="E344">
      <text>
        <t xml:space="preserve">Illustrative generic shade assigned to this colour name for display. This is NOT a sourced or certified club-brand HEX value.</t>
      </text>
    </comment>
    <comment authorId="0" ref="F344">
      <text>
        <t xml:space="preserve">Illustrative generic shade assigned to this colour name for display. This is NOT a sourced or certified club-brand HEX value.</t>
      </text>
    </comment>
    <comment authorId="0" ref="C212">
      <text>
        <t xml:space="preserve">Illustrative generic shade assigned to this colour name for display. This is NOT a sourced or certified club-brand HEX value.</t>
      </text>
    </comment>
    <comment authorId="0" ref="D212">
      <text>
        <t xml:space="preserve">Illustrative generic shade assigned to this colour name for display. This is NOT a sourced or certified club-brand HEX value.</t>
      </text>
    </comment>
    <comment authorId="0" ref="E212">
      <text>
        <t xml:space="preserve">Illustrative generic shade assigned to this colour name for display. This is NOT a sourced or certified club-brand HEX value.</t>
      </text>
    </comment>
    <comment authorId="0" ref="F212">
      <text>
        <t xml:space="preserve">Illustrative generic shade assigned to this colour name for display. This is NOT a sourced or certified club-brand HEX value.</t>
      </text>
    </comment>
    <comment authorId="0" ref="C80">
      <text>
        <t xml:space="preserve">Illustrative generic shade assigned to this colour name for display. This is NOT a sourced or certified club-brand HEX value.</t>
      </text>
    </comment>
    <comment authorId="0" ref="D80">
      <text>
        <t xml:space="preserve">Illustrative generic shade assigned to this colour name for display. This is NOT a sourced or certified club-brand HEX value.</t>
      </text>
    </comment>
    <comment authorId="0" ref="E80">
      <text>
        <t xml:space="preserve">Illustrative generic shade assigned to this colour name for display. This is NOT a sourced or certified club-brand HEX value.</t>
      </text>
    </comment>
    <comment authorId="0" ref="F80">
      <text>
        <t xml:space="preserve">Illustrative generic shade assigned to this colour name for display. This is NOT a sourced or certified club-brand HEX value.</t>
      </text>
    </comment>
    <comment authorId="0" ref="C741">
      <text>
        <t xml:space="preserve">Illustrative generic shade assigned to this colour name for display. This is NOT a sourced or certified club-brand HEX value.</t>
      </text>
    </comment>
    <comment authorId="0" ref="D741">
      <text>
        <t xml:space="preserve">Illustrative generic shade assigned to this colour name for display. This is NOT a sourced or certified club-brand HEX value.</t>
      </text>
    </comment>
    <comment authorId="0" ref="E741">
      <text>
        <t xml:space="preserve">Illustrative generic shade assigned to this colour name for display. This is NOT a sourced or certified club-brand HEX value.</t>
      </text>
    </comment>
    <comment authorId="0" ref="F741">
      <text>
        <t xml:space="preserve">Illustrative generic shade assigned to this colour name for display. This is NOT a sourced or certified club-brand HEX value.</t>
      </text>
    </comment>
    <comment authorId="0" ref="C609">
      <text>
        <t xml:space="preserve">Illustrative generic shade assigned to this colour name for display. This is NOT a sourced or certified club-brand HEX value.</t>
      </text>
    </comment>
    <comment authorId="0" ref="D609">
      <text>
        <t xml:space="preserve">Illustrative generic shade assigned to this colour name for display. This is NOT a sourced or certified club-brand HEX value.</t>
      </text>
    </comment>
    <comment authorId="0" ref="E609">
      <text>
        <t xml:space="preserve">Illustrative generic shade assigned to this colour name for display. This is NOT a sourced or certified club-brand HEX value.</t>
      </text>
    </comment>
    <comment authorId="0" ref="F609">
      <text>
        <t xml:space="preserve">Illustrative generic shade assigned to this colour name for display. This is NOT a sourced or certified club-brand HEX value.</t>
      </text>
    </comment>
    <comment authorId="0" ref="E477">
      <text>
        <t xml:space="preserve">Illustrative generic shade assigned to this colour name for display. This is NOT a sourced or certified club-brand HEX value.</t>
      </text>
    </comment>
    <comment authorId="0" ref="F477">
      <text>
        <t xml:space="preserve">Illustrative generic shade assigned to this colour name for display. This is NOT a sourced or certified club-brand HEX value.</t>
      </text>
    </comment>
    <comment authorId="0" ref="C345">
      <text>
        <t xml:space="preserve">Illustrative generic shade assigned to this colour name for display. This is NOT a sourced or certified club-brand HEX value.</t>
      </text>
    </comment>
    <comment authorId="0" ref="D345">
      <text>
        <t xml:space="preserve">Illustrative generic shade assigned to this colour name for display. This is NOT a sourced or certified club-brand HEX value.</t>
      </text>
    </comment>
    <comment authorId="0" ref="E345">
      <text>
        <t xml:space="preserve">Illustrative generic shade assigned to this colour name for display. This is NOT a sourced or certified club-brand HEX value.</t>
      </text>
    </comment>
    <comment authorId="0" ref="F345">
      <text>
        <t xml:space="preserve">Illustrative generic shade assigned to this colour name for display. This is NOT a sourced or certified club-brand HEX value.</t>
      </text>
    </comment>
    <comment authorId="0" ref="C213">
      <text>
        <t xml:space="preserve">Illustrative generic shade assigned to this colour name for display. This is NOT a sourced or certified club-brand HEX value.</t>
      </text>
    </comment>
    <comment authorId="0" ref="D213">
      <text>
        <t xml:space="preserve">Illustrative generic shade assigned to this colour name for display. This is NOT a sourced or certified club-brand HEX value.</t>
      </text>
    </comment>
    <comment authorId="0" ref="E213">
      <text>
        <t xml:space="preserve">Illustrative generic shade assigned to this colour name for display. This is NOT a sourced or certified club-brand HEX value.</t>
      </text>
    </comment>
    <comment authorId="0" ref="F213">
      <text>
        <t xml:space="preserve">Illustrative generic shade assigned to this colour name for display. This is NOT a sourced or certified club-brand HEX value.</t>
      </text>
    </comment>
    <comment authorId="0" ref="C81">
      <text>
        <t xml:space="preserve">Illustrative generic shade assigned to this colour name for display. This is NOT a sourced or certified club-brand HEX value.</t>
      </text>
    </comment>
    <comment authorId="0" ref="D81">
      <text>
        <t xml:space="preserve">Illustrative generic shade assigned to this colour name for display. This is NOT a sourced or certified club-brand HEX value.</t>
      </text>
    </comment>
    <comment authorId="0" ref="E81">
      <text>
        <t xml:space="preserve">Illustrative generic shade assigned to this colour name for display. This is NOT a sourced or certified club-brand HEX value.</t>
      </text>
    </comment>
    <comment authorId="0" ref="F81">
      <text>
        <t xml:space="preserve">Illustrative generic shade assigned to this colour name for display. This is NOT a sourced or certified club-brand HEX value.</t>
      </text>
    </comment>
    <comment authorId="0" ref="E610">
      <text>
        <t xml:space="preserve">Illustrative generic shade assigned to this colour name for display. This is NOT a sourced or certified club-brand HEX value.</t>
      </text>
    </comment>
    <comment authorId="0" ref="F610">
      <text>
        <t xml:space="preserve">Illustrative generic shade assigned to this colour name for display. This is NOT a sourced or certified club-brand HEX value.</t>
      </text>
    </comment>
    <comment authorId="0" ref="E478">
      <text>
        <t xml:space="preserve">Illustrative generic shade assigned to this colour name for display. This is NOT a sourced or certified club-brand HEX value.</t>
      </text>
    </comment>
    <comment authorId="0" ref="F478">
      <text>
        <t xml:space="preserve">Illustrative generic shade assigned to this colour name for display. This is NOT a sourced or certified club-brand HEX value.</t>
      </text>
    </comment>
    <comment authorId="0" ref="C346">
      <text>
        <t xml:space="preserve">Illustrative generic shade assigned to this colour name for display. This is NOT a sourced or certified club-brand HEX value.</t>
      </text>
    </comment>
    <comment authorId="0" ref="D346">
      <text>
        <t xml:space="preserve">Illustrative generic shade assigned to this colour name for display. This is NOT a sourced or certified club-brand HEX value.</t>
      </text>
    </comment>
    <comment authorId="0" ref="E346">
      <text>
        <t xml:space="preserve">Illustrative generic shade assigned to this colour name for display. This is NOT a sourced or certified club-brand HEX value.</t>
      </text>
    </comment>
    <comment authorId="0" ref="F346">
      <text>
        <t xml:space="preserve">Illustrative generic shade assigned to this colour name for display. This is NOT a sourced or certified club-brand HEX value.</t>
      </text>
    </comment>
    <comment authorId="0" ref="C214">
      <text>
        <t xml:space="preserve">Illustrative generic shade assigned to this colour name for display. This is NOT a sourced or certified club-brand HEX value.</t>
      </text>
    </comment>
    <comment authorId="0" ref="D214">
      <text>
        <t xml:space="preserve">Illustrative generic shade assigned to this colour name for display. This is NOT a sourced or certified club-brand HEX value.</t>
      </text>
    </comment>
    <comment authorId="0" ref="E214">
      <text>
        <t xml:space="preserve">Illustrative generic shade assigned to this colour name for display. This is NOT a sourced or certified club-brand HEX value.</t>
      </text>
    </comment>
    <comment authorId="0" ref="F214">
      <text>
        <t xml:space="preserve">Illustrative generic shade assigned to this colour name for display. This is NOT a sourced or certified club-brand HEX value.</t>
      </text>
    </comment>
    <comment authorId="0" ref="C82">
      <text>
        <t xml:space="preserve">Illustrative generic shade assigned to this colour name for display. This is NOT a sourced or certified club-brand HEX value.</t>
      </text>
    </comment>
    <comment authorId="0" ref="D82">
      <text>
        <t xml:space="preserve">Illustrative generic shade assigned to this colour name for display. This is NOT a sourced or certified club-brand HEX value.</t>
      </text>
    </comment>
    <comment authorId="0" ref="E82">
      <text>
        <t xml:space="preserve">Illustrative generic shade assigned to this colour name for display. This is NOT a sourced or certified club-brand HEX value.</t>
      </text>
    </comment>
    <comment authorId="0" ref="F82">
      <text>
        <t xml:space="preserve">Illustrative generic shade assigned to this colour name for display. This is NOT a sourced or certified club-brand HEX value.</t>
      </text>
    </comment>
    <comment authorId="0" ref="C611">
      <text>
        <t xml:space="preserve">Illustrative generic shade assigned to this colour name for display. This is NOT a sourced or certified club-brand HEX value.</t>
      </text>
    </comment>
    <comment authorId="0" ref="D611">
      <text>
        <t xml:space="preserve">Illustrative generic shade assigned to this colour name for display. This is NOT a sourced or certified club-brand HEX value.</t>
      </text>
    </comment>
    <comment authorId="0" ref="E611">
      <text>
        <t xml:space="preserve">Illustrative generic shade assigned to this colour name for display. This is NOT a sourced or certified club-brand HEX value.</t>
      </text>
    </comment>
    <comment authorId="0" ref="F611">
      <text>
        <t xml:space="preserve">Illustrative generic shade assigned to this colour name for display. This is NOT a sourced or certified club-brand HEX value.</t>
      </text>
    </comment>
    <comment authorId="0" ref="E479">
      <text>
        <t xml:space="preserve">Illustrative generic shade assigned to this colour name for display. This is NOT a sourced or certified club-brand HEX value.</t>
      </text>
    </comment>
    <comment authorId="0" ref="F479">
      <text>
        <t xml:space="preserve">Illustrative generic shade assigned to this colour name for display. This is NOT a sourced or certified club-brand HEX value.</t>
      </text>
    </comment>
    <comment authorId="0" ref="C347">
      <text>
        <t xml:space="preserve">Illustrative generic shade assigned to this colour name for display. This is NOT a sourced or certified club-brand HEX value.</t>
      </text>
    </comment>
    <comment authorId="0" ref="D347">
      <text>
        <t xml:space="preserve">Illustrative generic shade assigned to this colour name for display. This is NOT a sourced or certified club-brand HEX value.</t>
      </text>
    </comment>
    <comment authorId="0" ref="E347">
      <text>
        <t xml:space="preserve">Illustrative generic shade assigned to this colour name for display. This is NOT a sourced or certified club-brand HEX value.</t>
      </text>
    </comment>
    <comment authorId="0" ref="F347">
      <text>
        <t xml:space="preserve">Illustrative generic shade assigned to this colour name for display. This is NOT a sourced or certified club-brand HEX value.</t>
      </text>
    </comment>
    <comment authorId="0" ref="C215">
      <text>
        <t xml:space="preserve">Illustrative generic shade assigned to this colour name for display. This is NOT a sourced or certified club-brand HEX value.</t>
      </text>
    </comment>
    <comment authorId="0" ref="D215">
      <text>
        <t xml:space="preserve">Illustrative generic shade assigned to this colour name for display. This is NOT a sourced or certified club-brand HEX value.</t>
      </text>
    </comment>
    <comment authorId="0" ref="E215">
      <text>
        <t xml:space="preserve">Illustrative generic shade assigned to this colour name for display. This is NOT a sourced or certified club-brand HEX value.</t>
      </text>
    </comment>
    <comment authorId="0" ref="F215">
      <text>
        <t xml:space="preserve">Illustrative generic shade assigned to this colour name for display. This is NOT a sourced or certified club-brand HEX value.</t>
      </text>
    </comment>
    <comment authorId="0" ref="C83">
      <text>
        <t xml:space="preserve">Illustrative generic shade assigned to this colour name for display. This is NOT a sourced or certified club-brand HEX value.</t>
      </text>
    </comment>
    <comment authorId="0" ref="D83">
      <text>
        <t xml:space="preserve">Illustrative generic shade assigned to this colour name for display. This is NOT a sourced or certified club-brand HEX value.</t>
      </text>
    </comment>
    <comment authorId="0" ref="E83">
      <text>
        <t xml:space="preserve">Illustrative generic shade assigned to this colour name for display. This is NOT a sourced or certified club-brand HEX value.</t>
      </text>
    </comment>
    <comment authorId="0" ref="F83">
      <text>
        <t xml:space="preserve">Illustrative generic shade assigned to this colour name for display. This is NOT a sourced or certified club-brand HEX value.</t>
      </text>
    </comment>
    <comment authorId="0" ref="E612">
      <text>
        <t xml:space="preserve">Illustrative generic shade assigned to this colour name for display. This is NOT a sourced or certified club-brand HEX value.</t>
      </text>
    </comment>
    <comment authorId="0" ref="F612">
      <text>
        <t xml:space="preserve">Illustrative generic shade assigned to this colour name for display. This is NOT a sourced or certified club-brand HEX value.</t>
      </text>
    </comment>
    <comment authorId="0" ref="E480">
      <text>
        <t xml:space="preserve">Illustrative generic shade assigned to this colour name for display. This is NOT a sourced or certified club-brand HEX value.</t>
      </text>
    </comment>
    <comment authorId="0" ref="F480">
      <text>
        <t xml:space="preserve">Illustrative generic shade assigned to this colour name for display. This is NOT a sourced or certified club-brand HEX value.</t>
      </text>
    </comment>
    <comment authorId="0" ref="C348">
      <text>
        <t xml:space="preserve">Illustrative generic shade assigned to this colour name for display. This is NOT a sourced or certified club-brand HEX value.</t>
      </text>
    </comment>
    <comment authorId="0" ref="D348">
      <text>
        <t xml:space="preserve">Illustrative generic shade assigned to this colour name for display. This is NOT a sourced or certified club-brand HEX value.</t>
      </text>
    </comment>
    <comment authorId="0" ref="E348">
      <text>
        <t xml:space="preserve">Illustrative generic shade assigned to this colour name for display. This is NOT a sourced or certified club-brand HEX value.</t>
      </text>
    </comment>
    <comment authorId="0" ref="F348">
      <text>
        <t xml:space="preserve">Illustrative generic shade assigned to this colour name for display. This is NOT a sourced or certified club-brand HEX value.</t>
      </text>
    </comment>
    <comment authorId="0" ref="C216">
      <text>
        <t xml:space="preserve">Illustrative generic shade assigned to this colour name for display. This is NOT a sourced or certified club-brand HEX value.</t>
      </text>
    </comment>
    <comment authorId="0" ref="D216">
      <text>
        <t xml:space="preserve">Illustrative generic shade assigned to this colour name for display. This is NOT a sourced or certified club-brand HEX value.</t>
      </text>
    </comment>
    <comment authorId="0" ref="E216">
      <text>
        <t xml:space="preserve">Illustrative generic shade assigned to this colour name for display. This is NOT a sourced or certified club-brand HEX value.</t>
      </text>
    </comment>
    <comment authorId="0" ref="F216">
      <text>
        <t xml:space="preserve">Illustrative generic shade assigned to this colour name for display. This is NOT a sourced or certified club-brand HEX value.</t>
      </text>
    </comment>
    <comment authorId="0" ref="C84">
      <text>
        <t xml:space="preserve">Illustrative generic shade assigned to this colour name for display. This is NOT a sourced or certified club-brand HEX value.</t>
      </text>
    </comment>
    <comment authorId="0" ref="D84">
      <text>
        <t xml:space="preserve">Illustrative generic shade assigned to this colour name for display. This is NOT a sourced or certified club-brand HEX value.</t>
      </text>
    </comment>
    <comment authorId="0" ref="E84">
      <text>
        <t xml:space="preserve">Illustrative generic shade assigned to this colour name for display. This is NOT a sourced or certified club-brand HEX value.</t>
      </text>
    </comment>
    <comment authorId="0" ref="F84">
      <text>
        <t xml:space="preserve">Illustrative generic shade assigned to this colour name for display. This is NOT a sourced or certified club-brand HEX value.</t>
      </text>
    </comment>
    <comment authorId="0" ref="E613">
      <text>
        <t xml:space="preserve">Illustrative generic shade assigned to this colour name for display. This is NOT a sourced or certified club-brand HEX value.</t>
      </text>
    </comment>
    <comment authorId="0" ref="F613">
      <text>
        <t xml:space="preserve">Illustrative generic shade assigned to this colour name for display. This is NOT a sourced or certified club-brand HEX value.</t>
      </text>
    </comment>
    <comment authorId="0" ref="E481">
      <text>
        <t xml:space="preserve">Illustrative generic shade assigned to this colour name for display. This is NOT a sourced or certified club-brand HEX value.</t>
      </text>
    </comment>
    <comment authorId="0" ref="F481">
      <text>
        <t xml:space="preserve">Illustrative generic shade assigned to this colour name for display. This is NOT a sourced or certified club-brand HEX value.</t>
      </text>
    </comment>
    <comment authorId="0" ref="C349">
      <text>
        <t xml:space="preserve">Illustrative generic shade assigned to this colour name for display. This is NOT a sourced or certified club-brand HEX value.</t>
      </text>
    </comment>
    <comment authorId="0" ref="D349">
      <text>
        <t xml:space="preserve">Illustrative generic shade assigned to this colour name for display. This is NOT a sourced or certified club-brand HEX value.</t>
      </text>
    </comment>
    <comment authorId="0" ref="E349">
      <text>
        <t xml:space="preserve">Illustrative generic shade assigned to this colour name for display. This is NOT a sourced or certified club-brand HEX value.</t>
      </text>
    </comment>
    <comment authorId="0" ref="F349">
      <text>
        <t xml:space="preserve">Illustrative generic shade assigned to this colour name for display. This is NOT a sourced or certified club-brand HEX value.</t>
      </text>
    </comment>
    <comment authorId="0" ref="C217">
      <text>
        <t xml:space="preserve">Illustrative generic shade assigned to this colour name for display. This is NOT a sourced or certified club-brand HEX value.</t>
      </text>
    </comment>
    <comment authorId="0" ref="D217">
      <text>
        <t xml:space="preserve">Illustrative generic shade assigned to this colour name for display. This is NOT a sourced or certified club-brand HEX value.</t>
      </text>
    </comment>
    <comment authorId="0" ref="E217">
      <text>
        <t xml:space="preserve">Illustrative generic shade assigned to this colour name for display. This is NOT a sourced or certified club-brand HEX value.</t>
      </text>
    </comment>
    <comment authorId="0" ref="F217">
      <text>
        <t xml:space="preserve">Illustrative generic shade assigned to this colour name for display. This is NOT a sourced or certified club-brand HEX value.</t>
      </text>
    </comment>
    <comment authorId="0" ref="C85">
      <text>
        <t xml:space="preserve">Illustrative generic shade assigned to this colour name for display. This is NOT a sourced or certified club-brand HEX value.</t>
      </text>
    </comment>
    <comment authorId="0" ref="D85">
      <text>
        <t xml:space="preserve">Illustrative generic shade assigned to this colour name for display. This is NOT a sourced or certified club-brand HEX value.</t>
      </text>
    </comment>
    <comment authorId="0" ref="E85">
      <text>
        <t xml:space="preserve">Illustrative generic shade assigned to this colour name for display. This is NOT a sourced or certified club-brand HEX value.</t>
      </text>
    </comment>
    <comment authorId="0" ref="F85">
      <text>
        <t xml:space="preserve">Illustrative generic shade assigned to this colour name for display. This is NOT a sourced or certified club-brand HEX value.</t>
      </text>
    </comment>
    <comment authorId="0" ref="C614">
      <text>
        <t xml:space="preserve">Illustrative generic shade assigned to this colour name for display. This is NOT a sourced or certified club-brand HEX value.</t>
      </text>
    </comment>
    <comment authorId="0" ref="D614">
      <text>
        <t xml:space="preserve">Illustrative generic shade assigned to this colour name for display. This is NOT a sourced or certified club-brand HEX value.</t>
      </text>
    </comment>
    <comment authorId="0" ref="E614">
      <text>
        <t xml:space="preserve">Illustrative generic shade assigned to this colour name for display. This is NOT a sourced or certified club-brand HEX value.</t>
      </text>
    </comment>
    <comment authorId="0" ref="F614">
      <text>
        <t xml:space="preserve">Illustrative generic shade assigned to this colour name for display. This is NOT a sourced or certified club-brand HEX value.</t>
      </text>
    </comment>
    <comment authorId="0" ref="C482">
      <text>
        <t xml:space="preserve">Illustrative generic shade assigned to this colour name for display. This is NOT a sourced or certified club-brand HEX value.</t>
      </text>
    </comment>
    <comment authorId="0" ref="D482">
      <text>
        <t xml:space="preserve">Illustrative generic shade assigned to this colour name for display. This is NOT a sourced or certified club-brand HEX value.</t>
      </text>
    </comment>
    <comment authorId="0" ref="E482">
      <text>
        <t xml:space="preserve">Illustrative generic shade assigned to this colour name for display. This is NOT a sourced or certified club-brand HEX value.</t>
      </text>
    </comment>
    <comment authorId="0" ref="F482">
      <text>
        <t xml:space="preserve">Illustrative generic shade assigned to this colour name for display. This is NOT a sourced or certified club-brand HEX value.</t>
      </text>
    </comment>
    <comment authorId="0" ref="C350">
      <text>
        <t xml:space="preserve">Illustrative generic shade assigned to this colour name for display. This is NOT a sourced or certified club-brand HEX value.</t>
      </text>
    </comment>
    <comment authorId="0" ref="D350">
      <text>
        <t xml:space="preserve">Illustrative generic shade assigned to this colour name for display. This is NOT a sourced or certified club-brand HEX value.</t>
      </text>
    </comment>
    <comment authorId="0" ref="E350">
      <text>
        <t xml:space="preserve">Illustrative generic shade assigned to this colour name for display. This is NOT a sourced or certified club-brand HEX value.</t>
      </text>
    </comment>
    <comment authorId="0" ref="F350">
      <text>
        <t xml:space="preserve">Illustrative generic shade assigned to this colour name for display. This is NOT a sourced or certified club-brand HEX value.</t>
      </text>
    </comment>
    <comment authorId="0" ref="C218">
      <text>
        <t xml:space="preserve">Illustrative generic shade assigned to this colour name for display. This is NOT a sourced or certified club-brand HEX value.</t>
      </text>
    </comment>
    <comment authorId="0" ref="D218">
      <text>
        <t xml:space="preserve">Illustrative generic shade assigned to this colour name for display. This is NOT a sourced or certified club-brand HEX value.</t>
      </text>
    </comment>
    <comment authorId="0" ref="E218">
      <text>
        <t xml:space="preserve">Illustrative generic shade assigned to this colour name for display. This is NOT a sourced or certified club-brand HEX value.</t>
      </text>
    </comment>
    <comment authorId="0" ref="F218">
      <text>
        <t xml:space="preserve">Illustrative generic shade assigned to this colour name for display. This is NOT a sourced or certified club-brand HEX value.</t>
      </text>
    </comment>
    <comment authorId="0" ref="C86">
      <text>
        <t xml:space="preserve">Illustrative generic shade assigned to this colour name for display. This is NOT a sourced or certified club-brand HEX value.</t>
      </text>
    </comment>
    <comment authorId="0" ref="D86">
      <text>
        <t xml:space="preserve">Illustrative generic shade assigned to this colour name for display. This is NOT a sourced or certified club-brand HEX value.</t>
      </text>
    </comment>
    <comment authorId="0" ref="E86">
      <text>
        <t xml:space="preserve">Illustrative generic shade assigned to this colour name for display. This is NOT a sourced or certified club-brand HEX value.</t>
      </text>
    </comment>
    <comment authorId="0" ref="F86">
      <text>
        <t xml:space="preserve">Illustrative generic shade assigned to this colour name for display. This is NOT a sourced or certified club-brand HEX value.</t>
      </text>
    </comment>
    <comment authorId="0" ref="C615">
      <text>
        <t xml:space="preserve">Illustrative generic shade assigned to this colour name for display. This is NOT a sourced or certified club-brand HEX value.</t>
      </text>
    </comment>
    <comment authorId="0" ref="D615">
      <text>
        <t xml:space="preserve">Illustrative generic shade assigned to this colour name for display. This is NOT a sourced or certified club-brand HEX value.</t>
      </text>
    </comment>
    <comment authorId="0" ref="E615">
      <text>
        <t xml:space="preserve">Illustrative generic shade assigned to this colour name for display. This is NOT a sourced or certified club-brand HEX value.</t>
      </text>
    </comment>
    <comment authorId="0" ref="F615">
      <text>
        <t xml:space="preserve">Illustrative generic shade assigned to this colour name for display. This is NOT a sourced or certified club-brand HEX value.</t>
      </text>
    </comment>
    <comment authorId="0" ref="E483">
      <text>
        <t xml:space="preserve">Illustrative generic shade assigned to this colour name for display. This is NOT a sourced or certified club-brand HEX value.</t>
      </text>
    </comment>
    <comment authorId="0" ref="F483">
      <text>
        <t xml:space="preserve">Illustrative generic shade assigned to this colour name for display. This is NOT a sourced or certified club-brand HEX value.</t>
      </text>
    </comment>
    <comment authorId="0" ref="C351">
      <text>
        <t xml:space="preserve">Illustrative generic shade assigned to this colour name for display. This is NOT a sourced or certified club-brand HEX value.</t>
      </text>
    </comment>
    <comment authorId="0" ref="D351">
      <text>
        <t xml:space="preserve">Illustrative generic shade assigned to this colour name for display. This is NOT a sourced or certified club-brand HEX value.</t>
      </text>
    </comment>
    <comment authorId="0" ref="E351">
      <text>
        <t xml:space="preserve">Illustrative generic shade assigned to this colour name for display. This is NOT a sourced or certified club-brand HEX value.</t>
      </text>
    </comment>
    <comment authorId="0" ref="F351">
      <text>
        <t xml:space="preserve">Illustrative generic shade assigned to this colour name for display. This is NOT a sourced or certified club-brand HEX value.</t>
      </text>
    </comment>
    <comment authorId="0" ref="C219">
      <text>
        <t xml:space="preserve">Illustrative generic shade assigned to this colour name for display. This is NOT a sourced or certified club-brand HEX value.</t>
      </text>
    </comment>
    <comment authorId="0" ref="D219">
      <text>
        <t xml:space="preserve">Illustrative generic shade assigned to this colour name for display. This is NOT a sourced or certified club-brand HEX value.</t>
      </text>
    </comment>
    <comment authorId="0" ref="E219">
      <text>
        <t xml:space="preserve">Illustrative generic shade assigned to this colour name for display. This is NOT a sourced or certified club-brand HEX value.</t>
      </text>
    </comment>
    <comment authorId="0" ref="F219">
      <text>
        <t xml:space="preserve">Illustrative generic shade assigned to this colour name for display. This is NOT a sourced or certified club-brand HEX value.</t>
      </text>
    </comment>
    <comment authorId="0" ref="C87">
      <text>
        <t xml:space="preserve">Illustrative generic shade assigned to this colour name for display. This is NOT a sourced or certified club-brand HEX value.</t>
      </text>
    </comment>
    <comment authorId="0" ref="D87">
      <text>
        <t xml:space="preserve">Illustrative generic shade assigned to this colour name for display. This is NOT a sourced or certified club-brand HEX value.</t>
      </text>
    </comment>
    <comment authorId="0" ref="E87">
      <text>
        <t xml:space="preserve">Illustrative generic shade assigned to this colour name for display. This is NOT a sourced or certified club-brand HEX value.</t>
      </text>
    </comment>
    <comment authorId="0" ref="F87">
      <text>
        <t xml:space="preserve">Illustrative generic shade assigned to this colour name for display. This is NOT a sourced or certified club-brand HEX value.</t>
      </text>
    </comment>
    <comment authorId="0" ref="C616">
      <text>
        <t xml:space="preserve">Illustrative generic shade assigned to this colour name for display. This is NOT a sourced or certified club-brand HEX value.</t>
      </text>
    </comment>
    <comment authorId="0" ref="D616">
      <text>
        <t xml:space="preserve">Illustrative generic shade assigned to this colour name for display. This is NOT a sourced or certified club-brand HEX value.</t>
      </text>
    </comment>
    <comment authorId="0" ref="E616">
      <text>
        <t xml:space="preserve">Illustrative generic shade assigned to this colour name for display. This is NOT a sourced or certified club-brand HEX value.</t>
      </text>
    </comment>
    <comment authorId="0" ref="F616">
      <text>
        <t xml:space="preserve">Illustrative generic shade assigned to this colour name for display. This is NOT a sourced or certified club-brand HEX value.</t>
      </text>
    </comment>
    <comment authorId="0" ref="E484">
      <text>
        <t xml:space="preserve">Illustrative generic shade assigned to this colour name for display. This is NOT a sourced or certified club-brand HEX value.</t>
      </text>
    </comment>
    <comment authorId="0" ref="F484">
      <text>
        <t xml:space="preserve">Illustrative generic shade assigned to this colour name for display. This is NOT a sourced or certified club-brand HEX value.</t>
      </text>
    </comment>
    <comment authorId="0" ref="C352">
      <text>
        <t xml:space="preserve">Illustrative generic shade assigned to this colour name for display. This is NOT a sourced or certified club-brand HEX value.</t>
      </text>
    </comment>
    <comment authorId="0" ref="D352">
      <text>
        <t xml:space="preserve">Illustrative generic shade assigned to this colour name for display. This is NOT a sourced or certified club-brand HEX value.</t>
      </text>
    </comment>
    <comment authorId="0" ref="E352">
      <text>
        <t xml:space="preserve">Illustrative generic shade assigned to this colour name for display. This is NOT a sourced or certified club-brand HEX value.</t>
      </text>
    </comment>
    <comment authorId="0" ref="F352">
      <text>
        <t xml:space="preserve">Illustrative generic shade assigned to this colour name for display. This is NOT a sourced or certified club-brand HEX value.</t>
      </text>
    </comment>
    <comment authorId="0" ref="C220">
      <text>
        <t xml:space="preserve">Illustrative generic shade assigned to this colour name for display. This is NOT a sourced or certified club-brand HEX value.</t>
      </text>
    </comment>
    <comment authorId="0" ref="D220">
      <text>
        <t xml:space="preserve">Illustrative generic shade assigned to this colour name for display. This is NOT a sourced or certified club-brand HEX value.</t>
      </text>
    </comment>
    <comment authorId="0" ref="E220">
      <text>
        <t xml:space="preserve">Illustrative generic shade assigned to this colour name for display. This is NOT a sourced or certified club-brand HEX value.</t>
      </text>
    </comment>
    <comment authorId="0" ref="F220">
      <text>
        <t xml:space="preserve">Illustrative generic shade assigned to this colour name for display. This is NOT a sourced or certified club-brand HEX value.</t>
      </text>
    </comment>
    <comment authorId="0" ref="C88">
      <text>
        <t xml:space="preserve">Illustrative generic shade assigned to this colour name for display. This is NOT a sourced or certified club-brand HEX value.</t>
      </text>
    </comment>
    <comment authorId="0" ref="D88">
      <text>
        <t xml:space="preserve">Illustrative generic shade assigned to this colour name for display. This is NOT a sourced or certified club-brand HEX value.</t>
      </text>
    </comment>
    <comment authorId="0" ref="E88">
      <text>
        <t xml:space="preserve">Illustrative generic shade assigned to this colour name for display. This is NOT a sourced or certified club-brand HEX value.</t>
      </text>
    </comment>
    <comment authorId="0" ref="F88">
      <text>
        <t xml:space="preserve">Illustrative generic shade assigned to this colour name for display. This is NOT a sourced or certified club-brand HEX value.</t>
      </text>
    </comment>
    <comment authorId="0" ref="C617">
      <text>
        <t xml:space="preserve">Illustrative generic shade assigned to this colour name for display. This is NOT a sourced or certified club-brand HEX value.</t>
      </text>
    </comment>
    <comment authorId="0" ref="D617">
      <text>
        <t xml:space="preserve">Illustrative generic shade assigned to this colour name for display. This is NOT a sourced or certified club-brand HEX value.</t>
      </text>
    </comment>
    <comment authorId="0" ref="E617">
      <text>
        <t xml:space="preserve">Illustrative generic shade assigned to this colour name for display. This is NOT a sourced or certified club-brand HEX value.</t>
      </text>
    </comment>
    <comment authorId="0" ref="F617">
      <text>
        <t xml:space="preserve">Illustrative generic shade assigned to this colour name for display. This is NOT a sourced or certified club-brand HEX value.</t>
      </text>
    </comment>
    <comment authorId="0" ref="C485">
      <text>
        <t xml:space="preserve">Illustrative generic shade assigned to this colour name for display. This is NOT a sourced or certified club-brand HEX value.</t>
      </text>
    </comment>
    <comment authorId="0" ref="D485">
      <text>
        <t xml:space="preserve">Illustrative generic shade assigned to this colour name for display. This is NOT a sourced or certified club-brand HEX value.</t>
      </text>
    </comment>
    <comment authorId="0" ref="E485">
      <text>
        <t xml:space="preserve">Illustrative generic shade assigned to this colour name for display. This is NOT a sourced or certified club-brand HEX value.</t>
      </text>
    </comment>
    <comment authorId="0" ref="F485">
      <text>
        <t xml:space="preserve">Illustrative generic shade assigned to this colour name for display. This is NOT a sourced or certified club-brand HEX value.</t>
      </text>
    </comment>
    <comment authorId="0" ref="C353">
      <text>
        <t xml:space="preserve">Illustrative generic shade assigned to this colour name for display. This is NOT a sourced or certified club-brand HEX value.</t>
      </text>
    </comment>
    <comment authorId="0" ref="D353">
      <text>
        <t xml:space="preserve">Illustrative generic shade assigned to this colour name for display. This is NOT a sourced or certified club-brand HEX value.</t>
      </text>
    </comment>
    <comment authorId="0" ref="E353">
      <text>
        <t xml:space="preserve">Illustrative generic shade assigned to this colour name for display. This is NOT a sourced or certified club-brand HEX value.</t>
      </text>
    </comment>
    <comment authorId="0" ref="F353">
      <text>
        <t xml:space="preserve">Illustrative generic shade assigned to this colour name for display. This is NOT a sourced or certified club-brand HEX value.</t>
      </text>
    </comment>
    <comment authorId="0" ref="C221">
      <text>
        <t xml:space="preserve">Illustrative generic shade assigned to this colour name for display. This is NOT a sourced or certified club-brand HEX value.</t>
      </text>
    </comment>
    <comment authorId="0" ref="D221">
      <text>
        <t xml:space="preserve">Illustrative generic shade assigned to this colour name for display. This is NOT a sourced or certified club-brand HEX value.</t>
      </text>
    </comment>
    <comment authorId="0" ref="E221">
      <text>
        <t xml:space="preserve">Illustrative generic shade assigned to this colour name for display. This is NOT a sourced or certified club-brand HEX value.</t>
      </text>
    </comment>
    <comment authorId="0" ref="F221">
      <text>
        <t xml:space="preserve">Illustrative generic shade assigned to this colour name for display. This is NOT a sourced or certified club-brand HEX value.</t>
      </text>
    </comment>
    <comment authorId="0" ref="C89">
      <text>
        <t xml:space="preserve">Illustrative generic shade assigned to this colour name for display. This is NOT a sourced or certified club-brand HEX value.</t>
      </text>
    </comment>
    <comment authorId="0" ref="D89">
      <text>
        <t xml:space="preserve">Illustrative generic shade assigned to this colour name for display. This is NOT a sourced or certified club-brand HEX value.</t>
      </text>
    </comment>
    <comment authorId="0" ref="E89">
      <text>
        <t xml:space="preserve">Illustrative generic shade assigned to this colour name for display. This is NOT a sourced or certified club-brand HEX value.</t>
      </text>
    </comment>
    <comment authorId="0" ref="F89">
      <text>
        <t xml:space="preserve">Illustrative generic shade assigned to this colour name for display. This is NOT a sourced or certified club-brand HEX value.</t>
      </text>
    </comment>
    <comment authorId="0" ref="C618">
      <text>
        <t xml:space="preserve">Illustrative generic shade assigned to this colour name for display. This is NOT a sourced or certified club-brand HEX value.</t>
      </text>
    </comment>
    <comment authorId="0" ref="D618">
      <text>
        <t xml:space="preserve">Illustrative generic shade assigned to this colour name for display. This is NOT a sourced or certified club-brand HEX value.</t>
      </text>
    </comment>
    <comment authorId="0" ref="E618">
      <text>
        <t xml:space="preserve">Illustrative generic shade assigned to this colour name for display. This is NOT a sourced or certified club-brand HEX value.</t>
      </text>
    </comment>
    <comment authorId="0" ref="F618">
      <text>
        <t xml:space="preserve">Illustrative generic shade assigned to this colour name for display. This is NOT a sourced or certified club-brand HEX value.</t>
      </text>
    </comment>
    <comment authorId="0" ref="C486">
      <text>
        <t xml:space="preserve">Illustrative generic shade assigned to this colour name for display. This is NOT a sourced or certified club-brand HEX value.</t>
      </text>
    </comment>
    <comment authorId="0" ref="D486">
      <text>
        <t xml:space="preserve">Illustrative generic shade assigned to this colour name for display. This is NOT a sourced or certified club-brand HEX value.</t>
      </text>
    </comment>
    <comment authorId="0" ref="E486">
      <text>
        <t xml:space="preserve">Illustrative generic shade assigned to this colour name for display. This is NOT a sourced or certified club-brand HEX value.</t>
      </text>
    </comment>
    <comment authorId="0" ref="F486">
      <text>
        <t xml:space="preserve">Illustrative generic shade assigned to this colour name for display. This is NOT a sourced or certified club-brand HEX value.</t>
      </text>
    </comment>
    <comment authorId="0" ref="C354">
      <text>
        <t xml:space="preserve">Illustrative generic shade assigned to this colour name for display. This is NOT a sourced or certified club-brand HEX value.</t>
      </text>
    </comment>
    <comment authorId="0" ref="D354">
      <text>
        <t xml:space="preserve">Illustrative generic shade assigned to this colour name for display. This is NOT a sourced or certified club-brand HEX value.</t>
      </text>
    </comment>
    <comment authorId="0" ref="E354">
      <text>
        <t xml:space="preserve">Illustrative generic shade assigned to this colour name for display. This is NOT a sourced or certified club-brand HEX value.</t>
      </text>
    </comment>
    <comment authorId="0" ref="F354">
      <text>
        <t xml:space="preserve">Illustrative generic shade assigned to this colour name for display. This is NOT a sourced or certified club-brand HEX value.</t>
      </text>
    </comment>
    <comment authorId="0" ref="C222">
      <text>
        <t xml:space="preserve">Illustrative generic shade assigned to this colour name for display. This is NOT a sourced or certified club-brand HEX value.</t>
      </text>
    </comment>
    <comment authorId="0" ref="D222">
      <text>
        <t xml:space="preserve">Illustrative generic shade assigned to this colour name for display. This is NOT a sourced or certified club-brand HEX value.</t>
      </text>
    </comment>
    <comment authorId="0" ref="E222">
      <text>
        <t xml:space="preserve">Illustrative generic shade assigned to this colour name for display. This is NOT a sourced or certified club-brand HEX value.</t>
      </text>
    </comment>
    <comment authorId="0" ref="F222">
      <text>
        <t xml:space="preserve">Illustrative generic shade assigned to this colour name for display. This is NOT a sourced or certified club-brand HEX value.</t>
      </text>
    </comment>
    <comment authorId="0" ref="C90">
      <text>
        <t xml:space="preserve">Illustrative generic shade assigned to this colour name for display. This is NOT a sourced or certified club-brand HEX value.</t>
      </text>
    </comment>
    <comment authorId="0" ref="D90">
      <text>
        <t xml:space="preserve">Illustrative generic shade assigned to this colour name for display. This is NOT a sourced or certified club-brand HEX value.</t>
      </text>
    </comment>
    <comment authorId="0" ref="E90">
      <text>
        <t xml:space="preserve">Illustrative generic shade assigned to this colour name for display. This is NOT a sourced or certified club-brand HEX value.</t>
      </text>
    </comment>
    <comment authorId="0" ref="F90">
      <text>
        <t xml:space="preserve">Illustrative generic shade assigned to this colour name for display. This is NOT a sourced or certified club-brand HEX value.</t>
      </text>
    </comment>
    <comment authorId="0" ref="E619">
      <text>
        <t xml:space="preserve">Illustrative generic shade assigned to this colour name for display. This is NOT a sourced or certified club-brand HEX value.</t>
      </text>
    </comment>
    <comment authorId="0" ref="F619">
      <text>
        <t xml:space="preserve">Illustrative generic shade assigned to this colour name for display. This is NOT a sourced or certified club-brand HEX value.</t>
      </text>
    </comment>
    <comment authorId="0" ref="E487">
      <text>
        <t xml:space="preserve">Illustrative generic shade assigned to this colour name for display. This is NOT a sourced or certified club-brand HEX value.</t>
      </text>
    </comment>
    <comment authorId="0" ref="F487">
      <text>
        <t xml:space="preserve">Illustrative generic shade assigned to this colour name for display. This is NOT a sourced or certified club-brand HEX value.</t>
      </text>
    </comment>
    <comment authorId="0" ref="C355">
      <text>
        <t xml:space="preserve">Illustrative generic shade assigned to this colour name for display. This is NOT a sourced or certified club-brand HEX value.</t>
      </text>
    </comment>
    <comment authorId="0" ref="D355">
      <text>
        <t xml:space="preserve">Illustrative generic shade assigned to this colour name for display. This is NOT a sourced or certified club-brand HEX value.</t>
      </text>
    </comment>
    <comment authorId="0" ref="E355">
      <text>
        <t xml:space="preserve">Illustrative generic shade assigned to this colour name for display. This is NOT a sourced or certified club-brand HEX value.</t>
      </text>
    </comment>
    <comment authorId="0" ref="F355">
      <text>
        <t xml:space="preserve">Illustrative generic shade assigned to this colour name for display. This is NOT a sourced or certified club-brand HEX value.</t>
      </text>
    </comment>
    <comment authorId="0" ref="C223">
      <text>
        <t xml:space="preserve">Illustrative generic shade assigned to this colour name for display. This is NOT a sourced or certified club-brand HEX value.</t>
      </text>
    </comment>
    <comment authorId="0" ref="D223">
      <text>
        <t xml:space="preserve">Illustrative generic shade assigned to this colour name for display. This is NOT a sourced or certified club-brand HEX value.</t>
      </text>
    </comment>
    <comment authorId="0" ref="E223">
      <text>
        <t xml:space="preserve">Illustrative generic shade assigned to this colour name for display. This is NOT a sourced or certified club-brand HEX value.</t>
      </text>
    </comment>
    <comment authorId="0" ref="F223">
      <text>
        <t xml:space="preserve">Illustrative generic shade assigned to this colour name for display. This is NOT a sourced or certified club-brand HEX value.</t>
      </text>
    </comment>
    <comment authorId="0" ref="C91">
      <text>
        <t xml:space="preserve">Illustrative generic shade assigned to this colour name for display. This is NOT a sourced or certified club-brand HEX value.</t>
      </text>
    </comment>
    <comment authorId="0" ref="D91">
      <text>
        <t xml:space="preserve">Illustrative generic shade assigned to this colour name for display. This is NOT a sourced or certified club-brand HEX value.</t>
      </text>
    </comment>
    <comment authorId="0" ref="E91">
      <text>
        <t xml:space="preserve">Illustrative generic shade assigned to this colour name for display. This is NOT a sourced or certified club-brand HEX value.</t>
      </text>
    </comment>
    <comment authorId="0" ref="F91">
      <text>
        <t xml:space="preserve">Illustrative generic shade assigned to this colour name for display. This is NOT a sourced or certified club-brand HEX value.</t>
      </text>
    </comment>
    <comment authorId="0" ref="E620">
      <text>
        <t xml:space="preserve">Illustrative generic shade assigned to this colour name for display. This is NOT a sourced or certified club-brand HEX value.</t>
      </text>
    </comment>
    <comment authorId="0" ref="F620">
      <text>
        <t xml:space="preserve">Illustrative generic shade assigned to this colour name for display. This is NOT a sourced or certified club-brand HEX value.</t>
      </text>
    </comment>
    <comment authorId="0" ref="E488">
      <text>
        <t xml:space="preserve">Illustrative generic shade assigned to this colour name for display. This is NOT a sourced or certified club-brand HEX value.</t>
      </text>
    </comment>
    <comment authorId="0" ref="F488">
      <text>
        <t xml:space="preserve">Illustrative generic shade assigned to this colour name for display. This is NOT a sourced or certified club-brand HEX value.</t>
      </text>
    </comment>
    <comment authorId="0" ref="C356">
      <text>
        <t xml:space="preserve">Illustrative generic shade assigned to this colour name for display. This is NOT a sourced or certified club-brand HEX value.</t>
      </text>
    </comment>
    <comment authorId="0" ref="D356">
      <text>
        <t xml:space="preserve">Illustrative generic shade assigned to this colour name for display. This is NOT a sourced or certified club-brand HEX value.</t>
      </text>
    </comment>
    <comment authorId="0" ref="E356">
      <text>
        <t xml:space="preserve">Illustrative generic shade assigned to this colour name for display. This is NOT a sourced or certified club-brand HEX value.</t>
      </text>
    </comment>
    <comment authorId="0" ref="F356">
      <text>
        <t xml:space="preserve">Illustrative generic shade assigned to this colour name for display. This is NOT a sourced or certified club-brand HEX value.</t>
      </text>
    </comment>
    <comment authorId="0" ref="C224">
      <text>
        <t xml:space="preserve">Illustrative generic shade assigned to this colour name for display. This is NOT a sourced or certified club-brand HEX value.</t>
      </text>
    </comment>
    <comment authorId="0" ref="D224">
      <text>
        <t xml:space="preserve">Illustrative generic shade assigned to this colour name for display. This is NOT a sourced or certified club-brand HEX value.</t>
      </text>
    </comment>
    <comment authorId="0" ref="E224">
      <text>
        <t xml:space="preserve">Illustrative generic shade assigned to this colour name for display. This is NOT a sourced or certified club-brand HEX value.</t>
      </text>
    </comment>
    <comment authorId="0" ref="F224">
      <text>
        <t xml:space="preserve">Illustrative generic shade assigned to this colour name for display. This is NOT a sourced or certified club-brand HEX value.</t>
      </text>
    </comment>
    <comment authorId="0" ref="C92">
      <text>
        <t xml:space="preserve">Illustrative generic shade assigned to this colour name for display. This is NOT a sourced or certified club-brand HEX value.</t>
      </text>
    </comment>
    <comment authorId="0" ref="D92">
      <text>
        <t xml:space="preserve">Illustrative generic shade assigned to this colour name for display. This is NOT a sourced or certified club-brand HEX value.</t>
      </text>
    </comment>
    <comment authorId="0" ref="E92">
      <text>
        <t xml:space="preserve">Illustrative generic shade assigned to this colour name for display. This is NOT a sourced or certified club-brand HEX value.</t>
      </text>
    </comment>
    <comment authorId="0" ref="F92">
      <text>
        <t xml:space="preserve">Illustrative generic shade assigned to this colour name for display. This is NOT a sourced or certified club-brand HEX value.</t>
      </text>
    </comment>
    <comment authorId="0" ref="C621">
      <text>
        <t xml:space="preserve">Illustrative generic shade assigned to this colour name for display. This is NOT a sourced or certified club-brand HEX value.</t>
      </text>
    </comment>
    <comment authorId="0" ref="D621">
      <text>
        <t xml:space="preserve">Illustrative generic shade assigned to this colour name for display. This is NOT a sourced or certified club-brand HEX value.</t>
      </text>
    </comment>
    <comment authorId="0" ref="E621">
      <text>
        <t xml:space="preserve">Illustrative generic shade assigned to this colour name for display. This is NOT a sourced or certified club-brand HEX value.</t>
      </text>
    </comment>
    <comment authorId="0" ref="F621">
      <text>
        <t xml:space="preserve">Illustrative generic shade assigned to this colour name for display. This is NOT a sourced or certified club-brand HEX value.</t>
      </text>
    </comment>
    <comment authorId="0" ref="C489">
      <text>
        <t xml:space="preserve">Illustrative generic shade assigned to this colour name for display. This is NOT a sourced or certified club-brand HEX value.</t>
      </text>
    </comment>
    <comment authorId="0" ref="D489">
      <text>
        <t xml:space="preserve">Illustrative generic shade assigned to this colour name for display. This is NOT a sourced or certified club-brand HEX value.</t>
      </text>
    </comment>
    <comment authorId="0" ref="E489">
      <text>
        <t xml:space="preserve">Illustrative generic shade assigned to this colour name for display. This is NOT a sourced or certified club-brand HEX value.</t>
      </text>
    </comment>
    <comment authorId="0" ref="F489">
      <text>
        <t xml:space="preserve">Illustrative generic shade assigned to this colour name for display. This is NOT a sourced or certified club-brand HEX value.</t>
      </text>
    </comment>
    <comment authorId="0" ref="C357">
      <text>
        <t xml:space="preserve">Illustrative generic shade assigned to this colour name for display. This is NOT a sourced or certified club-brand HEX value.</t>
      </text>
    </comment>
    <comment authorId="0" ref="D357">
      <text>
        <t xml:space="preserve">Illustrative generic shade assigned to this colour name for display. This is NOT a sourced or certified club-brand HEX value.</t>
      </text>
    </comment>
    <comment authorId="0" ref="E357">
      <text>
        <t xml:space="preserve">Illustrative generic shade assigned to this colour name for display. This is NOT a sourced or certified club-brand HEX value.</t>
      </text>
    </comment>
    <comment authorId="0" ref="F357">
      <text>
        <t xml:space="preserve">Illustrative generic shade assigned to this colour name for display. This is NOT a sourced or certified club-brand HEX value.</t>
      </text>
    </comment>
    <comment authorId="0" ref="C225">
      <text>
        <t xml:space="preserve">Illustrative generic shade assigned to this colour name for display. This is NOT a sourced or certified club-brand HEX value.</t>
      </text>
    </comment>
    <comment authorId="0" ref="D225">
      <text>
        <t xml:space="preserve">Illustrative generic shade assigned to this colour name for display. This is NOT a sourced or certified club-brand HEX value.</t>
      </text>
    </comment>
    <comment authorId="0" ref="E225">
      <text>
        <t xml:space="preserve">Illustrative generic shade assigned to this colour name for display. This is NOT a sourced or certified club-brand HEX value.</t>
      </text>
    </comment>
    <comment authorId="0" ref="F225">
      <text>
        <t xml:space="preserve">Illustrative generic shade assigned to this colour name for display. This is NOT a sourced or certified club-brand HEX value.</t>
      </text>
    </comment>
    <comment authorId="0" ref="C93">
      <text>
        <t xml:space="preserve">Illustrative generic shade assigned to this colour name for display. This is NOT a sourced or certified club-brand HEX value.</t>
      </text>
    </comment>
    <comment authorId="0" ref="D93">
      <text>
        <t xml:space="preserve">Illustrative generic shade assigned to this colour name for display. This is NOT a sourced or certified club-brand HEX value.</t>
      </text>
    </comment>
    <comment authorId="0" ref="E93">
      <text>
        <t xml:space="preserve">Illustrative generic shade assigned to this colour name for display. This is NOT a sourced or certified club-brand HEX value.</t>
      </text>
    </comment>
    <comment authorId="0" ref="F93">
      <text>
        <t xml:space="preserve">Illustrative generic shade assigned to this colour name for display. This is NOT a sourced or certified club-brand HEX value.</t>
      </text>
    </comment>
    <comment authorId="0" ref="E622">
      <text>
        <t xml:space="preserve">Illustrative generic shade assigned to this colour name for display. This is NOT a sourced or certified club-brand HEX value.</t>
      </text>
    </comment>
    <comment authorId="0" ref="F622">
      <text>
        <t xml:space="preserve">Illustrative generic shade assigned to this colour name for display. This is NOT a sourced or certified club-brand HEX value.</t>
      </text>
    </comment>
    <comment authorId="0" ref="C490">
      <text>
        <t xml:space="preserve">Illustrative generic shade assigned to this colour name for display. This is NOT a sourced or certified club-brand HEX value.</t>
      </text>
    </comment>
    <comment authorId="0" ref="D490">
      <text>
        <t xml:space="preserve">Illustrative generic shade assigned to this colour name for display. This is NOT a sourced or certified club-brand HEX value.</t>
      </text>
    </comment>
    <comment authorId="0" ref="E490">
      <text>
        <t xml:space="preserve">Illustrative generic shade assigned to this colour name for display. This is NOT a sourced or certified club-brand HEX value.</t>
      </text>
    </comment>
    <comment authorId="0" ref="F490">
      <text>
        <t xml:space="preserve">Illustrative generic shade assigned to this colour name for display. This is NOT a sourced or certified club-brand HEX value.</t>
      </text>
    </comment>
    <comment authorId="0" ref="C358">
      <text>
        <t xml:space="preserve">Illustrative generic shade assigned to this colour name for display. This is NOT a sourced or certified club-brand HEX value.</t>
      </text>
    </comment>
    <comment authorId="0" ref="D358">
      <text>
        <t xml:space="preserve">Illustrative generic shade assigned to this colour name for display. This is NOT a sourced or certified club-brand HEX value.</t>
      </text>
    </comment>
    <comment authorId="0" ref="E358">
      <text>
        <t xml:space="preserve">Illustrative generic shade assigned to this colour name for display. This is NOT a sourced or certified club-brand HEX value.</t>
      </text>
    </comment>
    <comment authorId="0" ref="F358">
      <text>
        <t xml:space="preserve">Illustrative generic shade assigned to this colour name for display. This is NOT a sourced or certified club-brand HEX value.</t>
      </text>
    </comment>
    <comment authorId="0" ref="C226">
      <text>
        <t xml:space="preserve">Illustrative generic shade assigned to this colour name for display. This is NOT a sourced or certified club-brand HEX value.</t>
      </text>
    </comment>
    <comment authorId="0" ref="D226">
      <text>
        <t xml:space="preserve">Illustrative generic shade assigned to this colour name for display. This is NOT a sourced or certified club-brand HEX value.</t>
      </text>
    </comment>
    <comment authorId="0" ref="E226">
      <text>
        <t xml:space="preserve">Illustrative generic shade assigned to this colour name for display. This is NOT a sourced or certified club-brand HEX value.</t>
      </text>
    </comment>
    <comment authorId="0" ref="F226">
      <text>
        <t xml:space="preserve">Illustrative generic shade assigned to this colour name for display. This is NOT a sourced or certified club-brand HEX value.</t>
      </text>
    </comment>
    <comment authorId="0" ref="C94">
      <text>
        <t xml:space="preserve">Illustrative generic shade assigned to this colour name for display. This is NOT a sourced or certified club-brand HEX value.</t>
      </text>
    </comment>
    <comment authorId="0" ref="D94">
      <text>
        <t xml:space="preserve">Illustrative generic shade assigned to this colour name for display. This is NOT a sourced or certified club-brand HEX value.</t>
      </text>
    </comment>
    <comment authorId="0" ref="E94">
      <text>
        <t xml:space="preserve">Illustrative generic shade assigned to this colour name for display. This is NOT a sourced or certified club-brand HEX value.</t>
      </text>
    </comment>
    <comment authorId="0" ref="F94">
      <text>
        <t xml:space="preserve">Illustrative generic shade assigned to this colour name for display. This is NOT a sourced or certified club-brand HEX value.</t>
      </text>
    </comment>
    <comment authorId="0" ref="C623">
      <text>
        <t xml:space="preserve">Illustrative generic shade assigned to this colour name for display. This is NOT a sourced or certified club-brand HEX value.</t>
      </text>
    </comment>
    <comment authorId="0" ref="D623">
      <text>
        <t xml:space="preserve">Illustrative generic shade assigned to this colour name for display. This is NOT a sourced or certified club-brand HEX value.</t>
      </text>
    </comment>
    <comment authorId="0" ref="E623">
      <text>
        <t xml:space="preserve">Illustrative generic shade assigned to this colour name for display. This is NOT a sourced or certified club-brand HEX value.</t>
      </text>
    </comment>
    <comment authorId="0" ref="F623">
      <text>
        <t xml:space="preserve">Illustrative generic shade assigned to this colour name for display. This is NOT a sourced or certified club-brand HEX value.</t>
      </text>
    </comment>
    <comment authorId="0" ref="C491">
      <text>
        <t xml:space="preserve">Illustrative generic shade assigned to this colour name for display. This is NOT a sourced or certified club-brand HEX value.</t>
      </text>
    </comment>
    <comment authorId="0" ref="D491">
      <text>
        <t xml:space="preserve">Illustrative generic shade assigned to this colour name for display. This is NOT a sourced or certified club-brand HEX value.</t>
      </text>
    </comment>
    <comment authorId="0" ref="E491">
      <text>
        <t xml:space="preserve">Illustrative generic shade assigned to this colour name for display. This is NOT a sourced or certified club-brand HEX value.</t>
      </text>
    </comment>
    <comment authorId="0" ref="F491">
      <text>
        <t xml:space="preserve">Illustrative generic shade assigned to this colour name for display. This is NOT a sourced or certified club-brand HEX value.</t>
      </text>
    </comment>
    <comment authorId="0" ref="C359">
      <text>
        <t xml:space="preserve">Illustrative generic shade assigned to this colour name for display. This is NOT a sourced or certified club-brand HEX value.</t>
      </text>
    </comment>
    <comment authorId="0" ref="D359">
      <text>
        <t xml:space="preserve">Illustrative generic shade assigned to this colour name for display. This is NOT a sourced or certified club-brand HEX value.</t>
      </text>
    </comment>
    <comment authorId="0" ref="E359">
      <text>
        <t xml:space="preserve">Illustrative generic shade assigned to this colour name for display. This is NOT a sourced or certified club-brand HEX value.</t>
      </text>
    </comment>
    <comment authorId="0" ref="F359">
      <text>
        <t xml:space="preserve">Illustrative generic shade assigned to this colour name for display. This is NOT a sourced or certified club-brand HEX value.</t>
      </text>
    </comment>
    <comment authorId="0" ref="C227">
      <text>
        <t xml:space="preserve">Illustrative generic shade assigned to this colour name for display. This is NOT a sourced or certified club-brand HEX value.</t>
      </text>
    </comment>
    <comment authorId="0" ref="D227">
      <text>
        <t xml:space="preserve">Illustrative generic shade assigned to this colour name for display. This is NOT a sourced or certified club-brand HEX value.</t>
      </text>
    </comment>
    <comment authorId="0" ref="E227">
      <text>
        <t xml:space="preserve">Illustrative generic shade assigned to this colour name for display. This is NOT a sourced or certified club-brand HEX value.</t>
      </text>
    </comment>
    <comment authorId="0" ref="F227">
      <text>
        <t xml:space="preserve">Illustrative generic shade assigned to this colour name for display. This is NOT a sourced or certified club-brand HEX value.</t>
      </text>
    </comment>
    <comment authorId="0" ref="E95">
      <text>
        <t xml:space="preserve">Illustrative generic shade assigned to this colour name for display. This is NOT a sourced or certified club-brand HEX value.</t>
      </text>
    </comment>
    <comment authorId="0" ref="F95">
      <text>
        <t xml:space="preserve">Illustrative generic shade assigned to this colour name for display. This is NOT a sourced or certified club-brand HEX value.</t>
      </text>
    </comment>
    <comment authorId="0" ref="C624">
      <text>
        <t xml:space="preserve">Illustrative generic shade assigned to this colour name for display. This is NOT a sourced or certified club-brand HEX value.</t>
      </text>
    </comment>
    <comment authorId="0" ref="D624">
      <text>
        <t xml:space="preserve">Illustrative generic shade assigned to this colour name for display. This is NOT a sourced or certified club-brand HEX value.</t>
      </text>
    </comment>
    <comment authorId="0" ref="E624">
      <text>
        <t xml:space="preserve">Illustrative generic shade assigned to this colour name for display. This is NOT a sourced or certified club-brand HEX value.</t>
      </text>
    </comment>
    <comment authorId="0" ref="F624">
      <text>
        <t xml:space="preserve">Illustrative generic shade assigned to this colour name for display. This is NOT a sourced or certified club-brand HEX value.</t>
      </text>
    </comment>
    <comment authorId="0" ref="E492">
      <text>
        <t xml:space="preserve">Illustrative generic shade assigned to this colour name for display. This is NOT a sourced or certified club-brand HEX value.</t>
      </text>
    </comment>
    <comment authorId="0" ref="F492">
      <text>
        <t xml:space="preserve">Illustrative generic shade assigned to this colour name for display. This is NOT a sourced or certified club-brand HEX value.</t>
      </text>
    </comment>
    <comment authorId="0" ref="C360">
      <text>
        <t xml:space="preserve">Illustrative generic shade assigned to this colour name for display. This is NOT a sourced or certified club-brand HEX value.</t>
      </text>
    </comment>
    <comment authorId="0" ref="D360">
      <text>
        <t xml:space="preserve">Illustrative generic shade assigned to this colour name for display. This is NOT a sourced or certified club-brand HEX value.</t>
      </text>
    </comment>
    <comment authorId="0" ref="E360">
      <text>
        <t xml:space="preserve">Illustrative generic shade assigned to this colour name for display. This is NOT a sourced or certified club-brand HEX value.</t>
      </text>
    </comment>
    <comment authorId="0" ref="F360">
      <text>
        <t xml:space="preserve">Illustrative generic shade assigned to this colour name for display. This is NOT a sourced or certified club-brand HEX value.</t>
      </text>
    </comment>
    <comment authorId="0" ref="C228">
      <text>
        <t xml:space="preserve">Illustrative generic shade assigned to this colour name for display. This is NOT a sourced or certified club-brand HEX value.</t>
      </text>
    </comment>
    <comment authorId="0" ref="D228">
      <text>
        <t xml:space="preserve">Illustrative generic shade assigned to this colour name for display. This is NOT a sourced or certified club-brand HEX value.</t>
      </text>
    </comment>
    <comment authorId="0" ref="E228">
      <text>
        <t xml:space="preserve">Illustrative generic shade assigned to this colour name for display. This is NOT a sourced or certified club-brand HEX value.</t>
      </text>
    </comment>
    <comment authorId="0" ref="F228">
      <text>
        <t xml:space="preserve">Illustrative generic shade assigned to this colour name for display. This is NOT a sourced or certified club-brand HEX value.</t>
      </text>
    </comment>
    <comment authorId="0" ref="C96">
      <text>
        <t xml:space="preserve">Illustrative generic shade assigned to this colour name for display. This is NOT a sourced or certified club-brand HEX value.</t>
      </text>
    </comment>
    <comment authorId="0" ref="D96">
      <text>
        <t xml:space="preserve">Illustrative generic shade assigned to this colour name for display. This is NOT a sourced or certified club-brand HEX value.</t>
      </text>
    </comment>
    <comment authorId="0" ref="E96">
      <text>
        <t xml:space="preserve">Illustrative generic shade assigned to this colour name for display. This is NOT a sourced or certified club-brand HEX value.</t>
      </text>
    </comment>
    <comment authorId="0" ref="F96">
      <text>
        <t xml:space="preserve">Illustrative generic shade assigned to this colour name for display. This is NOT a sourced or certified club-brand HEX value.</t>
      </text>
    </comment>
    <comment authorId="0" ref="C625">
      <text>
        <t xml:space="preserve">Illustrative generic shade assigned to this colour name for display. This is NOT a sourced or certified club-brand HEX value.</t>
      </text>
    </comment>
    <comment authorId="0" ref="D625">
      <text>
        <t xml:space="preserve">Illustrative generic shade assigned to this colour name for display. This is NOT a sourced or certified club-brand HEX value.</t>
      </text>
    </comment>
    <comment authorId="0" ref="E625">
      <text>
        <t xml:space="preserve">Illustrative generic shade assigned to this colour name for display. This is NOT a sourced or certified club-brand HEX value.</t>
      </text>
    </comment>
    <comment authorId="0" ref="F625">
      <text>
        <t xml:space="preserve">Illustrative generic shade assigned to this colour name for display. This is NOT a sourced or certified club-brand HEX value.</t>
      </text>
    </comment>
    <comment authorId="0" ref="C493">
      <text>
        <t xml:space="preserve">Illustrative generic shade assigned to this colour name for display. This is NOT a sourced or certified club-brand HEX value.</t>
      </text>
    </comment>
    <comment authorId="0" ref="D493">
      <text>
        <t xml:space="preserve">Illustrative generic shade assigned to this colour name for display. This is NOT a sourced or certified club-brand HEX value.</t>
      </text>
    </comment>
    <comment authorId="0" ref="E493">
      <text>
        <t xml:space="preserve">Illustrative generic shade assigned to this colour name for display. This is NOT a sourced or certified club-brand HEX value.</t>
      </text>
    </comment>
    <comment authorId="0" ref="F493">
      <text>
        <t xml:space="preserve">Illustrative generic shade assigned to this colour name for display. This is NOT a sourced or certified club-brand HEX value.</t>
      </text>
    </comment>
    <comment authorId="0" ref="C361">
      <text>
        <t xml:space="preserve">Illustrative generic shade assigned to this colour name for display. This is NOT a sourced or certified club-brand HEX value.</t>
      </text>
    </comment>
    <comment authorId="0" ref="D361">
      <text>
        <t xml:space="preserve">Illustrative generic shade assigned to this colour name for display. This is NOT a sourced or certified club-brand HEX value.</t>
      </text>
    </comment>
    <comment authorId="0" ref="E361">
      <text>
        <t xml:space="preserve">Illustrative generic shade assigned to this colour name for display. This is NOT a sourced or certified club-brand HEX value.</t>
      </text>
    </comment>
    <comment authorId="0" ref="F361">
      <text>
        <t xml:space="preserve">Illustrative generic shade assigned to this colour name for display. This is NOT a sourced or certified club-brand HEX value.</t>
      </text>
    </comment>
    <comment authorId="0" ref="C229">
      <text>
        <t xml:space="preserve">Illustrative generic shade assigned to this colour name for display. This is NOT a sourced or certified club-brand HEX value.</t>
      </text>
    </comment>
    <comment authorId="0" ref="D229">
      <text>
        <t xml:space="preserve">Illustrative generic shade assigned to this colour name for display. This is NOT a sourced or certified club-brand HEX value.</t>
      </text>
    </comment>
    <comment authorId="0" ref="E229">
      <text>
        <t xml:space="preserve">Illustrative generic shade assigned to this colour name for display. This is NOT a sourced or certified club-brand HEX value.</t>
      </text>
    </comment>
    <comment authorId="0" ref="F229">
      <text>
        <t xml:space="preserve">Illustrative generic shade assigned to this colour name for display. This is NOT a sourced or certified club-brand HEX value.</t>
      </text>
    </comment>
    <comment authorId="0" ref="C97">
      <text>
        <t xml:space="preserve">Illustrative generic shade assigned to this colour name for display. This is NOT a sourced or certified club-brand HEX value.</t>
      </text>
    </comment>
    <comment authorId="0" ref="D97">
      <text>
        <t xml:space="preserve">Illustrative generic shade assigned to this colour name for display. This is NOT a sourced or certified club-brand HEX value.</t>
      </text>
    </comment>
    <comment authorId="0" ref="E97">
      <text>
        <t xml:space="preserve">Illustrative generic shade assigned to this colour name for display. This is NOT a sourced or certified club-brand HEX value.</t>
      </text>
    </comment>
    <comment authorId="0" ref="F97">
      <text>
        <t xml:space="preserve">Illustrative generic shade assigned to this colour name for display. This is NOT a sourced or certified club-brand HEX value.</t>
      </text>
    </comment>
    <comment authorId="0" ref="C626">
      <text>
        <t xml:space="preserve">Illustrative generic shade assigned to this colour name for display. This is NOT a sourced or certified club-brand HEX value.</t>
      </text>
    </comment>
    <comment authorId="0" ref="D626">
      <text>
        <t xml:space="preserve">Illustrative generic shade assigned to this colour name for display. This is NOT a sourced or certified club-brand HEX value.</t>
      </text>
    </comment>
    <comment authorId="0" ref="E626">
      <text>
        <t xml:space="preserve">Illustrative generic shade assigned to this colour name for display. This is NOT a sourced or certified club-brand HEX value.</t>
      </text>
    </comment>
    <comment authorId="0" ref="F626">
      <text>
        <t xml:space="preserve">Illustrative generic shade assigned to this colour name for display. This is NOT a sourced or certified club-brand HEX value.</t>
      </text>
    </comment>
    <comment authorId="0" ref="E494">
      <text>
        <t xml:space="preserve">Illustrative generic shade assigned to this colour name for display. This is NOT a sourced or certified club-brand HEX value.</t>
      </text>
    </comment>
    <comment authorId="0" ref="F494">
      <text>
        <t xml:space="preserve">Illustrative generic shade assigned to this colour name for display. This is NOT a sourced or certified club-brand HEX value.</t>
      </text>
    </comment>
    <comment authorId="0" ref="C362">
      <text>
        <t xml:space="preserve">Illustrative generic shade assigned to this colour name for display. This is NOT a sourced or certified club-brand HEX value.</t>
      </text>
    </comment>
    <comment authorId="0" ref="D362">
      <text>
        <t xml:space="preserve">Illustrative generic shade assigned to this colour name for display. This is NOT a sourced or certified club-brand HEX value.</t>
      </text>
    </comment>
    <comment authorId="0" ref="E362">
      <text>
        <t xml:space="preserve">Illustrative generic shade assigned to this colour name for display. This is NOT a sourced or certified club-brand HEX value.</t>
      </text>
    </comment>
    <comment authorId="0" ref="F362">
      <text>
        <t xml:space="preserve">Illustrative generic shade assigned to this colour name for display. This is NOT a sourced or certified club-brand HEX value.</t>
      </text>
    </comment>
    <comment authorId="0" ref="C230">
      <text>
        <t xml:space="preserve">Illustrative generic shade assigned to this colour name for display. This is NOT a sourced or certified club-brand HEX value.</t>
      </text>
    </comment>
    <comment authorId="0" ref="D230">
      <text>
        <t xml:space="preserve">Illustrative generic shade assigned to this colour name for display. This is NOT a sourced or certified club-brand HEX value.</t>
      </text>
    </comment>
    <comment authorId="0" ref="E230">
      <text>
        <t xml:space="preserve">Illustrative generic shade assigned to this colour name for display. This is NOT a sourced or certified club-brand HEX value.</t>
      </text>
    </comment>
    <comment authorId="0" ref="F230">
      <text>
        <t xml:space="preserve">Illustrative generic shade assigned to this colour name for display. This is NOT a sourced or certified club-brand HEX value.</t>
      </text>
    </comment>
    <comment authorId="0" ref="C98">
      <text>
        <t xml:space="preserve">Illustrative generic shade assigned to this colour name for display. This is NOT a sourced or certified club-brand HEX value.</t>
      </text>
    </comment>
    <comment authorId="0" ref="D98">
      <text>
        <t xml:space="preserve">Illustrative generic shade assigned to this colour name for display. This is NOT a sourced or certified club-brand HEX value.</t>
      </text>
    </comment>
    <comment authorId="0" ref="E98">
      <text>
        <t xml:space="preserve">Illustrative generic shade assigned to this colour name for display. This is NOT a sourced or certified club-brand HEX value.</t>
      </text>
    </comment>
    <comment authorId="0" ref="F98">
      <text>
        <t xml:space="preserve">Illustrative generic shade assigned to this colour name for display. This is NOT a sourced or certified club-brand HEX value.</t>
      </text>
    </comment>
    <comment authorId="0" ref="C627">
      <text>
        <t xml:space="preserve">Illustrative generic shade assigned to this colour name for display. This is NOT a sourced or certified club-brand HEX value.</t>
      </text>
    </comment>
    <comment authorId="0" ref="D627">
      <text>
        <t xml:space="preserve">Illustrative generic shade assigned to this colour name for display. This is NOT a sourced or certified club-brand HEX value.</t>
      </text>
    </comment>
    <comment authorId="0" ref="E627">
      <text>
        <t xml:space="preserve">Illustrative generic shade assigned to this colour name for display. This is NOT a sourced or certified club-brand HEX value.</t>
      </text>
    </comment>
    <comment authorId="0" ref="F627">
      <text>
        <t xml:space="preserve">Illustrative generic shade assigned to this colour name for display. This is NOT a sourced or certified club-brand HEX value.</t>
      </text>
    </comment>
    <comment authorId="0" ref="E495">
      <text>
        <t xml:space="preserve">Illustrative generic shade assigned to this colour name for display. This is NOT a sourced or certified club-brand HEX value.</t>
      </text>
    </comment>
    <comment authorId="0" ref="F495">
      <text>
        <t xml:space="preserve">Illustrative generic shade assigned to this colour name for display. This is NOT a sourced or certified club-brand HEX value.</t>
      </text>
    </comment>
    <comment authorId="0" ref="C363">
      <text>
        <t xml:space="preserve">Illustrative generic shade assigned to this colour name for display. This is NOT a sourced or certified club-brand HEX value.</t>
      </text>
    </comment>
    <comment authorId="0" ref="D363">
      <text>
        <t xml:space="preserve">Illustrative generic shade assigned to this colour name for display. This is NOT a sourced or certified club-brand HEX value.</t>
      </text>
    </comment>
    <comment authorId="0" ref="E363">
      <text>
        <t xml:space="preserve">Illustrative generic shade assigned to this colour name for display. This is NOT a sourced or certified club-brand HEX value.</t>
      </text>
    </comment>
    <comment authorId="0" ref="F363">
      <text>
        <t xml:space="preserve">Illustrative generic shade assigned to this colour name for display. This is NOT a sourced or certified club-brand HEX value.</t>
      </text>
    </comment>
    <comment authorId="0" ref="C231">
      <text>
        <t xml:space="preserve">Illustrative generic shade assigned to this colour name for display. This is NOT a sourced or certified club-brand HEX value.</t>
      </text>
    </comment>
    <comment authorId="0" ref="D231">
      <text>
        <t xml:space="preserve">Illustrative generic shade assigned to this colour name for display. This is NOT a sourced or certified club-brand HEX value.</t>
      </text>
    </comment>
    <comment authorId="0" ref="E231">
      <text>
        <t xml:space="preserve">Illustrative generic shade assigned to this colour name for display. This is NOT a sourced or certified club-brand HEX value.</t>
      </text>
    </comment>
    <comment authorId="0" ref="F231">
      <text>
        <t xml:space="preserve">Illustrative generic shade assigned to this colour name for display. This is NOT a sourced or certified club-brand HEX value.</t>
      </text>
    </comment>
    <comment authorId="0" ref="C99">
      <text>
        <t xml:space="preserve">Illustrative generic shade assigned to this colour name for display. This is NOT a sourced or certified club-brand HEX value.</t>
      </text>
    </comment>
    <comment authorId="0" ref="D99">
      <text>
        <t xml:space="preserve">Illustrative generic shade assigned to this colour name for display. This is NOT a sourced or certified club-brand HEX value.</t>
      </text>
    </comment>
    <comment authorId="0" ref="E99">
      <text>
        <t xml:space="preserve">Illustrative generic shade assigned to this colour name for display. This is NOT a sourced or certified club-brand HEX value.</t>
      </text>
    </comment>
    <comment authorId="0" ref="F99">
      <text>
        <t xml:space="preserve">Illustrative generic shade assigned to this colour name for display. This is NOT a sourced or certified club-brand HEX value.</t>
      </text>
    </comment>
    <comment authorId="0" ref="E628">
      <text>
        <t xml:space="preserve">Illustrative generic shade assigned to this colour name for display. This is NOT a sourced or certified club-brand HEX value.</t>
      </text>
    </comment>
    <comment authorId="0" ref="F628">
      <text>
        <t xml:space="preserve">Illustrative generic shade assigned to this colour name for display. This is NOT a sourced or certified club-brand HEX value.</t>
      </text>
    </comment>
    <comment authorId="0" ref="E496">
      <text>
        <t xml:space="preserve">Illustrative generic shade assigned to this colour name for display. This is NOT a sourced or certified club-brand HEX value.</t>
      </text>
    </comment>
    <comment authorId="0" ref="F496">
      <text>
        <t xml:space="preserve">Illustrative generic shade assigned to this colour name for display. This is NOT a sourced or certified club-brand HEX value.</t>
      </text>
    </comment>
    <comment authorId="0" ref="C364">
      <text>
        <t xml:space="preserve">Illustrative generic shade assigned to this colour name for display. This is NOT a sourced or certified club-brand HEX value.</t>
      </text>
    </comment>
    <comment authorId="0" ref="D364">
      <text>
        <t xml:space="preserve">Illustrative generic shade assigned to this colour name for display. This is NOT a sourced or certified club-brand HEX value.</t>
      </text>
    </comment>
    <comment authorId="0" ref="E364">
      <text>
        <t xml:space="preserve">Illustrative generic shade assigned to this colour name for display. This is NOT a sourced or certified club-brand HEX value.</t>
      </text>
    </comment>
    <comment authorId="0" ref="F364">
      <text>
        <t xml:space="preserve">Illustrative generic shade assigned to this colour name for display. This is NOT a sourced or certified club-brand HEX value.</t>
      </text>
    </comment>
    <comment authorId="0" ref="C232">
      <text>
        <t xml:space="preserve">Illustrative generic shade assigned to this colour name for display. This is NOT a sourced or certified club-brand HEX value.</t>
      </text>
    </comment>
    <comment authorId="0" ref="D232">
      <text>
        <t xml:space="preserve">Illustrative generic shade assigned to this colour name for display. This is NOT a sourced or certified club-brand HEX value.</t>
      </text>
    </comment>
    <comment authorId="0" ref="E232">
      <text>
        <t xml:space="preserve">Illustrative generic shade assigned to this colour name for display. This is NOT a sourced or certified club-brand HEX value.</t>
      </text>
    </comment>
    <comment authorId="0" ref="F232">
      <text>
        <t xml:space="preserve">Illustrative generic shade assigned to this colour name for display. This is NOT a sourced or certified club-brand HEX value.</t>
      </text>
    </comment>
    <comment authorId="0" ref="C100">
      <text>
        <t xml:space="preserve">Illustrative generic shade assigned to this colour name for display. This is NOT a sourced or certified club-brand HEX value.</t>
      </text>
    </comment>
    <comment authorId="0" ref="D100">
      <text>
        <t xml:space="preserve">Illustrative generic shade assigned to this colour name for display. This is NOT a sourced or certified club-brand HEX value.</t>
      </text>
    </comment>
    <comment authorId="0" ref="E100">
      <text>
        <t xml:space="preserve">Illustrative generic shade assigned to this colour name for display. This is NOT a sourced or certified club-brand HEX value.</t>
      </text>
    </comment>
    <comment authorId="0" ref="F100">
      <text>
        <t xml:space="preserve">Illustrative generic shade assigned to this colour name for display. This is NOT a sourced or certified club-brand HEX value.</t>
      </text>
    </comment>
    <comment authorId="0" ref="C629">
      <text>
        <t xml:space="preserve">Illustrative generic shade assigned to this colour name for display. This is NOT a sourced or certified club-brand HEX value.</t>
      </text>
    </comment>
    <comment authorId="0" ref="D629">
      <text>
        <t xml:space="preserve">Illustrative generic shade assigned to this colour name for display. This is NOT a sourced or certified club-brand HEX value.</t>
      </text>
    </comment>
    <comment authorId="0" ref="E629">
      <text>
        <t xml:space="preserve">Illustrative generic shade assigned to this colour name for display. This is NOT a sourced or certified club-brand HEX value.</t>
      </text>
    </comment>
    <comment authorId="0" ref="F629">
      <text>
        <t xml:space="preserve">Illustrative generic shade assigned to this colour name for display. This is NOT a sourced or certified club-brand HEX value.</t>
      </text>
    </comment>
    <comment authorId="0" ref="E497">
      <text>
        <t xml:space="preserve">Illustrative generic shade assigned to this colour name for display. This is NOT a sourced or certified club-brand HEX value.</t>
      </text>
    </comment>
    <comment authorId="0" ref="F497">
      <text>
        <t xml:space="preserve">Illustrative generic shade assigned to this colour name for display. This is NOT a sourced or certified club-brand HEX value.</t>
      </text>
    </comment>
    <comment authorId="0" ref="C365">
      <text>
        <t xml:space="preserve">Illustrative generic shade assigned to this colour name for display. This is NOT a sourced or certified club-brand HEX value.</t>
      </text>
    </comment>
    <comment authorId="0" ref="D365">
      <text>
        <t xml:space="preserve">Illustrative generic shade assigned to this colour name for display. This is NOT a sourced or certified club-brand HEX value.</t>
      </text>
    </comment>
    <comment authorId="0" ref="E365">
      <text>
        <t xml:space="preserve">Illustrative generic shade assigned to this colour name for display. This is NOT a sourced or certified club-brand HEX value.</t>
      </text>
    </comment>
    <comment authorId="0" ref="F365">
      <text>
        <t xml:space="preserve">Illustrative generic shade assigned to this colour name for display. This is NOT a sourced or certified club-brand HEX value.</t>
      </text>
    </comment>
    <comment authorId="0" ref="C233">
      <text>
        <t xml:space="preserve">Illustrative generic shade assigned to this colour name for display. This is NOT a sourced or certified club-brand HEX value.</t>
      </text>
    </comment>
    <comment authorId="0" ref="D233">
      <text>
        <t xml:space="preserve">Illustrative generic shade assigned to this colour name for display. This is NOT a sourced or certified club-brand HEX value.</t>
      </text>
    </comment>
    <comment authorId="0" ref="E233">
      <text>
        <t xml:space="preserve">Illustrative generic shade assigned to this colour name for display. This is NOT a sourced or certified club-brand HEX value.</t>
      </text>
    </comment>
    <comment authorId="0" ref="F233">
      <text>
        <t xml:space="preserve">Illustrative generic shade assigned to this colour name for display. This is NOT a sourced or certified club-brand HEX value.</t>
      </text>
    </comment>
    <comment authorId="0" ref="C101">
      <text>
        <t xml:space="preserve">Illustrative generic shade assigned to this colour name for display. This is NOT a sourced or certified club-brand HEX value.</t>
      </text>
    </comment>
    <comment authorId="0" ref="D101">
      <text>
        <t xml:space="preserve">Illustrative generic shade assigned to this colour name for display. This is NOT a sourced or certified club-brand HEX value.</t>
      </text>
    </comment>
    <comment authorId="0" ref="E101">
      <text>
        <t xml:space="preserve">Illustrative generic shade assigned to this colour name for display. This is NOT a sourced or certified club-brand HEX value.</t>
      </text>
    </comment>
    <comment authorId="0" ref="F101">
      <text>
        <t xml:space="preserve">Illustrative generic shade assigned to this colour name for display. This is NOT a sourced or certified club-brand HEX value.</t>
      </text>
    </comment>
    <comment authorId="0" ref="E630">
      <text>
        <t xml:space="preserve">Illustrative generic shade assigned to this colour name for display. This is NOT a sourced or certified club-brand HEX value.</t>
      </text>
    </comment>
    <comment authorId="0" ref="F630">
      <text>
        <t xml:space="preserve">Illustrative generic shade assigned to this colour name for display. This is NOT a sourced or certified club-brand HEX value.</t>
      </text>
    </comment>
    <comment authorId="0" ref="E498">
      <text>
        <t xml:space="preserve">Illustrative generic shade assigned to this colour name for display. This is NOT a sourced or certified club-brand HEX value.</t>
      </text>
    </comment>
    <comment authorId="0" ref="F498">
      <text>
        <t xml:space="preserve">Illustrative generic shade assigned to this colour name for display. This is NOT a sourced or certified club-brand HEX value.</t>
      </text>
    </comment>
    <comment authorId="0" ref="C366">
      <text>
        <t xml:space="preserve">Illustrative generic shade assigned to this colour name for display. This is NOT a sourced or certified club-brand HEX value.</t>
      </text>
    </comment>
    <comment authorId="0" ref="E366">
      <text>
        <t xml:space="preserve">Illustrative generic shade assigned to this colour name for display. This is NOT a sourced or certified club-brand HEX value.</t>
      </text>
    </comment>
    <comment authorId="0" ref="F366">
      <text>
        <t xml:space="preserve">Illustrative generic shade assigned to this colour name for display. This is NOT a sourced or certified club-brand HEX value.</t>
      </text>
    </comment>
    <comment authorId="0" ref="C234">
      <text>
        <t xml:space="preserve">Illustrative generic shade assigned to this colour name for display. This is NOT a sourced or certified club-brand HEX value.</t>
      </text>
    </comment>
    <comment authorId="0" ref="D234">
      <text>
        <t xml:space="preserve">Illustrative generic shade assigned to this colour name for display. This is NOT a sourced or certified club-brand HEX value.</t>
      </text>
    </comment>
    <comment authorId="0" ref="E234">
      <text>
        <t xml:space="preserve">Illustrative generic shade assigned to this colour name for display. This is NOT a sourced or certified club-brand HEX value.</t>
      </text>
    </comment>
    <comment authorId="0" ref="F234">
      <text>
        <t xml:space="preserve">Illustrative generic shade assigned to this colour name for display. This is NOT a sourced or certified club-brand HEX value.</t>
      </text>
    </comment>
    <comment authorId="0" ref="C102">
      <text>
        <t xml:space="preserve">Illustrative generic shade assigned to this colour name for display. This is NOT a sourced or certified club-brand HEX value.</t>
      </text>
    </comment>
    <comment authorId="0" ref="D102">
      <text>
        <t xml:space="preserve">Illustrative generic shade assigned to this colour name for display. This is NOT a sourced or certified club-brand HEX value.</t>
      </text>
    </comment>
    <comment authorId="0" ref="E102">
      <text>
        <t xml:space="preserve">Illustrative generic shade assigned to this colour name for display. This is NOT a sourced or certified club-brand HEX value.</t>
      </text>
    </comment>
    <comment authorId="0" ref="F102">
      <text>
        <t xml:space="preserve">Illustrative generic shade assigned to this colour name for display. This is NOT a sourced or certified club-brand HEX value.</t>
      </text>
    </comment>
    <comment authorId="0" ref="E631">
      <text>
        <t xml:space="preserve">Illustrative generic shade assigned to this colour name for display. This is NOT a sourced or certified club-brand HEX value.</t>
      </text>
    </comment>
    <comment authorId="0" ref="F631">
      <text>
        <t xml:space="preserve">Illustrative generic shade assigned to this colour name for display. This is NOT a sourced or certified club-brand HEX value.</t>
      </text>
    </comment>
    <comment authorId="0" ref="E499">
      <text>
        <t xml:space="preserve">Illustrative generic shade assigned to this colour name for display. This is NOT a sourced or certified club-brand HEX value.</t>
      </text>
    </comment>
    <comment authorId="0" ref="F499">
      <text>
        <t xml:space="preserve">Illustrative generic shade assigned to this colour name for display. This is NOT a sourced or certified club-brand HEX value.</t>
      </text>
    </comment>
    <comment authorId="0" ref="E367">
      <text>
        <t xml:space="preserve">Illustrative generic shade assigned to this colour name for display. This is NOT a sourced or certified club-brand HEX value.</t>
      </text>
    </comment>
    <comment authorId="0" ref="F367">
      <text>
        <t xml:space="preserve">Illustrative generic shade assigned to this colour name for display. This is NOT a sourced or certified club-brand HEX value.</t>
      </text>
    </comment>
    <comment authorId="0" ref="C235">
      <text>
        <t xml:space="preserve">Illustrative generic shade assigned to this colour name for display. This is NOT a sourced or certified club-brand HEX value.</t>
      </text>
    </comment>
    <comment authorId="0" ref="D235">
      <text>
        <t xml:space="preserve">Illustrative generic shade assigned to this colour name for display. This is NOT a sourced or certified club-brand HEX value.</t>
      </text>
    </comment>
    <comment authorId="0" ref="E235">
      <text>
        <t xml:space="preserve">Illustrative generic shade assigned to this colour name for display. This is NOT a sourced or certified club-brand HEX value.</t>
      </text>
    </comment>
    <comment authorId="0" ref="F235">
      <text>
        <t xml:space="preserve">Illustrative generic shade assigned to this colour name for display. This is NOT a sourced or certified club-brand HEX value.</t>
      </text>
    </comment>
    <comment authorId="0" ref="C103">
      <text>
        <t xml:space="preserve">Illustrative generic shade assigned to this colour name for display. This is NOT a sourced or certified club-brand HEX value.</t>
      </text>
    </comment>
    <comment authorId="0" ref="D103">
      <text>
        <t xml:space="preserve">Illustrative generic shade assigned to this colour name for display. This is NOT a sourced or certified club-brand HEX value.</t>
      </text>
    </comment>
    <comment authorId="0" ref="E103">
      <text>
        <t xml:space="preserve">Illustrative generic shade assigned to this colour name for display. This is NOT a sourced or certified club-brand HEX value.</t>
      </text>
    </comment>
    <comment authorId="0" ref="F103">
      <text>
        <t xml:space="preserve">Illustrative generic shade assigned to this colour name for display. This is NOT a sourced or certified club-brand HEX value.</t>
      </text>
    </comment>
    <comment authorId="0" ref="E632">
      <text>
        <t xml:space="preserve">Illustrative generic shade assigned to this colour name for display. This is NOT a sourced or certified club-brand HEX value.</t>
      </text>
    </comment>
    <comment authorId="0" ref="F632">
      <text>
        <t xml:space="preserve">Illustrative generic shade assigned to this colour name for display. This is NOT a sourced or certified club-brand HEX value.</t>
      </text>
    </comment>
    <comment authorId="0" ref="E500">
      <text>
        <t xml:space="preserve">Illustrative generic shade assigned to this colour name for display. This is NOT a sourced or certified club-brand HEX value.</t>
      </text>
    </comment>
    <comment authorId="0" ref="F500">
      <text>
        <t xml:space="preserve">Illustrative generic shade assigned to this colour name for display. This is NOT a sourced or certified club-brand HEX value.</t>
      </text>
    </comment>
    <comment authorId="0" ref="E368">
      <text>
        <t xml:space="preserve">Illustrative generic shade assigned to this colour name for display. This is NOT a sourced or certified club-brand HEX value.</t>
      </text>
    </comment>
    <comment authorId="0" ref="F368">
      <text>
        <t xml:space="preserve">Illustrative generic shade assigned to this colour name for display. This is NOT a sourced or certified club-brand HEX value.</t>
      </text>
    </comment>
    <comment authorId="0" ref="C236">
      <text>
        <t xml:space="preserve">Illustrative generic shade assigned to this colour name for display. This is NOT a sourced or certified club-brand HEX value.</t>
      </text>
    </comment>
    <comment authorId="0" ref="E236">
      <text>
        <t xml:space="preserve">Illustrative generic shade assigned to this colour name for display. This is NOT a sourced or certified club-brand HEX value.</t>
      </text>
    </comment>
    <comment authorId="0" ref="F236">
      <text>
        <t xml:space="preserve">Illustrative generic shade assigned to this colour name for display. This is NOT a sourced or certified club-brand HEX value.</t>
      </text>
    </comment>
    <comment authorId="0" ref="C104">
      <text>
        <t xml:space="preserve">Illustrative generic shade assigned to this colour name for display. This is NOT a sourced or certified club-brand HEX value.</t>
      </text>
    </comment>
    <comment authorId="0" ref="D104">
      <text>
        <t xml:space="preserve">Illustrative generic shade assigned to this colour name for display. This is NOT a sourced or certified club-brand HEX value.</t>
      </text>
    </comment>
    <comment authorId="0" ref="E104">
      <text>
        <t xml:space="preserve">Illustrative generic shade assigned to this colour name for display. This is NOT a sourced or certified club-brand HEX value.</t>
      </text>
    </comment>
    <comment authorId="0" ref="F104">
      <text>
        <t xml:space="preserve">Illustrative generic shade assigned to this colour name for display. This is NOT a sourced or certified club-brand HEX value.</t>
      </text>
    </comment>
    <comment authorId="0" ref="E633">
      <text>
        <t xml:space="preserve">Illustrative generic shade assigned to this colour name for display. This is NOT a sourced or certified club-brand HEX value.</t>
      </text>
    </comment>
    <comment authorId="0" ref="F633">
      <text>
        <t xml:space="preserve">Illustrative generic shade assigned to this colour name for display. This is NOT a sourced or certified club-brand HEX value.</t>
      </text>
    </comment>
    <comment authorId="0" ref="E501">
      <text>
        <t xml:space="preserve">Illustrative generic shade assigned to this colour name for display. This is NOT a sourced or certified club-brand HEX value.</t>
      </text>
    </comment>
    <comment authorId="0" ref="F501">
      <text>
        <t xml:space="preserve">Illustrative generic shade assigned to this colour name for display. This is NOT a sourced or certified club-brand HEX value.</t>
      </text>
    </comment>
    <comment authorId="0" ref="E369">
      <text>
        <t xml:space="preserve">Illustrative generic shade assigned to this colour name for display. This is NOT a sourced or certified club-brand HEX value.</t>
      </text>
    </comment>
    <comment authorId="0" ref="F369">
      <text>
        <t xml:space="preserve">Illustrative generic shade assigned to this colour name for display. This is NOT a sourced or certified club-brand HEX value.</t>
      </text>
    </comment>
    <comment authorId="0" ref="C237">
      <text>
        <t xml:space="preserve">Illustrative generic shade assigned to this colour name for display. This is NOT a sourced or certified club-brand HEX value.</t>
      </text>
    </comment>
    <comment authorId="0" ref="D237">
      <text>
        <t xml:space="preserve">Illustrative generic shade assigned to this colour name for display. This is NOT a sourced or certified club-brand HEX value.</t>
      </text>
    </comment>
    <comment authorId="0" ref="E237">
      <text>
        <t xml:space="preserve">Illustrative generic shade assigned to this colour name for display. This is NOT a sourced or certified club-brand HEX value.</t>
      </text>
    </comment>
    <comment authorId="0" ref="F237">
      <text>
        <t xml:space="preserve">Illustrative generic shade assigned to this colour name for display. This is NOT a sourced or certified club-brand HEX value.</t>
      </text>
    </comment>
    <comment authorId="0" ref="C105">
      <text>
        <t xml:space="preserve">Illustrative generic shade assigned to this colour name for display. This is NOT a sourced or certified club-brand HEX value.</t>
      </text>
    </comment>
    <comment authorId="0" ref="D105">
      <text>
        <t xml:space="preserve">Illustrative generic shade assigned to this colour name for display. This is NOT a sourced or certified club-brand HEX value.</t>
      </text>
    </comment>
    <comment authorId="0" ref="E105">
      <text>
        <t xml:space="preserve">Illustrative generic shade assigned to this colour name for display. This is NOT a sourced or certified club-brand HEX value.</t>
      </text>
    </comment>
    <comment authorId="0" ref="F105">
      <text>
        <t xml:space="preserve">Illustrative generic shade assigned to this colour name for display. This is NOT a sourced or certified club-brand HEX value.</t>
      </text>
    </comment>
    <comment authorId="0" ref="C634">
      <text>
        <t xml:space="preserve">Illustrative generic shade assigned to this colour name for display. This is NOT a sourced or certified club-brand HEX value.</t>
      </text>
    </comment>
    <comment authorId="0" ref="D634">
      <text>
        <t xml:space="preserve">Illustrative generic shade assigned to this colour name for display. This is NOT a sourced or certified club-brand HEX value.</t>
      </text>
    </comment>
    <comment authorId="0" ref="E634">
      <text>
        <t xml:space="preserve">Illustrative generic shade assigned to this colour name for display. This is NOT a sourced or certified club-brand HEX value.</t>
      </text>
    </comment>
    <comment authorId="0" ref="F634">
      <text>
        <t xml:space="preserve">Illustrative generic shade assigned to this colour name for display. This is NOT a sourced or certified club-brand HEX value.</t>
      </text>
    </comment>
    <comment authorId="0" ref="E502">
      <text>
        <t xml:space="preserve">Illustrative generic shade assigned to this colour name for display. This is NOT a sourced or certified club-brand HEX value.</t>
      </text>
    </comment>
    <comment authorId="0" ref="F502">
      <text>
        <t xml:space="preserve">Illustrative generic shade assigned to this colour name for display. This is NOT a sourced or certified club-brand HEX value.</t>
      </text>
    </comment>
    <comment authorId="0" ref="C370">
      <text>
        <t xml:space="preserve">Illustrative generic shade assigned to this colour name for display. This is NOT a sourced or certified club-brand HEX value.</t>
      </text>
    </comment>
    <comment authorId="0" ref="D370">
      <text>
        <t xml:space="preserve">Illustrative generic shade assigned to this colour name for display. This is NOT a sourced or certified club-brand HEX value.</t>
      </text>
    </comment>
    <comment authorId="0" ref="E370">
      <text>
        <t xml:space="preserve">Illustrative generic shade assigned to this colour name for display. This is NOT a sourced or certified club-brand HEX value.</t>
      </text>
    </comment>
    <comment authorId="0" ref="F370">
      <text>
        <t xml:space="preserve">Illustrative generic shade assigned to this colour name for display. This is NOT a sourced or certified club-brand HEX value.</t>
      </text>
    </comment>
    <comment authorId="0" ref="C238">
      <text>
        <t xml:space="preserve">Illustrative generic shade assigned to this colour name for display. This is NOT a sourced or certified club-brand HEX value.</t>
      </text>
    </comment>
    <comment authorId="0" ref="D238">
      <text>
        <t xml:space="preserve">Illustrative generic shade assigned to this colour name for display. This is NOT a sourced or certified club-brand HEX value.</t>
      </text>
    </comment>
    <comment authorId="0" ref="E238">
      <text>
        <t xml:space="preserve">Illustrative generic shade assigned to this colour name for display. This is NOT a sourced or certified club-brand HEX value.</t>
      </text>
    </comment>
    <comment authorId="0" ref="F238">
      <text>
        <t xml:space="preserve">Illustrative generic shade assigned to this colour name for display. This is NOT a sourced or certified club-brand HEX value.</t>
      </text>
    </comment>
    <comment authorId="0" ref="C106">
      <text>
        <t xml:space="preserve">Illustrative generic shade assigned to this colour name for display. This is NOT a sourced or certified club-brand HEX value.</t>
      </text>
    </comment>
    <comment authorId="0" ref="D106">
      <text>
        <t xml:space="preserve">Illustrative generic shade assigned to this colour name for display. This is NOT a sourced or certified club-brand HEX value.</t>
      </text>
    </comment>
    <comment authorId="0" ref="E106">
      <text>
        <t xml:space="preserve">Illustrative generic shade assigned to this colour name for display. This is NOT a sourced or certified club-brand HEX value.</t>
      </text>
    </comment>
    <comment authorId="0" ref="F106">
      <text>
        <t xml:space="preserve">Illustrative generic shade assigned to this colour name for display. This is NOT a sourced or certified club-brand HEX value.</t>
      </text>
    </comment>
    <comment authorId="0" ref="E635">
      <text>
        <t xml:space="preserve">Illustrative generic shade assigned to this colour name for display. This is NOT a sourced or certified club-brand HEX value.</t>
      </text>
    </comment>
    <comment authorId="0" ref="F635">
      <text>
        <t xml:space="preserve">Illustrative generic shade assigned to this colour name for display. This is NOT a sourced or certified club-brand HEX value.</t>
      </text>
    </comment>
    <comment authorId="0" ref="E503">
      <text>
        <t xml:space="preserve">Illustrative generic shade assigned to this colour name for display. This is NOT a sourced or certified club-brand HEX value.</t>
      </text>
    </comment>
    <comment authorId="0" ref="F503">
      <text>
        <t xml:space="preserve">Illustrative generic shade assigned to this colour name for display. This is NOT a sourced or certified club-brand HEX value.</t>
      </text>
    </comment>
    <comment authorId="0" ref="E371">
      <text>
        <t xml:space="preserve">Illustrative generic shade assigned to this colour name for display. This is NOT a sourced or certified club-brand HEX value.</t>
      </text>
    </comment>
    <comment authorId="0" ref="F371">
      <text>
        <t xml:space="preserve">Illustrative generic shade assigned to this colour name for display. This is NOT a sourced or certified club-brand HEX value.</t>
      </text>
    </comment>
    <comment authorId="0" ref="C239">
      <text>
        <t xml:space="preserve">Illustrative generic shade assigned to this colour name for display. This is NOT a sourced or certified club-brand HEX value.</t>
      </text>
    </comment>
    <comment authorId="0" ref="D239">
      <text>
        <t xml:space="preserve">Illustrative generic shade assigned to this colour name for display. This is NOT a sourced or certified club-brand HEX value.</t>
      </text>
    </comment>
    <comment authorId="0" ref="E239">
      <text>
        <t xml:space="preserve">Illustrative generic shade assigned to this colour name for display. This is NOT a sourced or certified club-brand HEX value.</t>
      </text>
    </comment>
    <comment authorId="0" ref="F239">
      <text>
        <t xml:space="preserve">Illustrative generic shade assigned to this colour name for display. This is NOT a sourced or certified club-brand HEX value.</t>
      </text>
    </comment>
    <comment authorId="0" ref="C107">
      <text>
        <t xml:space="preserve">Illustrative generic shade assigned to this colour name for display. This is NOT a sourced or certified club-brand HEX value.</t>
      </text>
    </comment>
    <comment authorId="0" ref="D107">
      <text>
        <t xml:space="preserve">Illustrative generic shade assigned to this colour name for display. This is NOT a sourced or certified club-brand HEX value.</t>
      </text>
    </comment>
    <comment authorId="0" ref="E107">
      <text>
        <t xml:space="preserve">Illustrative generic shade assigned to this colour name for display. This is NOT a sourced or certified club-brand HEX value.</t>
      </text>
    </comment>
    <comment authorId="0" ref="F107">
      <text>
        <t xml:space="preserve">Illustrative generic shade assigned to this colour name for display. This is NOT a sourced or certified club-brand HEX value.</t>
      </text>
    </comment>
    <comment authorId="0" ref="E636">
      <text>
        <t xml:space="preserve">Illustrative generic shade assigned to this colour name for display. This is NOT a sourced or certified club-brand HEX value.</t>
      </text>
    </comment>
    <comment authorId="0" ref="F636">
      <text>
        <t xml:space="preserve">Illustrative generic shade assigned to this colour name for display. This is NOT a sourced or certified club-brand HEX value.</t>
      </text>
    </comment>
    <comment authorId="0" ref="C504">
      <text>
        <t xml:space="preserve">Illustrative generic shade assigned to this colour name for display. This is NOT a sourced or certified club-brand HEX value.</t>
      </text>
    </comment>
    <comment authorId="0" ref="D504">
      <text>
        <t xml:space="preserve">Illustrative generic shade assigned to this colour name for display. This is NOT a sourced or certified club-brand HEX value.</t>
      </text>
    </comment>
    <comment authorId="0" ref="E504">
      <text>
        <t xml:space="preserve">Illustrative generic shade assigned to this colour name for display. This is NOT a sourced or certified club-brand HEX value.</t>
      </text>
    </comment>
    <comment authorId="0" ref="F504">
      <text>
        <t xml:space="preserve">Illustrative generic shade assigned to this colour name for display. This is NOT a sourced or certified club-brand HEX value.</t>
      </text>
    </comment>
    <comment authorId="0" ref="C372">
      <text>
        <t xml:space="preserve">Illustrative generic shade assigned to this colour name for display. This is NOT a sourced or certified club-brand HEX value.</t>
      </text>
    </comment>
    <comment authorId="0" ref="D372">
      <text>
        <t xml:space="preserve">Illustrative generic shade assigned to this colour name for display. This is NOT a sourced or certified club-brand HEX value.</t>
      </text>
    </comment>
    <comment authorId="0" ref="E372">
      <text>
        <t xml:space="preserve">Illustrative generic shade assigned to this colour name for display. This is NOT a sourced or certified club-brand HEX value.</t>
      </text>
    </comment>
    <comment authorId="0" ref="F372">
      <text>
        <t xml:space="preserve">Illustrative generic shade assigned to this colour name for display. This is NOT a sourced or certified club-brand HEX value.</t>
      </text>
    </comment>
    <comment authorId="0" ref="C240">
      <text>
        <t xml:space="preserve">Illustrative generic shade assigned to this colour name for display. This is NOT a sourced or certified club-brand HEX value.</t>
      </text>
    </comment>
    <comment authorId="0" ref="D240">
      <text>
        <t xml:space="preserve">Illustrative generic shade assigned to this colour name for display. This is NOT a sourced or certified club-brand HEX value.</t>
      </text>
    </comment>
    <comment authorId="0" ref="E240">
      <text>
        <t xml:space="preserve">Illustrative generic shade assigned to this colour name for display. This is NOT a sourced or certified club-brand HEX value.</t>
      </text>
    </comment>
    <comment authorId="0" ref="F240">
      <text>
        <t xml:space="preserve">Illustrative generic shade assigned to this colour name for display. This is NOT a sourced or certified club-brand HEX value.</t>
      </text>
    </comment>
    <comment authorId="0" ref="C108">
      <text>
        <t xml:space="preserve">Illustrative generic shade assigned to this colour name for display. This is NOT a sourced or certified club-brand HEX value.</t>
      </text>
    </comment>
    <comment authorId="0" ref="D108">
      <text>
        <t xml:space="preserve">Illustrative generic shade assigned to this colour name for display. This is NOT a sourced or certified club-brand HEX value.</t>
      </text>
    </comment>
    <comment authorId="0" ref="E108">
      <text>
        <t xml:space="preserve">Illustrative generic shade assigned to this colour name for display. This is NOT a sourced or certified club-brand HEX value.</t>
      </text>
    </comment>
    <comment authorId="0" ref="F108">
      <text>
        <t xml:space="preserve">Illustrative generic shade assigned to this colour name for display. This is NOT a sourced or certified club-brand HEX value.</t>
      </text>
    </comment>
    <comment authorId="0" ref="C637">
      <text>
        <t xml:space="preserve">Illustrative generic shade assigned to this colour name for display. This is NOT a sourced or certified club-brand HEX value.</t>
      </text>
    </comment>
    <comment authorId="0" ref="D637">
      <text>
        <t xml:space="preserve">Illustrative generic shade assigned to this colour name for display. This is NOT a sourced or certified club-brand HEX value.</t>
      </text>
    </comment>
    <comment authorId="0" ref="E637">
      <text>
        <t xml:space="preserve">Illustrative generic shade assigned to this colour name for display. This is NOT a sourced or certified club-brand HEX value.</t>
      </text>
    </comment>
    <comment authorId="0" ref="F637">
      <text>
        <t xml:space="preserve">Illustrative generic shade assigned to this colour name for display. This is NOT a sourced or certified club-brand HEX value.</t>
      </text>
    </comment>
    <comment authorId="0" ref="E505">
      <text>
        <t xml:space="preserve">Illustrative generic shade assigned to this colour name for display. This is NOT a sourced or certified club-brand HEX value.</t>
      </text>
    </comment>
    <comment authorId="0" ref="F505">
      <text>
        <t xml:space="preserve">Illustrative generic shade assigned to this colour name for display. This is NOT a sourced or certified club-brand HEX value.</t>
      </text>
    </comment>
    <comment authorId="0" ref="C373">
      <text>
        <t xml:space="preserve">Illustrative generic shade assigned to this colour name for display. This is NOT a sourced or certified club-brand HEX value.</t>
      </text>
    </comment>
    <comment authorId="0" ref="D373">
      <text>
        <t xml:space="preserve">Illustrative generic shade assigned to this colour name for display. This is NOT a sourced or certified club-brand HEX value.</t>
      </text>
    </comment>
    <comment authorId="0" ref="E373">
      <text>
        <t xml:space="preserve">Illustrative generic shade assigned to this colour name for display. This is NOT a sourced or certified club-brand HEX value.</t>
      </text>
    </comment>
    <comment authorId="0" ref="F373">
      <text>
        <t xml:space="preserve">Illustrative generic shade assigned to this colour name for display. This is NOT a sourced or certified club-brand HEX value.</t>
      </text>
    </comment>
    <comment authorId="0" ref="C241">
      <text>
        <t xml:space="preserve">Illustrative generic shade assigned to this colour name for display. This is NOT a sourced or certified club-brand HEX value.</t>
      </text>
    </comment>
    <comment authorId="0" ref="D241">
      <text>
        <t xml:space="preserve">Illustrative generic shade assigned to this colour name for display. This is NOT a sourced or certified club-brand HEX value.</t>
      </text>
    </comment>
    <comment authorId="0" ref="E241">
      <text>
        <t xml:space="preserve">Illustrative generic shade assigned to this colour name for display. This is NOT a sourced or certified club-brand HEX value.</t>
      </text>
    </comment>
    <comment authorId="0" ref="F241">
      <text>
        <t xml:space="preserve">Illustrative generic shade assigned to this colour name for display. This is NOT a sourced or certified club-brand HEX value.</t>
      </text>
    </comment>
    <comment authorId="0" ref="C109">
      <text>
        <t xml:space="preserve">Illustrative generic shade assigned to this colour name for display. This is NOT a sourced or certified club-brand HEX value.</t>
      </text>
    </comment>
    <comment authorId="0" ref="D109">
      <text>
        <t xml:space="preserve">Illustrative generic shade assigned to this colour name for display. This is NOT a sourced or certified club-brand HEX value.</t>
      </text>
    </comment>
    <comment authorId="0" ref="E109">
      <text>
        <t xml:space="preserve">Illustrative generic shade assigned to this colour name for display. This is NOT a sourced or certified club-brand HEX value.</t>
      </text>
    </comment>
    <comment authorId="0" ref="F109">
      <text>
        <t xml:space="preserve">Illustrative generic shade assigned to this colour name for display. This is NOT a sourced or certified club-brand HEX value.</t>
      </text>
    </comment>
    <comment authorId="0" ref="C638">
      <text>
        <t xml:space="preserve">Illustrative generic shade assigned to this colour name for display. This is NOT a sourced or certified club-brand HEX value.</t>
      </text>
    </comment>
    <comment authorId="0" ref="D638">
      <text>
        <t xml:space="preserve">Illustrative generic shade assigned to this colour name for display. This is NOT a sourced or certified club-brand HEX value.</t>
      </text>
    </comment>
    <comment authorId="0" ref="E638">
      <text>
        <t xml:space="preserve">Illustrative generic shade assigned to this colour name for display. This is NOT a sourced or certified club-brand HEX value.</t>
      </text>
    </comment>
    <comment authorId="0" ref="F638">
      <text>
        <t xml:space="preserve">Illustrative generic shade assigned to this colour name for display. This is NOT a sourced or certified club-brand HEX value.</t>
      </text>
    </comment>
    <comment authorId="0" ref="C506">
      <text>
        <t xml:space="preserve">Illustrative generic shade assigned to this colour name for display. This is NOT a sourced or certified club-brand HEX value.</t>
      </text>
    </comment>
    <comment authorId="0" ref="D506">
      <text>
        <t xml:space="preserve">Illustrative generic shade assigned to this colour name for display. This is NOT a sourced or certified club-brand HEX value.</t>
      </text>
    </comment>
    <comment authorId="0" ref="E506">
      <text>
        <t xml:space="preserve">Illustrative generic shade assigned to this colour name for display. This is NOT a sourced or certified club-brand HEX value.</t>
      </text>
    </comment>
    <comment authorId="0" ref="F506">
      <text>
        <t xml:space="preserve">Illustrative generic shade assigned to this colour name for display. This is NOT a sourced or certified club-brand HEX value.</t>
      </text>
    </comment>
    <comment authorId="0" ref="E374">
      <text>
        <t xml:space="preserve">Illustrative generic shade assigned to this colour name for display. This is NOT a sourced or certified club-brand HEX value.</t>
      </text>
    </comment>
    <comment authorId="0" ref="F374">
      <text>
        <t xml:space="preserve">Illustrative generic shade assigned to this colour name for display. This is NOT a sourced or certified club-brand HEX value.</t>
      </text>
    </comment>
    <comment authorId="0" ref="C242">
      <text>
        <t xml:space="preserve">Illustrative generic shade assigned to this colour name for display. This is NOT a sourced or certified club-brand HEX value.</t>
      </text>
    </comment>
    <comment authorId="0" ref="D242">
      <text>
        <t xml:space="preserve">Illustrative generic shade assigned to this colour name for display. This is NOT a sourced or certified club-brand HEX value.</t>
      </text>
    </comment>
    <comment authorId="0" ref="E242">
      <text>
        <t xml:space="preserve">Illustrative generic shade assigned to this colour name for display. This is NOT a sourced or certified club-brand HEX value.</t>
      </text>
    </comment>
    <comment authorId="0" ref="F242">
      <text>
        <t xml:space="preserve">Illustrative generic shade assigned to this colour name for display. This is NOT a sourced or certified club-brand HEX value.</t>
      </text>
    </comment>
    <comment authorId="0" ref="C110">
      <text>
        <t xml:space="preserve">Illustrative generic shade assigned to this colour name for display. This is NOT a sourced or certified club-brand HEX value.</t>
      </text>
    </comment>
    <comment authorId="0" ref="D110">
      <text>
        <t xml:space="preserve">Illustrative generic shade assigned to this colour name for display. This is NOT a sourced or certified club-brand HEX value.</t>
      </text>
    </comment>
    <comment authorId="0" ref="E110">
      <text>
        <t xml:space="preserve">Illustrative generic shade assigned to this colour name for display. This is NOT a sourced or certified club-brand HEX value.</t>
      </text>
    </comment>
    <comment authorId="0" ref="F110">
      <text>
        <t xml:space="preserve">Illustrative generic shade assigned to this colour name for display. This is NOT a sourced or certified club-brand HEX value.</t>
      </text>
    </comment>
    <comment authorId="0" ref="E639">
      <text>
        <t xml:space="preserve">Illustrative generic shade assigned to this colour name for display. This is NOT a sourced or certified club-brand HEX value.</t>
      </text>
    </comment>
    <comment authorId="0" ref="F639">
      <text>
        <t xml:space="preserve">Illustrative generic shade assigned to this colour name for display. This is NOT a sourced or certified club-brand HEX value.</t>
      </text>
    </comment>
    <comment authorId="0" ref="C507">
      <text>
        <t xml:space="preserve">Illustrative generic shade assigned to this colour name for display. This is NOT a sourced or certified club-brand HEX value.</t>
      </text>
    </comment>
    <comment authorId="0" ref="D507">
      <text>
        <t xml:space="preserve">Illustrative generic shade assigned to this colour name for display. This is NOT a sourced or certified club-brand HEX value.</t>
      </text>
    </comment>
    <comment authorId="0" ref="E507">
      <text>
        <t xml:space="preserve">Illustrative generic shade assigned to this colour name for display. This is NOT a sourced or certified club-brand HEX value.</t>
      </text>
    </comment>
    <comment authorId="0" ref="F507">
      <text>
        <t xml:space="preserve">Illustrative generic shade assigned to this colour name for display. This is NOT a sourced or certified club-brand HEX value.</t>
      </text>
    </comment>
    <comment authorId="0" ref="E375">
      <text>
        <t xml:space="preserve">Illustrative generic shade assigned to this colour name for display. This is NOT a sourced or certified club-brand HEX value.</t>
      </text>
    </comment>
    <comment authorId="0" ref="F375">
      <text>
        <t xml:space="preserve">Illustrative generic shade assigned to this colour name for display. This is NOT a sourced or certified club-brand HEX value.</t>
      </text>
    </comment>
    <comment authorId="0" ref="C243">
      <text>
        <t xml:space="preserve">Illustrative generic shade assigned to this colour name for display. This is NOT a sourced or certified club-brand HEX value.</t>
      </text>
    </comment>
    <comment authorId="0" ref="D243">
      <text>
        <t xml:space="preserve">Illustrative generic shade assigned to this colour name for display. This is NOT a sourced or certified club-brand HEX value.</t>
      </text>
    </comment>
    <comment authorId="0" ref="E243">
      <text>
        <t xml:space="preserve">Illustrative generic shade assigned to this colour name for display. This is NOT a sourced or certified club-brand HEX value.</t>
      </text>
    </comment>
    <comment authorId="0" ref="F243">
      <text>
        <t xml:space="preserve">Illustrative generic shade assigned to this colour name for display. This is NOT a sourced or certified club-brand HEX value.</t>
      </text>
    </comment>
    <comment authorId="0" ref="C111">
      <text>
        <t xml:space="preserve">Illustrative generic shade assigned to this colour name for display. This is NOT a sourced or certified club-brand HEX value.</t>
      </text>
    </comment>
    <comment authorId="0" ref="D111">
      <text>
        <t xml:space="preserve">Illustrative generic shade assigned to this colour name for display. This is NOT a sourced or certified club-brand HEX value.</t>
      </text>
    </comment>
    <comment authorId="0" ref="E111">
      <text>
        <t xml:space="preserve">Illustrative generic shade assigned to this colour name for display. This is NOT a sourced or certified club-brand HEX value.</t>
      </text>
    </comment>
    <comment authorId="0" ref="F111">
      <text>
        <t xml:space="preserve">Illustrative generic shade assigned to this colour name for display. This is NOT a sourced or certified club-brand HEX value.</t>
      </text>
    </comment>
    <comment authorId="0" ref="C640">
      <text>
        <t xml:space="preserve">Illustrative generic shade assigned to this colour name for display. This is NOT a sourced or certified club-brand HEX value.</t>
      </text>
    </comment>
    <comment authorId="0" ref="D640">
      <text>
        <t xml:space="preserve">Illustrative generic shade assigned to this colour name for display. This is NOT a sourced or certified club-brand HEX value.</t>
      </text>
    </comment>
    <comment authorId="0" ref="E640">
      <text>
        <t xml:space="preserve">Illustrative generic shade assigned to this colour name for display. This is NOT a sourced or certified club-brand HEX value.</t>
      </text>
    </comment>
    <comment authorId="0" ref="F640">
      <text>
        <t xml:space="preserve">Illustrative generic shade assigned to this colour name for display. This is NOT a sourced or certified club-brand HEX value.</t>
      </text>
    </comment>
    <comment authorId="0" ref="E508">
      <text>
        <t xml:space="preserve">Illustrative generic shade assigned to this colour name for display. This is NOT a sourced or certified club-brand HEX value.</t>
      </text>
    </comment>
    <comment authorId="0" ref="F508">
      <text>
        <t xml:space="preserve">Illustrative generic shade assigned to this colour name for display. This is NOT a sourced or certified club-brand HEX value.</t>
      </text>
    </comment>
    <comment authorId="0" ref="E376">
      <text>
        <t xml:space="preserve">Illustrative generic shade assigned to this colour name for display. This is NOT a sourced or certified club-brand HEX value.</t>
      </text>
    </comment>
    <comment authorId="0" ref="F376">
      <text>
        <t xml:space="preserve">Illustrative generic shade assigned to this colour name for display. This is NOT a sourced or certified club-brand HEX value.</t>
      </text>
    </comment>
    <comment authorId="0" ref="C244">
      <text>
        <t xml:space="preserve">Illustrative generic shade assigned to this colour name for display. This is NOT a sourced or certified club-brand HEX value.</t>
      </text>
    </comment>
    <comment authorId="0" ref="D244">
      <text>
        <t xml:space="preserve">Illustrative generic shade assigned to this colour name for display. This is NOT a sourced or certified club-brand HEX value.</t>
      </text>
    </comment>
    <comment authorId="0" ref="E244">
      <text>
        <t xml:space="preserve">Illustrative generic shade assigned to this colour name for display. This is NOT a sourced or certified club-brand HEX value.</t>
      </text>
    </comment>
    <comment authorId="0" ref="F244">
      <text>
        <t xml:space="preserve">Illustrative generic shade assigned to this colour name for display. This is NOT a sourced or certified club-brand HEX value.</t>
      </text>
    </comment>
    <comment authorId="0" ref="C112">
      <text>
        <t xml:space="preserve">Illustrative generic shade assigned to this colour name for display. This is NOT a sourced or certified club-brand HEX value.</t>
      </text>
    </comment>
    <comment authorId="0" ref="D112">
      <text>
        <t xml:space="preserve">Illustrative generic shade assigned to this colour name for display. This is NOT a sourced or certified club-brand HEX value.</t>
      </text>
    </comment>
    <comment authorId="0" ref="E112">
      <text>
        <t xml:space="preserve">Illustrative generic shade assigned to this colour name for display. This is NOT a sourced or certified club-brand HEX value.</t>
      </text>
    </comment>
    <comment authorId="0" ref="F112">
      <text>
        <t xml:space="preserve">Illustrative generic shade assigned to this colour name for display. This is NOT a sourced or certified club-brand HEX value.</t>
      </text>
    </comment>
    <comment authorId="0" ref="E641">
      <text>
        <t xml:space="preserve">Illustrative generic shade assigned to this colour name for display. This is NOT a sourced or certified club-brand HEX value.</t>
      </text>
    </comment>
    <comment authorId="0" ref="F641">
      <text>
        <t xml:space="preserve">Illustrative generic shade assigned to this colour name for display. This is NOT a sourced or certified club-brand HEX value.</t>
      </text>
    </comment>
    <comment authorId="0" ref="C509">
      <text>
        <t xml:space="preserve">Illustrative generic shade assigned to this colour name for display. This is NOT a sourced or certified club-brand HEX value.</t>
      </text>
    </comment>
    <comment authorId="0" ref="D509">
      <text>
        <t xml:space="preserve">Illustrative generic shade assigned to this colour name for display. This is NOT a sourced or certified club-brand HEX value.</t>
      </text>
    </comment>
    <comment authorId="0" ref="E509">
      <text>
        <t xml:space="preserve">Illustrative generic shade assigned to this colour name for display. This is NOT a sourced or certified club-brand HEX value.</t>
      </text>
    </comment>
    <comment authorId="0" ref="F509">
      <text>
        <t xml:space="preserve">Illustrative generic shade assigned to this colour name for display. This is NOT a sourced or certified club-brand HEX value.</t>
      </text>
    </comment>
    <comment authorId="0" ref="E377">
      <text>
        <t xml:space="preserve">Illustrative generic shade assigned to this colour name for display. This is NOT a sourced or certified club-brand HEX value.</t>
      </text>
    </comment>
    <comment authorId="0" ref="F377">
      <text>
        <t xml:space="preserve">Illustrative generic shade assigned to this colour name for display. This is NOT a sourced or certified club-brand HEX value.</t>
      </text>
    </comment>
    <comment authorId="0" ref="C245">
      <text>
        <t xml:space="preserve">Illustrative generic shade assigned to this colour name for display. This is NOT a sourced or certified club-brand HEX value.</t>
      </text>
    </comment>
    <comment authorId="0" ref="D245">
      <text>
        <t xml:space="preserve">Illustrative generic shade assigned to this colour name for display. This is NOT a sourced or certified club-brand HEX value.</t>
      </text>
    </comment>
    <comment authorId="0" ref="E245">
      <text>
        <t xml:space="preserve">Illustrative generic shade assigned to this colour name for display. This is NOT a sourced or certified club-brand HEX value.</t>
      </text>
    </comment>
    <comment authorId="0" ref="F245">
      <text>
        <t xml:space="preserve">Illustrative generic shade assigned to this colour name for display. This is NOT a sourced or certified club-brand HEX value.</t>
      </text>
    </comment>
    <comment authorId="0" ref="C113">
      <text>
        <t xml:space="preserve">Illustrative generic shade assigned to this colour name for display. This is NOT a sourced or certified club-brand HEX value.</t>
      </text>
    </comment>
    <comment authorId="0" ref="D113">
      <text>
        <t xml:space="preserve">Illustrative generic shade assigned to this colour name for display. This is NOT a sourced or certified club-brand HEX value.</t>
      </text>
    </comment>
    <comment authorId="0" ref="E113">
      <text>
        <t xml:space="preserve">Illustrative generic shade assigned to this colour name for display. This is NOT a sourced or certified club-brand HEX value.</t>
      </text>
    </comment>
    <comment authorId="0" ref="F113">
      <text>
        <t xml:space="preserve">Illustrative generic shade assigned to this colour name for display. This is NOT a sourced or certified club-brand HEX value.</t>
      </text>
    </comment>
    <comment authorId="0" ref="C642">
      <text>
        <t xml:space="preserve">Illustrative generic shade assigned to this colour name for display. This is NOT a sourced or certified club-brand HEX value.</t>
      </text>
    </comment>
    <comment authorId="0" ref="D642">
      <text>
        <t xml:space="preserve">Illustrative generic shade assigned to this colour name for display. This is NOT a sourced or certified club-brand HEX value.</t>
      </text>
    </comment>
    <comment authorId="0" ref="E642">
      <text>
        <t xml:space="preserve">Illustrative generic shade assigned to this colour name for display. This is NOT a sourced or certified club-brand HEX value.</t>
      </text>
    </comment>
    <comment authorId="0" ref="F642">
      <text>
        <t xml:space="preserve">Illustrative generic shade assigned to this colour name for display. This is NOT a sourced or certified club-brand HEX value.</t>
      </text>
    </comment>
    <comment authorId="0" ref="E510">
      <text>
        <t xml:space="preserve">Illustrative generic shade assigned to this colour name for display. This is NOT a sourced or certified club-brand HEX value.</t>
      </text>
    </comment>
    <comment authorId="0" ref="F510">
      <text>
        <t xml:space="preserve">Illustrative generic shade assigned to this colour name for display. This is NOT a sourced or certified club-brand HEX value.</t>
      </text>
    </comment>
    <comment authorId="0" ref="E378">
      <text>
        <t xml:space="preserve">Illustrative generic shade assigned to this colour name for display. This is NOT a sourced or certified club-brand HEX value.</t>
      </text>
    </comment>
    <comment authorId="0" ref="F378">
      <text>
        <t xml:space="preserve">Illustrative generic shade assigned to this colour name for display. This is NOT a sourced or certified club-brand HEX value.</t>
      </text>
    </comment>
    <comment authorId="0" ref="C246">
      <text>
        <t xml:space="preserve">Illustrative generic shade assigned to this colour name for display. This is NOT a sourced or certified club-brand HEX value.</t>
      </text>
    </comment>
    <comment authorId="0" ref="D246">
      <text>
        <t xml:space="preserve">Illustrative generic shade assigned to this colour name for display. This is NOT a sourced or certified club-brand HEX value.</t>
      </text>
    </comment>
    <comment authorId="0" ref="E246">
      <text>
        <t xml:space="preserve">Illustrative generic shade assigned to this colour name for display. This is NOT a sourced or certified club-brand HEX value.</t>
      </text>
    </comment>
    <comment authorId="0" ref="F246">
      <text>
        <t xml:space="preserve">Illustrative generic shade assigned to this colour name for display. This is NOT a sourced or certified club-brand HEX value.</t>
      </text>
    </comment>
    <comment authorId="0" ref="E114">
      <text>
        <t xml:space="preserve">Illustrative generic shade assigned to this colour name for display. This is NOT a sourced or certified club-brand HEX value.</t>
      </text>
    </comment>
    <comment authorId="0" ref="F114">
      <text>
        <t xml:space="preserve">Illustrative generic shade assigned to this colour name for display. This is NOT a sourced or certified club-brand HEX value.</t>
      </text>
    </comment>
    <comment authorId="0" ref="C643">
      <text>
        <t xml:space="preserve">Illustrative generic shade assigned to this colour name for display. This is NOT a sourced or certified club-brand HEX value.</t>
      </text>
    </comment>
    <comment authorId="0" ref="D643">
      <text>
        <t xml:space="preserve">Illustrative generic shade assigned to this colour name for display. This is NOT a sourced or certified club-brand HEX value.</t>
      </text>
    </comment>
    <comment authorId="0" ref="E643">
      <text>
        <t xml:space="preserve">Illustrative generic shade assigned to this colour name for display. This is NOT a sourced or certified club-brand HEX value.</t>
      </text>
    </comment>
    <comment authorId="0" ref="F643">
      <text>
        <t xml:space="preserve">Illustrative generic shade assigned to this colour name for display. This is NOT a sourced or certified club-brand HEX value.</t>
      </text>
    </comment>
    <comment authorId="0" ref="E511">
      <text>
        <t xml:space="preserve">Illustrative generic shade assigned to this colour name for display. This is NOT a sourced or certified club-brand HEX value.</t>
      </text>
    </comment>
    <comment authorId="0" ref="F511">
      <text>
        <t xml:space="preserve">Illustrative generic shade assigned to this colour name for display. This is NOT a sourced or certified club-brand HEX value.</t>
      </text>
    </comment>
    <comment authorId="0" ref="E379">
      <text>
        <t xml:space="preserve">Illustrative generic shade assigned to this colour name for display. This is NOT a sourced or certified club-brand HEX value.</t>
      </text>
    </comment>
    <comment authorId="0" ref="F379">
      <text>
        <t xml:space="preserve">Illustrative generic shade assigned to this colour name for display. This is NOT a sourced or certified club-brand HEX value.</t>
      </text>
    </comment>
    <comment authorId="0" ref="C247">
      <text>
        <t xml:space="preserve">Illustrative generic shade assigned to this colour name for display. This is NOT a sourced or certified club-brand HEX value.</t>
      </text>
    </comment>
    <comment authorId="0" ref="D247">
      <text>
        <t xml:space="preserve">Illustrative generic shade assigned to this colour name for display. This is NOT a sourced or certified club-brand HEX value.</t>
      </text>
    </comment>
    <comment authorId="0" ref="E247">
      <text>
        <t xml:space="preserve">Illustrative generic shade assigned to this colour name for display. This is NOT a sourced or certified club-brand HEX value.</t>
      </text>
    </comment>
    <comment authorId="0" ref="F247">
      <text>
        <t xml:space="preserve">Illustrative generic shade assigned to this colour name for display. This is NOT a sourced or certified club-brand HEX value.</t>
      </text>
    </comment>
    <comment authorId="0" ref="C115">
      <text>
        <t xml:space="preserve">Illustrative generic shade assigned to this colour name for display. This is NOT a sourced or certified club-brand HEX value.</t>
      </text>
    </comment>
    <comment authorId="0" ref="D115">
      <text>
        <t xml:space="preserve">Illustrative generic shade assigned to this colour name for display. This is NOT a sourced or certified club-brand HEX value.</t>
      </text>
    </comment>
    <comment authorId="0" ref="E115">
      <text>
        <t xml:space="preserve">Illustrative generic shade assigned to this colour name for display. This is NOT a sourced or certified club-brand HEX value.</t>
      </text>
    </comment>
    <comment authorId="0" ref="F115">
      <text>
        <t xml:space="preserve">Illustrative generic shade assigned to this colour name for display. This is NOT a sourced or certified club-brand HEX value.</t>
      </text>
    </comment>
    <comment authorId="0" ref="C644">
      <text>
        <t xml:space="preserve">Illustrative generic shade assigned to this colour name for display. This is NOT a sourced or certified club-brand HEX value.</t>
      </text>
    </comment>
    <comment authorId="0" ref="D644">
      <text>
        <t xml:space="preserve">Illustrative generic shade assigned to this colour name for display. This is NOT a sourced or certified club-brand HEX value.</t>
      </text>
    </comment>
    <comment authorId="0" ref="E644">
      <text>
        <t xml:space="preserve">Illustrative generic shade assigned to this colour name for display. This is NOT a sourced or certified club-brand HEX value.</t>
      </text>
    </comment>
    <comment authorId="0" ref="F644">
      <text>
        <t xml:space="preserve">Illustrative generic shade assigned to this colour name for display. This is NOT a sourced or certified club-brand HEX value.</t>
      </text>
    </comment>
    <comment authorId="0" ref="C512">
      <text>
        <t xml:space="preserve">Illustrative generic shade assigned to this colour name for display. This is NOT a sourced or certified club-brand HEX value.</t>
      </text>
    </comment>
    <comment authorId="0" ref="D512">
      <text>
        <t xml:space="preserve">Illustrative generic shade assigned to this colour name for display. This is NOT a sourced or certified club-brand HEX value.</t>
      </text>
    </comment>
    <comment authorId="0" ref="E512">
      <text>
        <t xml:space="preserve">Illustrative generic shade assigned to this colour name for display. This is NOT a sourced or certified club-brand HEX value.</t>
      </text>
    </comment>
    <comment authorId="0" ref="F512">
      <text>
        <t xml:space="preserve">Illustrative generic shade assigned to this colour name for display. This is NOT a sourced or certified club-brand HEX value.</t>
      </text>
    </comment>
    <comment authorId="0" ref="E380">
      <text>
        <t xml:space="preserve">Illustrative generic shade assigned to this colour name for display. This is NOT a sourced or certified club-brand HEX value.</t>
      </text>
    </comment>
    <comment authorId="0" ref="F380">
      <text>
        <t xml:space="preserve">Illustrative generic shade assigned to this colour name for display. This is NOT a sourced or certified club-brand HEX value.</t>
      </text>
    </comment>
    <comment authorId="0" ref="C248">
      <text>
        <t xml:space="preserve">Illustrative generic shade assigned to this colour name for display. This is NOT a sourced or certified club-brand HEX value.</t>
      </text>
    </comment>
    <comment authorId="0" ref="D248">
      <text>
        <t xml:space="preserve">Illustrative generic shade assigned to this colour name for display. This is NOT a sourced or certified club-brand HEX value.</t>
      </text>
    </comment>
    <comment authorId="0" ref="E248">
      <text>
        <t xml:space="preserve">Illustrative generic shade assigned to this colour name for display. This is NOT a sourced or certified club-brand HEX value.</t>
      </text>
    </comment>
    <comment authorId="0" ref="F248">
      <text>
        <t xml:space="preserve">Illustrative generic shade assigned to this colour name for display. This is NOT a sourced or certified club-brand HEX value.</t>
      </text>
    </comment>
    <comment authorId="0" ref="C116">
      <text>
        <t xml:space="preserve">Illustrative generic shade assigned to this colour name for display. This is NOT a sourced or certified club-brand HEX value.</t>
      </text>
    </comment>
    <comment authorId="0" ref="D116">
      <text>
        <t xml:space="preserve">Illustrative generic shade assigned to this colour name for display. This is NOT a sourced or certified club-brand HEX value.</t>
      </text>
    </comment>
    <comment authorId="0" ref="E116">
      <text>
        <t xml:space="preserve">Illustrative generic shade assigned to this colour name for display. This is NOT a sourced or certified club-brand HEX value.</t>
      </text>
    </comment>
    <comment authorId="0" ref="F116">
      <text>
        <t xml:space="preserve">Illustrative generic shade assigned to this colour name for display. This is NOT a sourced or certified club-brand HEX value.</t>
      </text>
    </comment>
    <comment authorId="0" ref="C645">
      <text>
        <t xml:space="preserve">Illustrative generic shade assigned to this colour name for display. This is NOT a sourced or certified club-brand HEX value.</t>
      </text>
    </comment>
    <comment authorId="0" ref="D645">
      <text>
        <t xml:space="preserve">Illustrative generic shade assigned to this colour name for display. This is NOT a sourced or certified club-brand HEX value.</t>
      </text>
    </comment>
    <comment authorId="0" ref="E645">
      <text>
        <t xml:space="preserve">Illustrative generic shade assigned to this colour name for display. This is NOT a sourced or certified club-brand HEX value.</t>
      </text>
    </comment>
    <comment authorId="0" ref="F645">
      <text>
        <t xml:space="preserve">Illustrative generic shade assigned to this colour name for display. This is NOT a sourced or certified club-brand HEX value.</t>
      </text>
    </comment>
    <comment authorId="0" ref="C513">
      <text>
        <t xml:space="preserve">Illustrative generic shade assigned to this colour name for display. This is NOT a sourced or certified club-brand HEX value.</t>
      </text>
    </comment>
    <comment authorId="0" ref="D513">
      <text>
        <t xml:space="preserve">Illustrative generic shade assigned to this colour name for display. This is NOT a sourced or certified club-brand HEX value.</t>
      </text>
    </comment>
    <comment authorId="0" ref="E513">
      <text>
        <t xml:space="preserve">Illustrative generic shade assigned to this colour name for display. This is NOT a sourced or certified club-brand HEX value.</t>
      </text>
    </comment>
    <comment authorId="0" ref="F513">
      <text>
        <t xml:space="preserve">Illustrative generic shade assigned to this colour name for display. This is NOT a sourced or certified club-brand HEX value.</t>
      </text>
    </comment>
    <comment authorId="0" ref="C381">
      <text>
        <t xml:space="preserve">Illustrative generic shade assigned to this colour name for display. This is NOT a sourced or certified club-brand HEX value.</t>
      </text>
    </comment>
    <comment authorId="0" ref="D381">
      <text>
        <t xml:space="preserve">Illustrative generic shade assigned to this colour name for display. This is NOT a sourced or certified club-brand HEX value.</t>
      </text>
    </comment>
    <comment authorId="0" ref="E381">
      <text>
        <t xml:space="preserve">Illustrative generic shade assigned to this colour name for display. This is NOT a sourced or certified club-brand HEX value.</t>
      </text>
    </comment>
    <comment authorId="0" ref="F381">
      <text>
        <t xml:space="preserve">Illustrative generic shade assigned to this colour name for display. This is NOT a sourced or certified club-brand HEX value.</t>
      </text>
    </comment>
    <comment authorId="0" ref="C249">
      <text>
        <t xml:space="preserve">Illustrative generic shade assigned to this colour name for display. This is NOT a sourced or certified club-brand HEX value.</t>
      </text>
    </comment>
    <comment authorId="0" ref="D249">
      <text>
        <t xml:space="preserve">Illustrative generic shade assigned to this colour name for display. This is NOT a sourced or certified club-brand HEX value.</t>
      </text>
    </comment>
    <comment authorId="0" ref="E249">
      <text>
        <t xml:space="preserve">Illustrative generic shade assigned to this colour name for display. This is NOT a sourced or certified club-brand HEX value.</t>
      </text>
    </comment>
    <comment authorId="0" ref="F249">
      <text>
        <t xml:space="preserve">Illustrative generic shade assigned to this colour name for display. This is NOT a sourced or certified club-brand HEX value.</t>
      </text>
    </comment>
    <comment authorId="0" ref="C117">
      <text>
        <t xml:space="preserve">Illustrative generic shade assigned to this colour name for display. This is NOT a sourced or certified club-brand HEX value.</t>
      </text>
    </comment>
    <comment authorId="0" ref="D117">
      <text>
        <t xml:space="preserve">Illustrative generic shade assigned to this colour name for display. This is NOT a sourced or certified club-brand HEX value.</t>
      </text>
    </comment>
    <comment authorId="0" ref="E117">
      <text>
        <t xml:space="preserve">Illustrative generic shade assigned to this colour name for display. This is NOT a sourced or certified club-brand HEX value.</t>
      </text>
    </comment>
    <comment authorId="0" ref="F117">
      <text>
        <t xml:space="preserve">Illustrative generic shade assigned to this colour name for display. This is NOT a sourced or certified club-brand HEX value.</t>
      </text>
    </comment>
    <comment authorId="0" ref="C646">
      <text>
        <t xml:space="preserve">Illustrative generic shade assigned to this colour name for display. This is NOT a sourced or certified club-brand HEX value.</t>
      </text>
    </comment>
    <comment authorId="0" ref="D646">
      <text>
        <t xml:space="preserve">Illustrative generic shade assigned to this colour name for display. This is NOT a sourced or certified club-brand HEX value.</t>
      </text>
    </comment>
    <comment authorId="0" ref="E646">
      <text>
        <t xml:space="preserve">Illustrative generic shade assigned to this colour name for display. This is NOT a sourced or certified club-brand HEX value.</t>
      </text>
    </comment>
    <comment authorId="0" ref="F646">
      <text>
        <t xml:space="preserve">Illustrative generic shade assigned to this colour name for display. This is NOT a sourced or certified club-brand HEX value.</t>
      </text>
    </comment>
    <comment authorId="0" ref="E514">
      <text>
        <t xml:space="preserve">Illustrative generic shade assigned to this colour name for display. This is NOT a sourced or certified club-brand HEX value.</t>
      </text>
    </comment>
    <comment authorId="0" ref="F514">
      <text>
        <t xml:space="preserve">Illustrative generic shade assigned to this colour name for display. This is NOT a sourced or certified club-brand HEX value.</t>
      </text>
    </comment>
    <comment authorId="0" ref="E382">
      <text>
        <t xml:space="preserve">Illustrative generic shade assigned to this colour name for display. This is NOT a sourced or certified club-brand HEX value.</t>
      </text>
    </comment>
    <comment authorId="0" ref="F382">
      <text>
        <t xml:space="preserve">Illustrative generic shade assigned to this colour name for display. This is NOT a sourced or certified club-brand HEX value.</t>
      </text>
    </comment>
    <comment authorId="0" ref="C250">
      <text>
        <t xml:space="preserve">Illustrative generic shade assigned to this colour name for display. This is NOT a sourced or certified club-brand HEX value.</t>
      </text>
    </comment>
    <comment authorId="0" ref="D250">
      <text>
        <t xml:space="preserve">Illustrative generic shade assigned to this colour name for display. This is NOT a sourced or certified club-brand HEX value.</t>
      </text>
    </comment>
    <comment authorId="0" ref="E250">
      <text>
        <t xml:space="preserve">Illustrative generic shade assigned to this colour name for display. This is NOT a sourced or certified club-brand HEX value.</t>
      </text>
    </comment>
    <comment authorId="0" ref="F250">
      <text>
        <t xml:space="preserve">Illustrative generic shade assigned to this colour name for display. This is NOT a sourced or certified club-brand HEX value.</t>
      </text>
    </comment>
    <comment authorId="0" ref="C118">
      <text>
        <t xml:space="preserve">Illustrative generic shade assigned to this colour name for display. This is NOT a sourced or certified club-brand HEX value.</t>
      </text>
    </comment>
    <comment authorId="0" ref="D118">
      <text>
        <t xml:space="preserve">Illustrative generic shade assigned to this colour name for display. This is NOT a sourced or certified club-brand HEX value.</t>
      </text>
    </comment>
    <comment authorId="0" ref="E118">
      <text>
        <t xml:space="preserve">Illustrative generic shade assigned to this colour name for display. This is NOT a sourced or certified club-brand HEX value.</t>
      </text>
    </comment>
    <comment authorId="0" ref="F118">
      <text>
        <t xml:space="preserve">Illustrative generic shade assigned to this colour name for display. This is NOT a sourced or certified club-brand HEX value.</t>
      </text>
    </comment>
    <comment authorId="0" ref="C647">
      <text>
        <t xml:space="preserve">Illustrative generic shade assigned to this colour name for display. This is NOT a sourced or certified club-brand HEX value.</t>
      </text>
    </comment>
    <comment authorId="0" ref="D647">
      <text>
        <t xml:space="preserve">Illustrative generic shade assigned to this colour name for display. This is NOT a sourced or certified club-brand HEX value.</t>
      </text>
    </comment>
    <comment authorId="0" ref="E647">
      <text>
        <t xml:space="preserve">Illustrative generic shade assigned to this colour name for display. This is NOT a sourced or certified club-brand HEX value.</t>
      </text>
    </comment>
    <comment authorId="0" ref="F647">
      <text>
        <t xml:space="preserve">Illustrative generic shade assigned to this colour name for display. This is NOT a sourced or certified club-brand HEX value.</t>
      </text>
    </comment>
    <comment authorId="0" ref="E515">
      <text>
        <t xml:space="preserve">Illustrative generic shade assigned to this colour name for display. This is NOT a sourced or certified club-brand HEX value.</t>
      </text>
    </comment>
    <comment authorId="0" ref="F515">
      <text>
        <t xml:space="preserve">Illustrative generic shade assigned to this colour name for display. This is NOT a sourced or certified club-brand HEX value.</t>
      </text>
    </comment>
    <comment authorId="0" ref="E383">
      <text>
        <t xml:space="preserve">Illustrative generic shade assigned to this colour name for display. This is NOT a sourced or certified club-brand HEX value.</t>
      </text>
    </comment>
    <comment authorId="0" ref="F383">
      <text>
        <t xml:space="preserve">Illustrative generic shade assigned to this colour name for display. This is NOT a sourced or certified club-brand HEX value.</t>
      </text>
    </comment>
    <comment authorId="0" ref="C251">
      <text>
        <t xml:space="preserve">Illustrative generic shade assigned to this colour name for display. This is NOT a sourced or certified club-brand HEX value.</t>
      </text>
    </comment>
    <comment authorId="0" ref="D251">
      <text>
        <t xml:space="preserve">Illustrative generic shade assigned to this colour name for display. This is NOT a sourced or certified club-brand HEX value.</t>
      </text>
    </comment>
    <comment authorId="0" ref="E251">
      <text>
        <t xml:space="preserve">Illustrative generic shade assigned to this colour name for display. This is NOT a sourced or certified club-brand HEX value.</t>
      </text>
    </comment>
    <comment authorId="0" ref="F251">
      <text>
        <t xml:space="preserve">Illustrative generic shade assigned to this colour name for display. This is NOT a sourced or certified club-brand HEX value.</t>
      </text>
    </comment>
    <comment authorId="0" ref="C119">
      <text>
        <t xml:space="preserve">Illustrative generic shade assigned to this colour name for display. This is NOT a sourced or certified club-brand HEX value.</t>
      </text>
    </comment>
    <comment authorId="0" ref="D119">
      <text>
        <t xml:space="preserve">Illustrative generic shade assigned to this colour name for display. This is NOT a sourced or certified club-brand HEX value.</t>
      </text>
    </comment>
    <comment authorId="0" ref="E119">
      <text>
        <t xml:space="preserve">Illustrative generic shade assigned to this colour name for display. This is NOT a sourced or certified club-brand HEX value.</t>
      </text>
    </comment>
    <comment authorId="0" ref="F119">
      <text>
        <t xml:space="preserve">Illustrative generic shade assigned to this colour name for display. This is NOT a sourced or certified club-brand HEX value.</t>
      </text>
    </comment>
    <comment authorId="0" ref="C648">
      <text>
        <t xml:space="preserve">Illustrative generic shade assigned to this colour name for display. This is NOT a sourced or certified club-brand HEX value.</t>
      </text>
    </comment>
    <comment authorId="0" ref="D648">
      <text>
        <t xml:space="preserve">Illustrative generic shade assigned to this colour name for display. This is NOT a sourced or certified club-brand HEX value.</t>
      </text>
    </comment>
    <comment authorId="0" ref="E648">
      <text>
        <t xml:space="preserve">Illustrative generic shade assigned to this colour name for display. This is NOT a sourced or certified club-brand HEX value.</t>
      </text>
    </comment>
    <comment authorId="0" ref="F648">
      <text>
        <t xml:space="preserve">Illustrative generic shade assigned to this colour name for display. This is NOT a sourced or certified club-brand HEX value.</t>
      </text>
    </comment>
    <comment authorId="0" ref="E516">
      <text>
        <t xml:space="preserve">Illustrative generic shade assigned to this colour name for display. This is NOT a sourced or certified club-brand HEX value.</t>
      </text>
    </comment>
    <comment authorId="0" ref="F516">
      <text>
        <t xml:space="preserve">Illustrative generic shade assigned to this colour name for display. This is NOT a sourced or certified club-brand HEX value.</t>
      </text>
    </comment>
    <comment authorId="0" ref="C384">
      <text>
        <t xml:space="preserve">Illustrative generic shade assigned to this colour name for display. This is NOT a sourced or certified club-brand HEX value.</t>
      </text>
    </comment>
    <comment authorId="0" ref="D384">
      <text>
        <t xml:space="preserve">Illustrative generic shade assigned to this colour name for display. This is NOT a sourced or certified club-brand HEX value.</t>
      </text>
    </comment>
    <comment authorId="0" ref="E384">
      <text>
        <t xml:space="preserve">Illustrative generic shade assigned to this colour name for display. This is NOT a sourced or certified club-brand HEX value.</t>
      </text>
    </comment>
    <comment authorId="0" ref="F384">
      <text>
        <t xml:space="preserve">Illustrative generic shade assigned to this colour name for display. This is NOT a sourced or certified club-brand HEX value.</t>
      </text>
    </comment>
    <comment authorId="0" ref="C252">
      <text>
        <t xml:space="preserve">Illustrative generic shade assigned to this colour name for display. This is NOT a sourced or certified club-brand HEX value.</t>
      </text>
    </comment>
    <comment authorId="0" ref="D252">
      <text>
        <t xml:space="preserve">Illustrative generic shade assigned to this colour name for display. This is NOT a sourced or certified club-brand HEX value.</t>
      </text>
    </comment>
    <comment authorId="0" ref="E252">
      <text>
        <t xml:space="preserve">Illustrative generic shade assigned to this colour name for display. This is NOT a sourced or certified club-brand HEX value.</t>
      </text>
    </comment>
    <comment authorId="0" ref="F252">
      <text>
        <t xml:space="preserve">Illustrative generic shade assigned to this colour name for display. This is NOT a sourced or certified club-brand HEX value.</t>
      </text>
    </comment>
    <comment authorId="0" ref="C120">
      <text>
        <t xml:space="preserve">Illustrative generic shade assigned to this colour name for display. This is NOT a sourced or certified club-brand HEX value.</t>
      </text>
    </comment>
    <comment authorId="0" ref="D120">
      <text>
        <t xml:space="preserve">Illustrative generic shade assigned to this colour name for display. This is NOT a sourced or certified club-brand HEX value.</t>
      </text>
    </comment>
    <comment authorId="0" ref="E120">
      <text>
        <t xml:space="preserve">Illustrative generic shade assigned to this colour name for display. This is NOT a sourced or certified club-brand HEX value.</t>
      </text>
    </comment>
    <comment authorId="0" ref="F120">
      <text>
        <t xml:space="preserve">Illustrative generic shade assigned to this colour name for display. This is NOT a sourced or certified club-brand HEX value.</t>
      </text>
    </comment>
    <comment authorId="0" ref="C649">
      <text>
        <t xml:space="preserve">Illustrative generic shade assigned to this colour name for display. This is NOT a sourced or certified club-brand HEX value.</t>
      </text>
    </comment>
    <comment authorId="0" ref="D649">
      <text>
        <t xml:space="preserve">Illustrative generic shade assigned to this colour name for display. This is NOT a sourced or certified club-brand HEX value.</t>
      </text>
    </comment>
    <comment authorId="0" ref="E649">
      <text>
        <t xml:space="preserve">Illustrative generic shade assigned to this colour name for display. This is NOT a sourced or certified club-brand HEX value.</t>
      </text>
    </comment>
    <comment authorId="0" ref="F649">
      <text>
        <t xml:space="preserve">Illustrative generic shade assigned to this colour name for display. This is NOT a sourced or certified club-brand HEX value.</t>
      </text>
    </comment>
    <comment authorId="0" ref="E517">
      <text>
        <t xml:space="preserve">Illustrative generic shade assigned to this colour name for display. This is NOT a sourced or certified club-brand HEX value.</t>
      </text>
    </comment>
    <comment authorId="0" ref="F517">
      <text>
        <t xml:space="preserve">Illustrative generic shade assigned to this colour name for display. This is NOT a sourced or certified club-brand HEX value.</t>
      </text>
    </comment>
    <comment authorId="0" ref="C385">
      <text>
        <t xml:space="preserve">Illustrative generic shade assigned to this colour name for display. This is NOT a sourced or certified club-brand HEX value.</t>
      </text>
    </comment>
    <comment authorId="0" ref="D385">
      <text>
        <t xml:space="preserve">Illustrative generic shade assigned to this colour name for display. This is NOT a sourced or certified club-brand HEX value.</t>
      </text>
    </comment>
    <comment authorId="0" ref="E385">
      <text>
        <t xml:space="preserve">Illustrative generic shade assigned to this colour name for display. This is NOT a sourced or certified club-brand HEX value.</t>
      </text>
    </comment>
    <comment authorId="0" ref="F385">
      <text>
        <t xml:space="preserve">Illustrative generic shade assigned to this colour name for display. This is NOT a sourced or certified club-brand HEX value.</t>
      </text>
    </comment>
    <comment authorId="0" ref="C253">
      <text>
        <t xml:space="preserve">Illustrative generic shade assigned to this colour name for display. This is NOT a sourced or certified club-brand HEX value.</t>
      </text>
    </comment>
    <comment authorId="0" ref="D253">
      <text>
        <t xml:space="preserve">Illustrative generic shade assigned to this colour name for display. This is NOT a sourced or certified club-brand HEX value.</t>
      </text>
    </comment>
    <comment authorId="0" ref="E253">
      <text>
        <t xml:space="preserve">Illustrative generic shade assigned to this colour name for display. This is NOT a sourced or certified club-brand HEX value.</t>
      </text>
    </comment>
    <comment authorId="0" ref="F253">
      <text>
        <t xml:space="preserve">Illustrative generic shade assigned to this colour name for display. This is NOT a sourced or certified club-brand HEX value.</t>
      </text>
    </comment>
    <comment authorId="0" ref="C121">
      <text>
        <t xml:space="preserve">Illustrative generic shade assigned to this colour name for display. This is NOT a sourced or certified club-brand HEX value.</t>
      </text>
    </comment>
    <comment authorId="0" ref="D121">
      <text>
        <t xml:space="preserve">Illustrative generic shade assigned to this colour name for display. This is NOT a sourced or certified club-brand HEX value.</t>
      </text>
    </comment>
    <comment authorId="0" ref="E121">
      <text>
        <t xml:space="preserve">Illustrative generic shade assigned to this colour name for display. This is NOT a sourced or certified club-brand HEX value.</t>
      </text>
    </comment>
    <comment authorId="0" ref="F121">
      <text>
        <t xml:space="preserve">Illustrative generic shade assigned to this colour name for display. This is NOT a sourced or certified club-brand HEX value.</t>
      </text>
    </comment>
    <comment authorId="0" ref="C650">
      <text>
        <t xml:space="preserve">Illustrative generic shade assigned to this colour name for display. This is NOT a sourced or certified club-brand HEX value.</t>
      </text>
    </comment>
    <comment authorId="0" ref="D650">
      <text>
        <t xml:space="preserve">Illustrative generic shade assigned to this colour name for display. This is NOT a sourced or certified club-brand HEX value.</t>
      </text>
    </comment>
    <comment authorId="0" ref="E650">
      <text>
        <t xml:space="preserve">Illustrative generic shade assigned to this colour name for display. This is NOT a sourced or certified club-brand HEX value.</t>
      </text>
    </comment>
    <comment authorId="0" ref="F650">
      <text>
        <t xml:space="preserve">Illustrative generic shade assigned to this colour name for display. This is NOT a sourced or certified club-brand HEX value.</t>
      </text>
    </comment>
    <comment authorId="0" ref="C518">
      <text>
        <t xml:space="preserve">Illustrative generic shade assigned to this colour name for display. This is NOT a sourced or certified club-brand HEX value.</t>
      </text>
    </comment>
    <comment authorId="0" ref="D518">
      <text>
        <t xml:space="preserve">Illustrative generic shade assigned to this colour name for display. This is NOT a sourced or certified club-brand HEX value.</t>
      </text>
    </comment>
    <comment authorId="0" ref="E518">
      <text>
        <t xml:space="preserve">Illustrative generic shade assigned to this colour name for display. This is NOT a sourced or certified club-brand HEX value.</t>
      </text>
    </comment>
    <comment authorId="0" ref="F518">
      <text>
        <t xml:space="preserve">Illustrative generic shade assigned to this colour name for display. This is NOT a sourced or certified club-brand HEX value.</t>
      </text>
    </comment>
    <comment authorId="0" ref="E386">
      <text>
        <t xml:space="preserve">Illustrative generic shade assigned to this colour name for display. This is NOT a sourced or certified club-brand HEX value.</t>
      </text>
    </comment>
    <comment authorId="0" ref="F386">
      <text>
        <t xml:space="preserve">Illustrative generic shade assigned to this colour name for display. This is NOT a sourced or certified club-brand HEX value.</t>
      </text>
    </comment>
    <comment authorId="0" ref="C254">
      <text>
        <t xml:space="preserve">Illustrative generic shade assigned to this colour name for display. This is NOT a sourced or certified club-brand HEX value.</t>
      </text>
    </comment>
    <comment authorId="0" ref="D254">
      <text>
        <t xml:space="preserve">Illustrative generic shade assigned to this colour name for display. This is NOT a sourced or certified club-brand HEX value.</t>
      </text>
    </comment>
    <comment authorId="0" ref="E254">
      <text>
        <t xml:space="preserve">Illustrative generic shade assigned to this colour name for display. This is NOT a sourced or certified club-brand HEX value.</t>
      </text>
    </comment>
    <comment authorId="0" ref="F254">
      <text>
        <t xml:space="preserve">Illustrative generic shade assigned to this colour name for display. This is NOT a sourced or certified club-brand HEX value.</t>
      </text>
    </comment>
    <comment authorId="0" ref="E122">
      <text>
        <t xml:space="preserve">Illustrative generic shade assigned to this colour name for display. This is NOT a sourced or certified club-brand HEX value.</t>
      </text>
    </comment>
    <comment authorId="0" ref="F122">
      <text>
        <t xml:space="preserve">Illustrative generic shade assigned to this colour name for display. This is NOT a sourced or certified club-brand HEX value.</t>
      </text>
    </comment>
    <comment authorId="0" ref="C651">
      <text>
        <t xml:space="preserve">Illustrative generic shade assigned to this colour name for display. This is NOT a sourced or certified club-brand HEX value.</t>
      </text>
    </comment>
    <comment authorId="0" ref="D651">
      <text>
        <t xml:space="preserve">Illustrative generic shade assigned to this colour name for display. This is NOT a sourced or certified club-brand HEX value.</t>
      </text>
    </comment>
    <comment authorId="0" ref="E651">
      <text>
        <t xml:space="preserve">Illustrative generic shade assigned to this colour name for display. This is NOT a sourced or certified club-brand HEX value.</t>
      </text>
    </comment>
    <comment authorId="0" ref="F651">
      <text>
        <t xml:space="preserve">Illustrative generic shade assigned to this colour name for display. This is NOT a sourced or certified club-brand HEX value.</t>
      </text>
    </comment>
    <comment authorId="0" ref="C519">
      <text>
        <t xml:space="preserve">Illustrative generic shade assigned to this colour name for display. This is NOT a sourced or certified club-brand HEX value.</t>
      </text>
    </comment>
    <comment authorId="0" ref="D519">
      <text>
        <t xml:space="preserve">Illustrative generic shade assigned to this colour name for display. This is NOT a sourced or certified club-brand HEX value.</t>
      </text>
    </comment>
    <comment authorId="0" ref="E519">
      <text>
        <t xml:space="preserve">Illustrative generic shade assigned to this colour name for display. This is NOT a sourced or certified club-brand HEX value.</t>
      </text>
    </comment>
    <comment authorId="0" ref="F519">
      <text>
        <t xml:space="preserve">Illustrative generic shade assigned to this colour name for display. This is NOT a sourced or certified club-brand HEX value.</t>
      </text>
    </comment>
    <comment authorId="0" ref="C387">
      <text>
        <t xml:space="preserve">Illustrative generic shade assigned to this colour name for display. This is NOT a sourced or certified club-brand HEX value.</t>
      </text>
    </comment>
    <comment authorId="0" ref="E387">
      <text>
        <t xml:space="preserve">Illustrative generic shade assigned to this colour name for display. This is NOT a sourced or certified club-brand HEX value.</t>
      </text>
    </comment>
    <comment authorId="0" ref="F387">
      <text>
        <t xml:space="preserve">Illustrative generic shade assigned to this colour name for display. This is NOT a sourced or certified club-brand HEX value.</t>
      </text>
    </comment>
    <comment authorId="0" ref="C255">
      <text>
        <t xml:space="preserve">Illustrative generic shade assigned to this colour name for display. This is NOT a sourced or certified club-brand HEX value.</t>
      </text>
    </comment>
    <comment authorId="0" ref="D255">
      <text>
        <t xml:space="preserve">Illustrative generic shade assigned to this colour name for display. This is NOT a sourced or certified club-brand HEX value.</t>
      </text>
    </comment>
    <comment authorId="0" ref="E255">
      <text>
        <t xml:space="preserve">Illustrative generic shade assigned to this colour name for display. This is NOT a sourced or certified club-brand HEX value.</t>
      </text>
    </comment>
    <comment authorId="0" ref="F255">
      <text>
        <t xml:space="preserve">Illustrative generic shade assigned to this colour name for display. This is NOT a sourced or certified club-brand HEX value.</t>
      </text>
    </comment>
    <comment authorId="0" ref="C123">
      <text>
        <t xml:space="preserve">Illustrative generic shade assigned to this colour name for display. This is NOT a sourced or certified club-brand HEX value.</t>
      </text>
    </comment>
    <comment authorId="0" ref="D123">
      <text>
        <t xml:space="preserve">Illustrative generic shade assigned to this colour name for display. This is NOT a sourced or certified club-brand HEX value.</t>
      </text>
    </comment>
    <comment authorId="0" ref="E123">
      <text>
        <t xml:space="preserve">Illustrative generic shade assigned to this colour name for display. This is NOT a sourced or certified club-brand HEX value.</t>
      </text>
    </comment>
    <comment authorId="0" ref="F123">
      <text>
        <t xml:space="preserve">Illustrative generic shade assigned to this colour name for display. This is NOT a sourced or certified club-brand HEX value.</t>
      </text>
    </comment>
    <comment authorId="0" ref="C652">
      <text>
        <t xml:space="preserve">Illustrative generic shade assigned to this colour name for display. This is NOT a sourced or certified club-brand HEX value.</t>
      </text>
    </comment>
    <comment authorId="0" ref="D652">
      <text>
        <t xml:space="preserve">Illustrative generic shade assigned to this colour name for display. This is NOT a sourced or certified club-brand HEX value.</t>
      </text>
    </comment>
    <comment authorId="0" ref="E652">
      <text>
        <t xml:space="preserve">Illustrative generic shade assigned to this colour name for display. This is NOT a sourced or certified club-brand HEX value.</t>
      </text>
    </comment>
    <comment authorId="0" ref="F652">
      <text>
        <t xml:space="preserve">Illustrative generic shade assigned to this colour name for display. This is NOT a sourced or certified club-brand HEX value.</t>
      </text>
    </comment>
    <comment authorId="0" ref="E520">
      <text>
        <t xml:space="preserve">Illustrative generic shade assigned to this colour name for display. This is NOT a sourced or certified club-brand HEX value.</t>
      </text>
    </comment>
    <comment authorId="0" ref="F520">
      <text>
        <t xml:space="preserve">Illustrative generic shade assigned to this colour name for display. This is NOT a sourced or certified club-brand HEX value.</t>
      </text>
    </comment>
    <comment authorId="0" ref="E388">
      <text>
        <t xml:space="preserve">Illustrative generic shade assigned to this colour name for display. This is NOT a sourced or certified club-brand HEX value.</t>
      </text>
    </comment>
    <comment authorId="0" ref="F388">
      <text>
        <t xml:space="preserve">Illustrative generic shade assigned to this colour name for display. This is NOT a sourced or certified club-brand HEX value.</t>
      </text>
    </comment>
    <comment authorId="0" ref="C256">
      <text>
        <t xml:space="preserve">Illustrative generic shade assigned to this colour name for display. This is NOT a sourced or certified club-brand HEX value.</t>
      </text>
    </comment>
    <comment authorId="0" ref="D256">
      <text>
        <t xml:space="preserve">Illustrative generic shade assigned to this colour name for display. This is NOT a sourced or certified club-brand HEX value.</t>
      </text>
    </comment>
    <comment authorId="0" ref="E256">
      <text>
        <t xml:space="preserve">Illustrative generic shade assigned to this colour name for display. This is NOT a sourced or certified club-brand HEX value.</t>
      </text>
    </comment>
    <comment authorId="0" ref="F256">
      <text>
        <t xml:space="preserve">Illustrative generic shade assigned to this colour name for display. This is NOT a sourced or certified club-brand HEX value.</t>
      </text>
    </comment>
    <comment authorId="0" ref="C124">
      <text>
        <t xml:space="preserve">Illustrative generic shade assigned to this colour name for display. This is NOT a sourced or certified club-brand HEX value.</t>
      </text>
    </comment>
    <comment authorId="0" ref="D124">
      <text>
        <t xml:space="preserve">Illustrative generic shade assigned to this colour name for display. This is NOT a sourced or certified club-brand HEX value.</t>
      </text>
    </comment>
    <comment authorId="0" ref="E124">
      <text>
        <t xml:space="preserve">Illustrative generic shade assigned to this colour name for display. This is NOT a sourced or certified club-brand HEX value.</t>
      </text>
    </comment>
    <comment authorId="0" ref="F124">
      <text>
        <t xml:space="preserve">Illustrative generic shade assigned to this colour name for display. This is NOT a sourced or certified club-brand HEX value.</t>
      </text>
    </comment>
    <comment authorId="0" ref="C653">
      <text>
        <t xml:space="preserve">Illustrative generic shade assigned to this colour name for display. This is NOT a sourced or certified club-brand HEX value.</t>
      </text>
    </comment>
    <comment authorId="0" ref="D653">
      <text>
        <t xml:space="preserve">Illustrative generic shade assigned to this colour name for display. This is NOT a sourced or certified club-brand HEX value.</t>
      </text>
    </comment>
    <comment authorId="0" ref="E653">
      <text>
        <t xml:space="preserve">Illustrative generic shade assigned to this colour name for display. This is NOT a sourced or certified club-brand HEX value.</t>
      </text>
    </comment>
    <comment authorId="0" ref="F653">
      <text>
        <t xml:space="preserve">Illustrative generic shade assigned to this colour name for display. This is NOT a sourced or certified club-brand HEX value.</t>
      </text>
    </comment>
    <comment authorId="0" ref="C521">
      <text>
        <t xml:space="preserve">Illustrative generic shade assigned to this colour name for display. This is NOT a sourced or certified club-brand HEX value.</t>
      </text>
    </comment>
    <comment authorId="0" ref="D521">
      <text>
        <t xml:space="preserve">Illustrative generic shade assigned to this colour name for display. This is NOT a sourced or certified club-brand HEX value.</t>
      </text>
    </comment>
    <comment authorId="0" ref="E521">
      <text>
        <t xml:space="preserve">Illustrative generic shade assigned to this colour name for display. This is NOT a sourced or certified club-brand HEX value.</t>
      </text>
    </comment>
    <comment authorId="0" ref="F521">
      <text>
        <t xml:space="preserve">Illustrative generic shade assigned to this colour name for display. This is NOT a sourced or certified club-brand HEX value.</t>
      </text>
    </comment>
    <comment authorId="0" ref="C389">
      <text>
        <t xml:space="preserve">Illustrative generic shade assigned to this colour name for display. This is NOT a sourced or certified club-brand HEX value.</t>
      </text>
    </comment>
    <comment authorId="0" ref="D389">
      <text>
        <t xml:space="preserve">Illustrative generic shade assigned to this colour name for display. This is NOT a sourced or certified club-brand HEX value.</t>
      </text>
    </comment>
    <comment authorId="0" ref="E389">
      <text>
        <t xml:space="preserve">Illustrative generic shade assigned to this colour name for display. This is NOT a sourced or certified club-brand HEX value.</t>
      </text>
    </comment>
    <comment authorId="0" ref="F389">
      <text>
        <t xml:space="preserve">Illustrative generic shade assigned to this colour name for display. This is NOT a sourced or certified club-brand HEX value.</t>
      </text>
    </comment>
    <comment authorId="0" ref="C257">
      <text>
        <t xml:space="preserve">Illustrative generic shade assigned to this colour name for display. This is NOT a sourced or certified club-brand HEX value.</t>
      </text>
    </comment>
    <comment authorId="0" ref="D257">
      <text>
        <t xml:space="preserve">Illustrative generic shade assigned to this colour name for display. This is NOT a sourced or certified club-brand HEX value.</t>
      </text>
    </comment>
    <comment authorId="0" ref="E257">
      <text>
        <t xml:space="preserve">Illustrative generic shade assigned to this colour name for display. This is NOT a sourced or certified club-brand HEX value.</t>
      </text>
    </comment>
    <comment authorId="0" ref="F257">
      <text>
        <t xml:space="preserve">Illustrative generic shade assigned to this colour name for display. This is NOT a sourced or certified club-brand HEX value.</t>
      </text>
    </comment>
    <comment authorId="0" ref="C125">
      <text>
        <t xml:space="preserve">Illustrative generic shade assigned to this colour name for display. This is NOT a sourced or certified club-brand HEX value.</t>
      </text>
    </comment>
    <comment authorId="0" ref="D125">
      <text>
        <t xml:space="preserve">Illustrative generic shade assigned to this colour name for display. This is NOT a sourced or certified club-brand HEX value.</t>
      </text>
    </comment>
    <comment authorId="0" ref="E125">
      <text>
        <t xml:space="preserve">Illustrative generic shade assigned to this colour name for display. This is NOT a sourced or certified club-brand HEX value.</t>
      </text>
    </comment>
    <comment authorId="0" ref="F125">
      <text>
        <t xml:space="preserve">Illustrative generic shade assigned to this colour name for display. This is NOT a sourced or certified club-brand HEX value.</t>
      </text>
    </comment>
    <comment authorId="0" ref="C654">
      <text>
        <t xml:space="preserve">Illustrative generic shade assigned to this colour name for display. This is NOT a sourced or certified club-brand HEX value.</t>
      </text>
    </comment>
    <comment authorId="0" ref="D654">
      <text>
        <t xml:space="preserve">Illustrative generic shade assigned to this colour name for display. This is NOT a sourced or certified club-brand HEX value.</t>
      </text>
    </comment>
    <comment authorId="0" ref="E654">
      <text>
        <t xml:space="preserve">Illustrative generic shade assigned to this colour name for display. This is NOT a sourced or certified club-brand HEX value.</t>
      </text>
    </comment>
    <comment authorId="0" ref="F654">
      <text>
        <t xml:space="preserve">Illustrative generic shade assigned to this colour name for display. This is NOT a sourced or certified club-brand HEX value.</t>
      </text>
    </comment>
    <comment authorId="0" ref="E522">
      <text>
        <t xml:space="preserve">Illustrative generic shade assigned to this colour name for display. This is NOT a sourced or certified club-brand HEX value.</t>
      </text>
    </comment>
    <comment authorId="0" ref="F522">
      <text>
        <t xml:space="preserve">Illustrative generic shade assigned to this colour name for display. This is NOT a sourced or certified club-brand HEX value.</t>
      </text>
    </comment>
    <comment authorId="0" ref="E390">
      <text>
        <t xml:space="preserve">Illustrative generic shade assigned to this colour name for display. This is NOT a sourced or certified club-brand HEX value.</t>
      </text>
    </comment>
    <comment authorId="0" ref="F390">
      <text>
        <t xml:space="preserve">Illustrative generic shade assigned to this colour name for display. This is NOT a sourced or certified club-brand HEX value.</t>
      </text>
    </comment>
    <comment authorId="0" ref="C258">
      <text>
        <t xml:space="preserve">Illustrative generic shade assigned to this colour name for display. This is NOT a sourced or certified club-brand HEX value.</t>
      </text>
    </comment>
    <comment authorId="0" ref="D258">
      <text>
        <t xml:space="preserve">Illustrative generic shade assigned to this colour name for display. This is NOT a sourced or certified club-brand HEX value.</t>
      </text>
    </comment>
    <comment authorId="0" ref="E258">
      <text>
        <t xml:space="preserve">Illustrative generic shade assigned to this colour name for display. This is NOT a sourced or certified club-brand HEX value.</t>
      </text>
    </comment>
    <comment authorId="0" ref="F258">
      <text>
        <t xml:space="preserve">Illustrative generic shade assigned to this colour name for display. This is NOT a sourced or certified club-brand HEX value.</t>
      </text>
    </comment>
    <comment authorId="0" ref="C126">
      <text>
        <t xml:space="preserve">Illustrative generic shade assigned to this colour name for display. This is NOT a sourced or certified club-brand HEX value.</t>
      </text>
    </comment>
    <comment authorId="0" ref="D126">
      <text>
        <t xml:space="preserve">Illustrative generic shade assigned to this colour name for display. This is NOT a sourced or certified club-brand HEX value.</t>
      </text>
    </comment>
    <comment authorId="0" ref="E126">
      <text>
        <t xml:space="preserve">Illustrative generic shade assigned to this colour name for display. This is NOT a sourced or certified club-brand HEX value.</t>
      </text>
    </comment>
    <comment authorId="0" ref="F126">
      <text>
        <t xml:space="preserve">Illustrative generic shade assigned to this colour name for display. This is NOT a sourced or certified club-brand HEX value.</t>
      </text>
    </comment>
    <comment authorId="0" ref="C655">
      <text>
        <t xml:space="preserve">Illustrative generic shade assigned to this colour name for display. This is NOT a sourced or certified club-brand HEX value.</t>
      </text>
    </comment>
    <comment authorId="0" ref="D655">
      <text>
        <t xml:space="preserve">Illustrative generic shade assigned to this colour name for display. This is NOT a sourced or certified club-brand HEX value.</t>
      </text>
    </comment>
    <comment authorId="0" ref="E655">
      <text>
        <t xml:space="preserve">Illustrative generic shade assigned to this colour name for display. This is NOT a sourced or certified club-brand HEX value.</t>
      </text>
    </comment>
    <comment authorId="0" ref="F655">
      <text>
        <t xml:space="preserve">Illustrative generic shade assigned to this colour name for display. This is NOT a sourced or certified club-brand HEX value.</t>
      </text>
    </comment>
    <comment authorId="0" ref="C523">
      <text>
        <t xml:space="preserve">Illustrative generic shade assigned to this colour name for display. This is NOT a sourced or certified club-brand HEX value.</t>
      </text>
    </comment>
    <comment authorId="0" ref="D523">
      <text>
        <t xml:space="preserve">Illustrative generic shade assigned to this colour name for display. This is NOT a sourced or certified club-brand HEX value.</t>
      </text>
    </comment>
    <comment authorId="0" ref="E523">
      <text>
        <t xml:space="preserve">Illustrative generic shade assigned to this colour name for display. This is NOT a sourced or certified club-brand HEX value.</t>
      </text>
    </comment>
    <comment authorId="0" ref="F523">
      <text>
        <t xml:space="preserve">Illustrative generic shade assigned to this colour name for display. This is NOT a sourced or certified club-brand HEX value.</t>
      </text>
    </comment>
    <comment authorId="0" ref="C391">
      <text>
        <t xml:space="preserve">Illustrative generic shade assigned to this colour name for display. This is NOT a sourced or certified club-brand HEX value.</t>
      </text>
    </comment>
    <comment authorId="0" ref="D391">
      <text>
        <t xml:space="preserve">Illustrative generic shade assigned to this colour name for display. This is NOT a sourced or certified club-brand HEX value.</t>
      </text>
    </comment>
    <comment authorId="0" ref="E391">
      <text>
        <t xml:space="preserve">Illustrative generic shade assigned to this colour name for display. This is NOT a sourced or certified club-brand HEX value.</t>
      </text>
    </comment>
    <comment authorId="0" ref="F391">
      <text>
        <t xml:space="preserve">Illustrative generic shade assigned to this colour name for display. This is NOT a sourced or certified club-brand HEX value.</t>
      </text>
    </comment>
    <comment authorId="0" ref="C259">
      <text>
        <t xml:space="preserve">Illustrative generic shade assigned to this colour name for display. This is NOT a sourced or certified club-brand HEX value.</t>
      </text>
    </comment>
    <comment authorId="0" ref="D259">
      <text>
        <t xml:space="preserve">Illustrative generic shade assigned to this colour name for display. This is NOT a sourced or certified club-brand HEX value.</t>
      </text>
    </comment>
    <comment authorId="0" ref="E259">
      <text>
        <t xml:space="preserve">Illustrative generic shade assigned to this colour name for display. This is NOT a sourced or certified club-brand HEX value.</t>
      </text>
    </comment>
    <comment authorId="0" ref="F259">
      <text>
        <t xml:space="preserve">Illustrative generic shade assigned to this colour name for display. This is NOT a sourced or certified club-brand HEX value.</t>
      </text>
    </comment>
    <comment authorId="0" ref="C127">
      <text>
        <t xml:space="preserve">Illustrative generic shade assigned to this colour name for display. This is NOT a sourced or certified club-brand HEX value.</t>
      </text>
    </comment>
    <comment authorId="0" ref="D127">
      <text>
        <t xml:space="preserve">Illustrative generic shade assigned to this colour name for display. This is NOT a sourced or certified club-brand HEX value.</t>
      </text>
    </comment>
    <comment authorId="0" ref="E127">
      <text>
        <t xml:space="preserve">Illustrative generic shade assigned to this colour name for display. This is NOT a sourced or certified club-brand HEX value.</t>
      </text>
    </comment>
    <comment authorId="0" ref="F127">
      <text>
        <t xml:space="preserve">Illustrative generic shade assigned to this colour name for display. This is NOT a sourced or certified club-brand HEX value.</t>
      </text>
    </comment>
    <comment authorId="0" ref="C656">
      <text>
        <t xml:space="preserve">Illustrative generic shade assigned to this colour name for display. This is NOT a sourced or certified club-brand HEX value.</t>
      </text>
    </comment>
    <comment authorId="0" ref="D656">
      <text>
        <t xml:space="preserve">Illustrative generic shade assigned to this colour name for display. This is NOT a sourced or certified club-brand HEX value.</t>
      </text>
    </comment>
    <comment authorId="0" ref="E656">
      <text>
        <t xml:space="preserve">Illustrative generic shade assigned to this colour name for display. This is NOT a sourced or certified club-brand HEX value.</t>
      </text>
    </comment>
    <comment authorId="0" ref="F656">
      <text>
        <t xml:space="preserve">Illustrative generic shade assigned to this colour name for display. This is NOT a sourced or certified club-brand HEX value.</t>
      </text>
    </comment>
    <comment authorId="0" ref="E524">
      <text>
        <t xml:space="preserve">Illustrative generic shade assigned to this colour name for display. This is NOT a sourced or certified club-brand HEX value.</t>
      </text>
    </comment>
    <comment authorId="0" ref="F524">
      <text>
        <t xml:space="preserve">Illustrative generic shade assigned to this colour name for display. This is NOT a sourced or certified club-brand HEX value.</t>
      </text>
    </comment>
    <comment authorId="0" ref="E392">
      <text>
        <t xml:space="preserve">Illustrative generic shade assigned to this colour name for display. This is NOT a sourced or certified club-brand HEX value.</t>
      </text>
    </comment>
    <comment authorId="0" ref="F392">
      <text>
        <t xml:space="preserve">Illustrative generic shade assigned to this colour name for display. This is NOT a sourced or certified club-brand HEX value.</t>
      </text>
    </comment>
    <comment authorId="0" ref="C260">
      <text>
        <t xml:space="preserve">Illustrative generic shade assigned to this colour name for display. This is NOT a sourced or certified club-brand HEX value.</t>
      </text>
    </comment>
    <comment authorId="0" ref="D260">
      <text>
        <t xml:space="preserve">Illustrative generic shade assigned to this colour name for display. This is NOT a sourced or certified club-brand HEX value.</t>
      </text>
    </comment>
    <comment authorId="0" ref="E260">
      <text>
        <t xml:space="preserve">Illustrative generic shade assigned to this colour name for display. This is NOT a sourced or certified club-brand HEX value.</t>
      </text>
    </comment>
    <comment authorId="0" ref="F260">
      <text>
        <t xml:space="preserve">Illustrative generic shade assigned to this colour name for display. This is NOT a sourced or certified club-brand HEX value.</t>
      </text>
    </comment>
    <comment authorId="0" ref="C128">
      <text>
        <t xml:space="preserve">Illustrative generic shade assigned to this colour name for display. This is NOT a sourced or certified club-brand HEX value.</t>
      </text>
    </comment>
    <comment authorId="0" ref="D128">
      <text>
        <t xml:space="preserve">Illustrative generic shade assigned to this colour name for display. This is NOT a sourced or certified club-brand HEX value.</t>
      </text>
    </comment>
    <comment authorId="0" ref="E128">
      <text>
        <t xml:space="preserve">Illustrative generic shade assigned to this colour name for display. This is NOT a sourced or certified club-brand HEX value.</t>
      </text>
    </comment>
    <comment authorId="0" ref="F128">
      <text>
        <t xml:space="preserve">Illustrative generic shade assigned to this colour name for display. This is NOT a sourced or certified club-brand HEX value.</t>
      </text>
    </comment>
    <comment authorId="0" ref="C657">
      <text>
        <t xml:space="preserve">Illustrative generic shade assigned to this colour name for display. This is NOT a sourced or certified club-brand HEX value.</t>
      </text>
    </comment>
    <comment authorId="0" ref="D657">
      <text>
        <t xml:space="preserve">Illustrative generic shade assigned to this colour name for display. This is NOT a sourced or certified club-brand HEX value.</t>
      </text>
    </comment>
    <comment authorId="0" ref="E657">
      <text>
        <t xml:space="preserve">Illustrative generic shade assigned to this colour name for display. This is NOT a sourced or certified club-brand HEX value.</t>
      </text>
    </comment>
    <comment authorId="0" ref="F657">
      <text>
        <t xml:space="preserve">Illustrative generic shade assigned to this colour name for display. This is NOT a sourced or certified club-brand HEX value.</t>
      </text>
    </comment>
    <comment authorId="0" ref="E525">
      <text>
        <t xml:space="preserve">Illustrative generic shade assigned to this colour name for display. This is NOT a sourced or certified club-brand HEX value.</t>
      </text>
    </comment>
    <comment authorId="0" ref="F525">
      <text>
        <t xml:space="preserve">Illustrative generic shade assigned to this colour name for display. This is NOT a sourced or certified club-brand HEX value.</t>
      </text>
    </comment>
    <comment authorId="0" ref="E393">
      <text>
        <t xml:space="preserve">Illustrative generic shade assigned to this colour name for display. This is NOT a sourced or certified club-brand HEX value.</t>
      </text>
    </comment>
    <comment authorId="0" ref="F393">
      <text>
        <t xml:space="preserve">Illustrative generic shade assigned to this colour name for display. This is NOT a sourced or certified club-brand HEX value.</t>
      </text>
    </comment>
    <comment authorId="0" ref="C261">
      <text>
        <t xml:space="preserve">Illustrative generic shade assigned to this colour name for display. This is NOT a sourced or certified club-brand HEX value.</t>
      </text>
    </comment>
    <comment authorId="0" ref="D261">
      <text>
        <t xml:space="preserve">Illustrative generic shade assigned to this colour name for display. This is NOT a sourced or certified club-brand HEX value.</t>
      </text>
    </comment>
    <comment authorId="0" ref="E261">
      <text>
        <t xml:space="preserve">Illustrative generic shade assigned to this colour name for display. This is NOT a sourced or certified club-brand HEX value.</t>
      </text>
    </comment>
    <comment authorId="0" ref="F261">
      <text>
        <t xml:space="preserve">Illustrative generic shade assigned to this colour name for display. This is NOT a sourced or certified club-brand HEX value.</t>
      </text>
    </comment>
    <comment authorId="0" ref="C129">
      <text>
        <t xml:space="preserve">Illustrative generic shade assigned to this colour name for display. This is NOT a sourced or certified club-brand HEX value.</t>
      </text>
    </comment>
    <comment authorId="0" ref="D129">
      <text>
        <t xml:space="preserve">Illustrative generic shade assigned to this colour name for display. This is NOT a sourced or certified club-brand HEX value.</t>
      </text>
    </comment>
    <comment authorId="0" ref="E129">
      <text>
        <t xml:space="preserve">Illustrative generic shade assigned to this colour name for display. This is NOT a sourced or certified club-brand HEX value.</t>
      </text>
    </comment>
    <comment authorId="0" ref="F129">
      <text>
        <t xml:space="preserve">Illustrative generic shade assigned to this colour name for display. This is NOT a sourced or certified club-brand HEX value.</t>
      </text>
    </comment>
    <comment authorId="0" ref="C658">
      <text>
        <t xml:space="preserve">Illustrative generic shade assigned to this colour name for display. This is NOT a sourced or certified club-brand HEX value.</t>
      </text>
    </comment>
    <comment authorId="0" ref="D658">
      <text>
        <t xml:space="preserve">Illustrative generic shade assigned to this colour name for display. This is NOT a sourced or certified club-brand HEX value.</t>
      </text>
    </comment>
    <comment authorId="0" ref="E658">
      <text>
        <t xml:space="preserve">Illustrative generic shade assigned to this colour name for display. This is NOT a sourced or certified club-brand HEX value.</t>
      </text>
    </comment>
    <comment authorId="0" ref="F658">
      <text>
        <t xml:space="preserve">Illustrative generic shade assigned to this colour name for display. This is NOT a sourced or certified club-brand HEX value.</t>
      </text>
    </comment>
    <comment authorId="0" ref="E526">
      <text>
        <t xml:space="preserve">Illustrative generic shade assigned to this colour name for display. This is NOT a sourced or certified club-brand HEX value.</t>
      </text>
    </comment>
    <comment authorId="0" ref="F526">
      <text>
        <t xml:space="preserve">Illustrative generic shade assigned to this colour name for display. This is NOT a sourced or certified club-brand HEX value.</t>
      </text>
    </comment>
    <comment authorId="0" ref="C394">
      <text>
        <t xml:space="preserve">Illustrative generic shade assigned to this colour name for display. This is NOT a sourced or certified club-brand HEX value.</t>
      </text>
    </comment>
    <comment authorId="0" ref="D394">
      <text>
        <t xml:space="preserve">Illustrative generic shade assigned to this colour name for display. This is NOT a sourced or certified club-brand HEX value.</t>
      </text>
    </comment>
    <comment authorId="0" ref="E394">
      <text>
        <t xml:space="preserve">Illustrative generic shade assigned to this colour name for display. This is NOT a sourced or certified club-brand HEX value.</t>
      </text>
    </comment>
    <comment authorId="0" ref="F394">
      <text>
        <t xml:space="preserve">Illustrative generic shade assigned to this colour name for display. This is NOT a sourced or certified club-brand HEX value.</t>
      </text>
    </comment>
    <comment authorId="0" ref="C262">
      <text>
        <t xml:space="preserve">Illustrative generic shade assigned to this colour name for display. This is NOT a sourced or certified club-brand HEX value.</t>
      </text>
    </comment>
    <comment authorId="0" ref="D262">
      <text>
        <t xml:space="preserve">Illustrative generic shade assigned to this colour name for display. This is NOT a sourced or certified club-brand HEX value.</t>
      </text>
    </comment>
    <comment authorId="0" ref="E262">
      <text>
        <t xml:space="preserve">Illustrative generic shade assigned to this colour name for display. This is NOT a sourced or certified club-brand HEX value.</t>
      </text>
    </comment>
    <comment authorId="0" ref="F262">
      <text>
        <t xml:space="preserve">Illustrative generic shade assigned to this colour name for display. This is NOT a sourced or certified club-brand HEX value.</t>
      </text>
    </comment>
    <comment authorId="0" ref="C130">
      <text>
        <t xml:space="preserve">Illustrative generic shade assigned to this colour name for display. This is NOT a sourced or certified club-brand HEX value.</t>
      </text>
    </comment>
    <comment authorId="0" ref="D130">
      <text>
        <t xml:space="preserve">Illustrative generic shade assigned to this colour name for display. This is NOT a sourced or certified club-brand HEX value.</t>
      </text>
    </comment>
    <comment authorId="0" ref="E130">
      <text>
        <t xml:space="preserve">Illustrative generic shade assigned to this colour name for display. This is NOT a sourced or certified club-brand HEX value.</t>
      </text>
    </comment>
    <comment authorId="0" ref="F130">
      <text>
        <t xml:space="preserve">Illustrative generic shade assigned to this colour name for display. This is NOT a sourced or certified club-brand HEX value.</t>
      </text>
    </comment>
    <comment authorId="0" ref="C659">
      <text>
        <t xml:space="preserve">Illustrative generic shade assigned to this colour name for display. This is NOT a sourced or certified club-brand HEX value.</t>
      </text>
    </comment>
    <comment authorId="0" ref="D659">
      <text>
        <t xml:space="preserve">Illustrative generic shade assigned to this colour name for display. This is NOT a sourced or certified club-brand HEX value.</t>
      </text>
    </comment>
    <comment authorId="0" ref="E659">
      <text>
        <t xml:space="preserve">Illustrative generic shade assigned to this colour name for display. This is NOT a sourced or certified club-brand HEX value.</t>
      </text>
    </comment>
    <comment authorId="0" ref="F659">
      <text>
        <t xml:space="preserve">Illustrative generic shade assigned to this colour name for display. This is NOT a sourced or certified club-brand HEX value.</t>
      </text>
    </comment>
    <comment authorId="0" ref="C527">
      <text>
        <t xml:space="preserve">Illustrative generic shade assigned to this colour name for display. This is NOT a sourced or certified club-brand HEX value.</t>
      </text>
    </comment>
    <comment authorId="0" ref="D527">
      <text>
        <t xml:space="preserve">Illustrative generic shade assigned to this colour name for display. This is NOT a sourced or certified club-brand HEX value.</t>
      </text>
    </comment>
    <comment authorId="0" ref="E527">
      <text>
        <t xml:space="preserve">Illustrative generic shade assigned to this colour name for display. This is NOT a sourced or certified club-brand HEX value.</t>
      </text>
    </comment>
    <comment authorId="0" ref="F527">
      <text>
        <t xml:space="preserve">Illustrative generic shade assigned to this colour name for display. This is NOT a sourced or certified club-brand HEX value.</t>
      </text>
    </comment>
    <comment authorId="0" ref="E395">
      <text>
        <t xml:space="preserve">Illustrative generic shade assigned to this colour name for display. This is NOT a sourced or certified club-brand HEX value.</t>
      </text>
    </comment>
    <comment authorId="0" ref="F395">
      <text>
        <t xml:space="preserve">Illustrative generic shade assigned to this colour name for display. This is NOT a sourced or certified club-brand HEX value.</t>
      </text>
    </comment>
    <comment authorId="0" ref="C263">
      <text>
        <t xml:space="preserve">Illustrative generic shade assigned to this colour name for display. This is NOT a sourced or certified club-brand HEX value.</t>
      </text>
    </comment>
    <comment authorId="0" ref="D263">
      <text>
        <t xml:space="preserve">Illustrative generic shade assigned to this colour name for display. This is NOT a sourced or certified club-brand HEX value.</t>
      </text>
    </comment>
    <comment authorId="0" ref="E263">
      <text>
        <t xml:space="preserve">Illustrative generic shade assigned to this colour name for display. This is NOT a sourced or certified club-brand HEX value.</t>
      </text>
    </comment>
    <comment authorId="0" ref="F263">
      <text>
        <t xml:space="preserve">Illustrative generic shade assigned to this colour name for display. This is NOT a sourced or certified club-brand HEX value.</t>
      </text>
    </comment>
    <comment authorId="0" ref="C131">
      <text>
        <t xml:space="preserve">Illustrative generic shade assigned to this colour name for display. This is NOT a sourced or certified club-brand HEX value.</t>
      </text>
    </comment>
    <comment authorId="0" ref="D131">
      <text>
        <t xml:space="preserve">Illustrative generic shade assigned to this colour name for display. This is NOT a sourced or certified club-brand HEX value.</t>
      </text>
    </comment>
    <comment authorId="0" ref="E131">
      <text>
        <t xml:space="preserve">Illustrative generic shade assigned to this colour name for display. This is NOT a sourced or certified club-brand HEX value.</t>
      </text>
    </comment>
    <comment authorId="0" ref="F131">
      <text>
        <t xml:space="preserve">Illustrative generic shade assigned to this colour name for display. This is NOT a sourced or certified club-brand HEX value.</t>
      </text>
    </comment>
    <comment authorId="0" ref="C660">
      <text>
        <t xml:space="preserve">Illustrative generic shade assigned to this colour name for display. This is NOT a sourced or certified club-brand HEX value.</t>
      </text>
    </comment>
    <comment authorId="0" ref="D660">
      <text>
        <t xml:space="preserve">Illustrative generic shade assigned to this colour name for display. This is NOT a sourced or certified club-brand HEX value.</t>
      </text>
    </comment>
    <comment authorId="0" ref="E660">
      <text>
        <t xml:space="preserve">Illustrative generic shade assigned to this colour name for display. This is NOT a sourced or certified club-brand HEX value.</t>
      </text>
    </comment>
    <comment authorId="0" ref="F660">
      <text>
        <t xml:space="preserve">Illustrative generic shade assigned to this colour name for display. This is NOT a sourced or certified club-brand HEX value.</t>
      </text>
    </comment>
    <comment authorId="0" ref="E528">
      <text>
        <t xml:space="preserve">Illustrative generic shade assigned to this colour name for display. This is NOT a sourced or certified club-brand HEX value.</t>
      </text>
    </comment>
    <comment authorId="0" ref="F528">
      <text>
        <t xml:space="preserve">Illustrative generic shade assigned to this colour name for display. This is NOT a sourced or certified club-brand HEX value.</t>
      </text>
    </comment>
    <comment authorId="0" ref="E396">
      <text>
        <t xml:space="preserve">Illustrative generic shade assigned to this colour name for display. This is NOT a sourced or certified club-brand HEX value.</t>
      </text>
    </comment>
    <comment authorId="0" ref="F396">
      <text>
        <t xml:space="preserve">Illustrative generic shade assigned to this colour name for display. This is NOT a sourced or certified club-brand HEX value.</t>
      </text>
    </comment>
    <comment authorId="0" ref="C264">
      <text>
        <t xml:space="preserve">Illustrative generic shade assigned to this colour name for display. This is NOT a sourced or certified club-brand HEX value.</t>
      </text>
    </comment>
    <comment authorId="0" ref="D264">
      <text>
        <t xml:space="preserve">Illustrative generic shade assigned to this colour name for display. This is NOT a sourced or certified club-brand HEX value.</t>
      </text>
    </comment>
    <comment authorId="0" ref="E264">
      <text>
        <t xml:space="preserve">Illustrative generic shade assigned to this colour name for display. This is NOT a sourced or certified club-brand HEX value.</t>
      </text>
    </comment>
    <comment authorId="0" ref="F264">
      <text>
        <t xml:space="preserve">Illustrative generic shade assigned to this colour name for display. This is NOT a sourced or certified club-brand HEX value.</t>
      </text>
    </comment>
    <comment authorId="0" ref="C132">
      <text>
        <t xml:space="preserve">Illustrative generic shade assigned to this colour name for display. This is NOT a sourced or certified club-brand HEX value.</t>
      </text>
    </comment>
    <comment authorId="0" ref="E132">
      <text>
        <t xml:space="preserve">Illustrative generic shade assigned to this colour name for display. This is NOT a sourced or certified club-brand HEX value.</t>
      </text>
    </comment>
    <comment authorId="0" ref="F132">
      <text>
        <t xml:space="preserve">Illustrative generic shade assigned to this colour name for display. This is NOT a sourced or certified club-brand HEX value.</t>
      </text>
    </comment>
    <comment authorId="0" ref="C661">
      <text>
        <t xml:space="preserve">Illustrative generic shade assigned to this colour name for display. This is NOT a sourced or certified club-brand HEX value.</t>
      </text>
    </comment>
    <comment authorId="0" ref="D661">
      <text>
        <t xml:space="preserve">Illustrative generic shade assigned to this colour name for display. This is NOT a sourced or certified club-brand HEX value.</t>
      </text>
    </comment>
    <comment authorId="0" ref="E661">
      <text>
        <t xml:space="preserve">Illustrative generic shade assigned to this colour name for display. This is NOT a sourced or certified club-brand HEX value.</t>
      </text>
    </comment>
    <comment authorId="0" ref="F661">
      <text>
        <t xml:space="preserve">Illustrative generic shade assigned to this colour name for display. This is NOT a sourced or certified club-brand HEX value.</t>
      </text>
    </comment>
    <comment authorId="0" ref="E529">
      <text>
        <t xml:space="preserve">Illustrative generic shade assigned to this colour name for display. This is NOT a sourced or certified club-brand HEX value.</t>
      </text>
    </comment>
    <comment authorId="0" ref="F529">
      <text>
        <t xml:space="preserve">Illustrative generic shade assigned to this colour name for display. This is NOT a sourced or certified club-brand HEX value.</t>
      </text>
    </comment>
    <comment authorId="0" ref="E397">
      <text>
        <t xml:space="preserve">Illustrative generic shade assigned to this colour name for display. This is NOT a sourced or certified club-brand HEX value.</t>
      </text>
    </comment>
    <comment authorId="0" ref="F397">
      <text>
        <t xml:space="preserve">Illustrative generic shade assigned to this colour name for display. This is NOT a sourced or certified club-brand HEX value.</t>
      </text>
    </comment>
    <comment authorId="0" ref="C265">
      <text>
        <t xml:space="preserve">Illustrative generic shade assigned to this colour name for display. This is NOT a sourced or certified club-brand HEX value.</t>
      </text>
    </comment>
    <comment authorId="0" ref="D265">
      <text>
        <t xml:space="preserve">Illustrative generic shade assigned to this colour name for display. This is NOT a sourced or certified club-brand HEX value.</t>
      </text>
    </comment>
    <comment authorId="0" ref="E265">
      <text>
        <t xml:space="preserve">Illustrative generic shade assigned to this colour name for display. This is NOT a sourced or certified club-brand HEX value.</t>
      </text>
    </comment>
    <comment authorId="0" ref="F265">
      <text>
        <t xml:space="preserve">Illustrative generic shade assigned to this colour name for display. This is NOT a sourced or certified club-brand HEX value.</t>
      </text>
    </comment>
    <comment authorId="0" ref="C133">
      <text>
        <t xml:space="preserve">Illustrative generic shade assigned to this colour name for display. This is NOT a sourced or certified club-brand HEX value.</t>
      </text>
    </comment>
    <comment authorId="0" ref="D133">
      <text>
        <t xml:space="preserve">Illustrative generic shade assigned to this colour name for display. This is NOT a sourced or certified club-brand HEX value.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7">
      <text>
        <t xml:space="preserve">Illustrative generic shade assigned to this colour name for display. This is NOT a sourced or certified club-brand HEX value.</t>
      </text>
    </comment>
    <comment authorId="0" ref="K67">
      <text>
        <t xml:space="preserve">Illustrative generic shade assigned to this colour name for display. This is NOT a sourced or certified club-brand HEX value.</t>
      </text>
    </comment>
    <comment authorId="0" ref="H63">
      <text>
        <t xml:space="preserve">Illustrative generic shade assigned to this colour name for display. This is NOT a sourced or certified club-brand HEX value.</t>
      </text>
    </comment>
    <comment authorId="0" ref="K63">
      <text>
        <t xml:space="preserve">Illustrative generic shade assigned to this colour name for display. This is NOT a sourced or certified club-brand HEX value.</t>
      </text>
    </comment>
    <comment authorId="0" ref="H59">
      <text>
        <t xml:space="preserve">Illustrative generic shade assigned to this colour name for display. This is NOT a sourced or certified club-brand HEX value.</t>
      </text>
    </comment>
    <comment authorId="0" ref="K59">
      <text>
        <t xml:space="preserve">Illustrative generic shade assigned to this colour name for display. This is NOT a sourced or certified club-brand HEX value.</t>
      </text>
    </comment>
    <comment authorId="0" ref="H55">
      <text>
        <t xml:space="preserve">Illustrative generic shade assigned to this colour name for display. This is NOT a sourced or certified club-brand HEX value.</t>
      </text>
    </comment>
    <comment authorId="0" ref="K55">
      <text>
        <t xml:space="preserve">Illustrative generic shade assigned to this colour name for display. This is NOT a sourced or certified club-brand HEX value.</t>
      </text>
    </comment>
    <comment authorId="0" ref="H51">
      <text>
        <t xml:space="preserve">Illustrative generic shade assigned to this colour name for display. This is NOT a sourced or certified club-brand HEX value.</t>
      </text>
    </comment>
    <comment authorId="0" ref="K51">
      <text>
        <t xml:space="preserve">Illustrative generic shade assigned to this colour name for display. This is NOT a sourced or certified club-brand HEX value.</t>
      </text>
    </comment>
    <comment authorId="0" ref="H47">
      <text>
        <t xml:space="preserve">Illustrative generic shade assigned to this colour name for display. This is NOT a sourced or certified club-brand HEX value.</t>
      </text>
    </comment>
    <comment authorId="0" ref="K47">
      <text>
        <t xml:space="preserve">Illustrative generic shade assigned to this colour name for display. This is NOT a sourced or certified club-brand HEX value.</t>
      </text>
    </comment>
    <comment authorId="0" ref="H68">
      <text>
        <t xml:space="preserve">Illustrative generic shade assigned to this colour name for display. This is NOT a sourced or certified club-brand HEX value.</t>
      </text>
    </comment>
    <comment authorId="0" ref="K68">
      <text>
        <t xml:space="preserve">Illustrative generic shade assigned to this colour name for display. This is NOT a sourced or certified club-brand HEX value.</t>
      </text>
    </comment>
    <comment authorId="0" ref="H64">
      <text>
        <t xml:space="preserve">Illustrative generic shade assigned to this colour name for display. This is NOT a sourced or certified club-brand HEX value.</t>
      </text>
    </comment>
    <comment authorId="0" ref="K64">
      <text>
        <t xml:space="preserve">Illustrative generic shade assigned to this colour name for display. This is NOT a sourced or certified club-brand HEX value.</t>
      </text>
    </comment>
    <comment authorId="0" ref="H60">
      <text>
        <t xml:space="preserve">Illustrative generic shade assigned to this colour name for display. This is NOT a sourced or certified club-brand HEX value.</t>
      </text>
    </comment>
    <comment authorId="0" ref="K60">
      <text>
        <t xml:space="preserve">Illustrative generic shade assigned to this colour name for display. This is NOT a sourced or certified club-brand HEX value.</t>
      </text>
    </comment>
    <comment authorId="0" ref="H56">
      <text>
        <t xml:space="preserve">Illustrative generic shade assigned to this colour name for display. This is NOT a sourced or certified club-brand HEX value.</t>
      </text>
    </comment>
    <comment authorId="0" ref="K56">
      <text>
        <t xml:space="preserve">Illustrative generic shade assigned to this colour name for display. This is NOT a sourced or certified club-brand HEX value.</t>
      </text>
    </comment>
    <comment authorId="0" ref="H52">
      <text>
        <t xml:space="preserve">Illustrative generic shade assigned to this colour name for display. This is NOT a sourced or certified club-brand HEX value.</t>
      </text>
    </comment>
    <comment authorId="0" ref="K52">
      <text>
        <t xml:space="preserve">Illustrative generic shade assigned to this colour name for display. This is NOT a sourced or certified club-brand HEX value.</t>
      </text>
    </comment>
    <comment authorId="0" ref="H48">
      <text>
        <t xml:space="preserve">Illustrative generic shade assigned to this colour name for display. This is NOT a sourced or certified club-brand HEX value.</t>
      </text>
    </comment>
    <comment authorId="0" ref="K48">
      <text>
        <t xml:space="preserve">Illustrative generic shade assigned to this colour name for display. This is NOT a sourced or certified club-brand HEX value.</t>
      </text>
    </comment>
    <comment authorId="0" ref="H69">
      <text>
        <t xml:space="preserve">Illustrative generic shade assigned to this colour name for display. This is NOT a sourced or certified club-brand HEX value.</t>
      </text>
    </comment>
    <comment authorId="0" ref="K69">
      <text>
        <t xml:space="preserve">Illustrative generic shade assigned to this colour name for display. This is NOT a sourced or certified club-brand HEX value.</t>
      </text>
    </comment>
    <comment authorId="0" ref="H65">
      <text>
        <t xml:space="preserve">Illustrative generic shade assigned to this colour name for display. This is NOT a sourced or certified club-brand HEX value.</t>
      </text>
    </comment>
    <comment authorId="0" ref="K65">
      <text>
        <t xml:space="preserve">Illustrative generic shade assigned to this colour name for display. This is NOT a sourced or certified club-brand HEX value.</t>
      </text>
    </comment>
    <comment authorId="0" ref="H61">
      <text>
        <t xml:space="preserve">Illustrative generic shade assigned to this colour name for display. This is NOT a sourced or certified club-brand HEX value.</t>
      </text>
    </comment>
    <comment authorId="0" ref="K61">
      <text>
        <t xml:space="preserve">Illustrative generic shade assigned to this colour name for display. This is NOT a sourced or certified club-brand HEX value.</t>
      </text>
    </comment>
    <comment authorId="0" ref="H57">
      <text>
        <t xml:space="preserve">Illustrative generic shade assigned to this colour name for display. This is NOT a sourced or certified club-brand HEX value.</t>
      </text>
    </comment>
    <comment authorId="0" ref="K57">
      <text>
        <t xml:space="preserve">Illustrative generic shade assigned to this colour name for display. This is NOT a sourced or certified club-brand HEX value.</t>
      </text>
    </comment>
    <comment authorId="0" ref="H53">
      <text>
        <t xml:space="preserve">Illustrative generic shade assigned to this colour name for display. This is NOT a sourced or certified club-brand HEX value.</t>
      </text>
    </comment>
    <comment authorId="0" ref="K53">
      <text>
        <t xml:space="preserve">Illustrative generic shade assigned to this colour name for display. This is NOT a sourced or certified club-brand HEX value.</t>
      </text>
    </comment>
    <comment authorId="0" ref="H49">
      <text>
        <t xml:space="preserve">Illustrative generic shade assigned to this colour name for display. This is NOT a sourced or certified club-brand HEX value.</t>
      </text>
    </comment>
    <comment authorId="0" ref="K49">
      <text>
        <t xml:space="preserve">Illustrative generic shade assigned to this colour name for display. This is NOT a sourced or certified club-brand HEX value.</t>
      </text>
    </comment>
    <comment authorId="0" ref="H45">
      <text>
        <t xml:space="preserve">Illustrative generic shade assigned to this colour name for display. This is NOT a sourced or certified club-brand HEX value.</t>
      </text>
    </comment>
    <comment authorId="0" ref="K45">
      <text>
        <t xml:space="preserve">Illustrative generic shade assigned to this colour name for display. This is NOT a sourced or certified club-brand HEX value.</t>
      </text>
    </comment>
    <comment authorId="0" ref="H70">
      <text>
        <t xml:space="preserve">Illustrative generic shade assigned to this colour name for display. This is NOT a sourced or certified club-brand HEX value.</t>
      </text>
    </comment>
    <comment authorId="0" ref="K70">
      <text>
        <t xml:space="preserve">Illustrative generic shade assigned to this colour name for display. This is NOT a sourced or certified club-brand HEX value.</t>
      </text>
    </comment>
    <comment authorId="0" ref="H66">
      <text>
        <t xml:space="preserve">Illustrative generic shade assigned to this colour name for display. This is NOT a sourced or certified club-brand HEX value.</t>
      </text>
    </comment>
    <comment authorId="0" ref="K66">
      <text>
        <t xml:space="preserve">Illustrative generic shade assigned to this colour name for display. This is NOT a sourced or certified club-brand HEX value.</t>
      </text>
    </comment>
    <comment authorId="0" ref="H62">
      <text>
        <t xml:space="preserve">Illustrative generic shade assigned to this colour name for display. This is NOT a sourced or certified club-brand HEX value.</t>
      </text>
    </comment>
    <comment authorId="0" ref="K62">
      <text>
        <t xml:space="preserve">Illustrative generic shade assigned to this colour name for display. This is NOT a sourced or certified club-brand HEX value.</t>
      </text>
    </comment>
    <comment authorId="0" ref="H58">
      <text>
        <t xml:space="preserve">Illustrative generic shade assigned to this colour name for display. This is NOT a sourced or certified club-brand HEX value.</t>
      </text>
    </comment>
    <comment authorId="0" ref="K58">
      <text>
        <t xml:space="preserve">Illustrative generic shade assigned to this colour name for display. This is NOT a sourced or certified club-brand HEX value.</t>
      </text>
    </comment>
    <comment authorId="0" ref="H54">
      <text>
        <t xml:space="preserve">Illustrative generic shade assigned to this colour name for display. This is NOT a sourced or certified club-brand HEX value.</t>
      </text>
    </comment>
    <comment authorId="0" ref="K54">
      <text>
        <t xml:space="preserve">Illustrative generic shade assigned to this colour name for display. This is NOT a sourced or certified club-brand HEX value.</t>
      </text>
    </comment>
    <comment authorId="0" ref="H50">
      <text>
        <t xml:space="preserve">Illustrative generic shade assigned to this colour name for display. This is NOT a sourced or certified club-brand HEX value.</t>
      </text>
    </comment>
    <comment authorId="0" ref="K50">
      <text>
        <t xml:space="preserve">Illustrative generic shade assigned to this colour name for display. This is NOT a sourced or certified club-brand HEX value.</t>
      </text>
    </comment>
    <comment authorId="0" ref="H46">
      <text>
        <t xml:space="preserve">Illustrative generic shade assigned to this colour name for display. This is NOT a sourced or certified club-brand HEX value.</t>
      </text>
    </comment>
    <comment authorId="0" ref="K46">
      <text>
        <t xml:space="preserve">Illustrative generic shade assigned to this colour name for display. This is NOT a sourced or certified club-brand HEX value.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397">
      <text>
        <t xml:space="preserve">Illustrative generic shade assigned to this colour name for display. This is NOT a sourced or certified club-brand HEX value.</t>
      </text>
    </comment>
    <comment authorId="0" ref="L331">
      <text>
        <t xml:space="preserve">Illustrative generic shade assigned to this colour name for display. This is NOT a sourced or certified club-brand HEX value.</t>
      </text>
    </comment>
    <comment authorId="0" ref="M331">
      <text>
        <t xml:space="preserve">Illustrative generic shade assigned to this colour name for display. This is NOT a sourced or certified club-brand HEX value.</t>
      </text>
    </comment>
    <comment authorId="0" ref="L265">
      <text>
        <t xml:space="preserve">Illustrative generic shade assigned to this colour name for display. This is NOT a sourced or certified club-brand HEX value.</t>
      </text>
    </comment>
    <comment authorId="0" ref="M265">
      <text>
        <t xml:space="preserve">Illustrative generic shade assigned to this colour name for display. This is NOT a sourced or certified club-brand HEX value.</t>
      </text>
    </comment>
    <comment authorId="0" ref="L199">
      <text>
        <t xml:space="preserve">Illustrative generic shade assigned to this colour name for display. This is NOT a sourced or certified club-brand HEX value.</t>
      </text>
    </comment>
    <comment authorId="0" ref="M199">
      <text>
        <t xml:space="preserve">Illustrative generic shade assigned to this colour name for display. This is NOT a sourced or certified club-brand HEX value.</t>
      </text>
    </comment>
    <comment authorId="0" ref="L133">
      <text>
        <t xml:space="preserve">Illustrative generic shade assigned to this colour name for display. This is NOT a sourced or certified club-brand HEX value.</t>
      </text>
    </comment>
    <comment authorId="0" ref="M133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L728">
      <text>
        <t xml:space="preserve">Illustrative generic shade assigned to this colour name for display. This is NOT a sourced or certified club-brand HEX value.</t>
      </text>
    </comment>
    <comment authorId="0" ref="M728">
      <text>
        <t xml:space="preserve">Illustrative generic shade assigned to this colour name for display. This is NOT a sourced or certified club-brand HEX value.</t>
      </text>
    </comment>
    <comment authorId="0" ref="L662">
      <text>
        <t xml:space="preserve">Illustrative generic shade assigned to this colour name for display. This is NOT a sourced or certified club-brand HEX value.</t>
      </text>
    </comment>
    <comment authorId="0" ref="M662">
      <text>
        <t xml:space="preserve">Illustrative generic shade assigned to this colour name for display. This is NOT a sourced or certified club-brand HEX value.</t>
      </text>
    </comment>
    <comment authorId="0" ref="L596">
      <text>
        <t xml:space="preserve">Illustrative generic shade assigned to this colour name for display. This is NOT a sourced or certified club-brand HEX value.</t>
      </text>
    </comment>
    <comment authorId="0" ref="M596">
      <text>
        <t xml:space="preserve">Illustrative generic shade assigned to this colour name for display. This is NOT a sourced or certified club-brand HEX value.</t>
      </text>
    </comment>
    <comment authorId="0" ref="L530">
      <text>
        <t xml:space="preserve">Illustrative generic shade assigned to this colour name for display. This is NOT a sourced or certified club-brand HEX value.</t>
      </text>
    </comment>
    <comment authorId="0" ref="M530">
      <text>
        <t xml:space="preserve">Illustrative generic shade assigned to this colour name for display. This is NOT a sourced or certified club-brand HEX value.</t>
      </text>
    </comment>
    <comment authorId="0" ref="L332">
      <text>
        <t xml:space="preserve">Illustrative generic shade assigned to this colour name for display. This is NOT a sourced or certified club-brand HEX value.</t>
      </text>
    </comment>
    <comment authorId="0" ref="M332">
      <text>
        <t xml:space="preserve">Illustrative generic shade assigned to this colour name for display. This is NOT a sourced or certified club-brand HEX value.</t>
      </text>
    </comment>
    <comment authorId="0" ref="L266">
      <text>
        <t xml:space="preserve">Illustrative generic shade assigned to this colour name for display. This is NOT a sourced or certified club-brand HEX value.</t>
      </text>
    </comment>
    <comment authorId="0" ref="M266">
      <text>
        <t xml:space="preserve">Illustrative generic shade assigned to this colour name for display. This is NOT a sourced or certified club-brand HEX value.</t>
      </text>
    </comment>
    <comment authorId="0" ref="L200">
      <text>
        <t xml:space="preserve">Illustrative generic shade assigned to this colour name for display. This is NOT a sourced or certified club-brand HEX value.</t>
      </text>
    </comment>
    <comment authorId="0" ref="M200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L729">
      <text>
        <t xml:space="preserve">Illustrative generic shade assigned to this colour name for display. This is NOT a sourced or certified club-brand HEX value.</t>
      </text>
    </comment>
    <comment authorId="0" ref="M729">
      <text>
        <t xml:space="preserve">Illustrative generic shade assigned to this colour name for display. This is NOT a sourced or certified club-brand HEX value.</t>
      </text>
    </comment>
    <comment authorId="0" ref="L663">
      <text>
        <t xml:space="preserve">Illustrative generic shade assigned to this colour name for display. This is NOT a sourced or certified club-brand HEX value.</t>
      </text>
    </comment>
    <comment authorId="0" ref="M663">
      <text>
        <t xml:space="preserve">Illustrative generic shade assigned to this colour name for display. This is NOT a sourced or certified club-brand HEX value.</t>
      </text>
    </comment>
    <comment authorId="0" ref="L597">
      <text>
        <t xml:space="preserve">Illustrative generic shade assigned to this colour name for display. This is NOT a sourced or certified club-brand HEX value.</t>
      </text>
    </comment>
    <comment authorId="0" ref="M597">
      <text>
        <t xml:space="preserve">Illustrative generic shade assigned to this colour name for display. This is NOT a sourced or certified club-brand HEX value.</t>
      </text>
    </comment>
    <comment authorId="0" ref="L333">
      <text>
        <t xml:space="preserve">Illustrative generic shade assigned to this colour name for display. This is NOT a sourced or certified club-brand HEX value.</t>
      </text>
    </comment>
    <comment authorId="0" ref="M333">
      <text>
        <t xml:space="preserve">Illustrative generic shade assigned to this colour name for display. This is NOT a sourced or certified club-brand HEX value.</t>
      </text>
    </comment>
    <comment authorId="0" ref="L267">
      <text>
        <t xml:space="preserve">Illustrative generic shade assigned to this colour name for display. This is NOT a sourced or certified club-brand HEX value.</t>
      </text>
    </comment>
    <comment authorId="0" ref="M267">
      <text>
        <t xml:space="preserve">Illustrative generic shade assigned to this colour name for display. This is NOT a sourced or certified club-brand HEX value.</t>
      </text>
    </comment>
    <comment authorId="0" ref="L201">
      <text>
        <t xml:space="preserve">Illustrative generic shade assigned to this colour name for display. This is NOT a sourced or certified club-brand HEX value.</t>
      </text>
    </comment>
    <comment authorId="0" ref="L135">
      <text>
        <t xml:space="preserve">Illustrative generic shade assigned to this colour name for display. This is NOT a sourced or certified club-brand HEX value.</t>
      </text>
    </comment>
    <comment authorId="0" ref="M135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L730">
      <text>
        <t xml:space="preserve">Illustrative generic shade assigned to this colour name for display. This is NOT a sourced or certified club-brand HEX value.</t>
      </text>
    </comment>
    <comment authorId="0" ref="M730">
      <text>
        <t xml:space="preserve">Illustrative generic shade assigned to this colour name for display. This is NOT a sourced or certified club-brand HEX value.</t>
      </text>
    </comment>
    <comment authorId="0" ref="L664">
      <text>
        <t xml:space="preserve">Illustrative generic shade assigned to this colour name for display. This is NOT a sourced or certified club-brand HEX value.</t>
      </text>
    </comment>
    <comment authorId="0" ref="M664">
      <text>
        <t xml:space="preserve">Illustrative generic shade assigned to this colour name for display. This is NOT a sourced or certified club-brand HEX value.</t>
      </text>
    </comment>
    <comment authorId="0" ref="L598">
      <text>
        <t xml:space="preserve">Illustrative generic shade assigned to this colour name for display. This is NOT a sourced or certified club-brand HEX value.</t>
      </text>
    </comment>
    <comment authorId="0" ref="M598">
      <text>
        <t xml:space="preserve">Illustrative generic shade assigned to this colour name for display. This is NOT a sourced or certified club-brand HEX value.</t>
      </text>
    </comment>
    <comment authorId="0" ref="L466">
      <text>
        <t xml:space="preserve">Illustrative generic shade assigned to this colour name for display. This is NOT a sourced or certified club-brand HEX value.</t>
      </text>
    </comment>
    <comment authorId="0" ref="M466">
      <text>
        <t xml:space="preserve">Illustrative generic shade assigned to this colour name for display. This is NOT a sourced or certified club-brand HEX value.</t>
      </text>
    </comment>
    <comment authorId="0" ref="L400">
      <text>
        <t xml:space="preserve">Illustrative generic shade assigned to this colour name for display. This is NOT a sourced or certified club-brand HEX value.</t>
      </text>
    </comment>
    <comment authorId="0" ref="M400">
      <text>
        <t xml:space="preserve">Illustrative generic shade assigned to this colour name for display. This is NOT a sourced or certified club-brand HEX value.</t>
      </text>
    </comment>
    <comment authorId="0" ref="L334">
      <text>
        <t xml:space="preserve">Illustrative generic shade assigned to this colour name for display. This is NOT a sourced or certified club-brand HEX value.</t>
      </text>
    </comment>
    <comment authorId="0" ref="M334">
      <text>
        <t xml:space="preserve">Illustrative generic shade assigned to this colour name for display. This is NOT a sourced or certified club-brand HEX value.</t>
      </text>
    </comment>
    <comment authorId="0" ref="L268">
      <text>
        <t xml:space="preserve">Illustrative generic shade assigned to this colour name for display. This is NOT a sourced or certified club-brand HEX value.</t>
      </text>
    </comment>
    <comment authorId="0" ref="M268">
      <text>
        <t xml:space="preserve">Illustrative generic shade assigned to this colour name for display. This is NOT a sourced or certified club-brand HEX value.</t>
      </text>
    </comment>
    <comment authorId="0" ref="L202">
      <text>
        <t xml:space="preserve">Illustrative generic shade assigned to this colour name for display. This is NOT a sourced or certified club-brand HEX value.</t>
      </text>
    </comment>
    <comment authorId="0" ref="M202">
      <text>
        <t xml:space="preserve">Illustrative generic shade assigned to this colour name for display. This is NOT a sourced or certified club-brand HEX value.</t>
      </text>
    </comment>
    <comment authorId="0" ref="L136">
      <text>
        <t xml:space="preserve">Illustrative generic shade assigned to this colour name for display. This is NOT a sourced or certified club-brand HEX value.</t>
      </text>
    </comment>
    <comment authorId="0" ref="M136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L731">
      <text>
        <t xml:space="preserve">Illustrative generic shade assigned to this colour name for display. This is NOT a sourced or certified club-brand HEX value.</t>
      </text>
    </comment>
    <comment authorId="0" ref="M731">
      <text>
        <t xml:space="preserve">Illustrative generic shade assigned to this colour name for display. This is NOT a sourced or certified club-brand HEX value.</t>
      </text>
    </comment>
    <comment authorId="0" ref="L665">
      <text>
        <t xml:space="preserve">Illustrative generic shade assigned to this colour name for display. This is NOT a sourced or certified club-brand HEX value.</t>
      </text>
    </comment>
    <comment authorId="0" ref="M665">
      <text>
        <t xml:space="preserve">Illustrative generic shade assigned to this colour name for display. This is NOT a sourced or certified club-brand HEX value.</t>
      </text>
    </comment>
    <comment authorId="0" ref="L401">
      <text>
        <t xml:space="preserve">Illustrative generic shade assigned to this colour name for display. This is NOT a sourced or certified club-brand HEX value.</t>
      </text>
    </comment>
    <comment authorId="0" ref="M401">
      <text>
        <t xml:space="preserve">Illustrative generic shade assigned to this colour name for display. This is NOT a sourced or certified club-brand HEX value.</t>
      </text>
    </comment>
    <comment authorId="0" ref="L335">
      <text>
        <t xml:space="preserve">Illustrative generic shade assigned to this colour name for display. This is NOT a sourced or certified club-brand HEX value.</t>
      </text>
    </comment>
    <comment authorId="0" ref="M335">
      <text>
        <t xml:space="preserve">Illustrative generic shade assigned to this colour name for display. This is NOT a sourced or certified club-brand HEX value.</t>
      </text>
    </comment>
    <comment authorId="0" ref="L269">
      <text>
        <t xml:space="preserve">Illustrative generic shade assigned to this colour name for display. This is NOT a sourced or certified club-brand HEX value.</t>
      </text>
    </comment>
    <comment authorId="0" ref="M269">
      <text>
        <t xml:space="preserve">Illustrative generic shade assigned to this colour name for display. This is NOT a sourced or certified club-brand HEX value.</t>
      </text>
    </comment>
    <comment authorId="0" ref="L203">
      <text>
        <t xml:space="preserve">Illustrative generic shade assigned to this colour name for display. This is NOT a sourced or certified club-brand HEX value.</t>
      </text>
    </comment>
    <comment authorId="0" ref="M203">
      <text>
        <t xml:space="preserve">Illustrative generic shade assigned to this colour name for display. This is NOT a sourced or certified club-brand HEX value.</t>
      </text>
    </comment>
    <comment authorId="0" ref="L137">
      <text>
        <t xml:space="preserve">Illustrative generic shade assigned to this colour name for display. This is NOT a sourced or certified club-brand HEX value.</t>
      </text>
    </comment>
    <comment authorId="0" ref="M137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L732">
      <text>
        <t xml:space="preserve">Illustrative generic shade assigned to this colour name for display. This is NOT a sourced or certified club-brand HEX value.</t>
      </text>
    </comment>
    <comment authorId="0" ref="M732">
      <text>
        <t xml:space="preserve">Illustrative generic shade assigned to this colour name for display. This is NOT a sourced or certified club-brand HEX value.</t>
      </text>
    </comment>
    <comment authorId="0" ref="L666">
      <text>
        <t xml:space="preserve">Illustrative generic shade assigned to this colour name for display. This is NOT a sourced or certified club-brand HEX value.</t>
      </text>
    </comment>
    <comment authorId="0" ref="M666">
      <text>
        <t xml:space="preserve">Illustrative generic shade assigned to this colour name for display. This is NOT a sourced or certified club-brand HEX value.</t>
      </text>
    </comment>
    <comment authorId="0" ref="L534">
      <text>
        <t xml:space="preserve">Illustrative generic shade assigned to this colour name for display. This is NOT a sourced or certified club-brand HEX value.</t>
      </text>
    </comment>
    <comment authorId="0" ref="M534">
      <text>
        <t xml:space="preserve">Illustrative generic shade assigned to this colour name for display. This is NOT a sourced or certified club-brand HEX value.</t>
      </text>
    </comment>
    <comment authorId="0" ref="L336">
      <text>
        <t xml:space="preserve">Illustrative generic shade assigned to this colour name for display. This is NOT a sourced or certified club-brand HEX value.</t>
      </text>
    </comment>
    <comment authorId="0" ref="M336">
      <text>
        <t xml:space="preserve">Illustrative generic shade assigned to this colour name for display. This is NOT a sourced or certified club-brand HEX value.</t>
      </text>
    </comment>
    <comment authorId="0" ref="L270">
      <text>
        <t xml:space="preserve">Illustrative generic shade assigned to this colour name for display. This is NOT a sourced or certified club-brand HEX value.</t>
      </text>
    </comment>
    <comment authorId="0" ref="M270">
      <text>
        <t xml:space="preserve">Illustrative generic shade assigned to this colour name for display. This is NOT a sourced or certified club-brand HEX value.</t>
      </text>
    </comment>
    <comment authorId="0" ref="L204">
      <text>
        <t xml:space="preserve">Illustrative generic shade assigned to this colour name for display. This is NOT a sourced or certified club-brand HEX value.</t>
      </text>
    </comment>
    <comment authorId="0" ref="M204">
      <text>
        <t xml:space="preserve">Illustrative generic shade assigned to this colour name for display. This is NOT a sourced or certified club-brand HEX value.</t>
      </text>
    </comment>
    <comment authorId="0" ref="L138">
      <text>
        <t xml:space="preserve">Illustrative generic shade assigned to this colour name for display. This is NOT a sourced or certified club-brand HEX value.</t>
      </text>
    </comment>
    <comment authorId="0" ref="M138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L733">
      <text>
        <t xml:space="preserve">Illustrative generic shade assigned to this colour name for display. This is NOT a sourced or certified club-brand HEX value.</t>
      </text>
    </comment>
    <comment authorId="0" ref="M733">
      <text>
        <t xml:space="preserve">Illustrative generic shade assigned to this colour name for display. This is NOT a sourced or certified club-brand HEX value.</t>
      </text>
    </comment>
    <comment authorId="0" ref="L667">
      <text>
        <t xml:space="preserve">Illustrative generic shade assigned to this colour name for display. This is NOT a sourced or certified club-brand HEX value.</t>
      </text>
    </comment>
    <comment authorId="0" ref="M667">
      <text>
        <t xml:space="preserve">Illustrative generic shade assigned to this colour name for display. This is NOT a sourced or certified club-brand HEX value.</t>
      </text>
    </comment>
    <comment authorId="0" ref="L403">
      <text>
        <t xml:space="preserve">Illustrative generic shade assigned to this colour name for display. This is NOT a sourced or certified club-brand HEX value.</t>
      </text>
    </comment>
    <comment authorId="0" ref="M403">
      <text>
        <t xml:space="preserve">Illustrative generic shade assigned to this colour name for display. This is NOT a sourced or certified club-brand HEX value.</t>
      </text>
    </comment>
    <comment authorId="0" ref="L337">
      <text>
        <t xml:space="preserve">Illustrative generic shade assigned to this colour name for display. This is NOT a sourced or certified club-brand HEX value.</t>
      </text>
    </comment>
    <comment authorId="0" ref="M337">
      <text>
        <t xml:space="preserve">Illustrative generic shade assigned to this colour name for display. This is NOT a sourced or certified club-brand HEX value.</t>
      </text>
    </comment>
    <comment authorId="0" ref="L271">
      <text>
        <t xml:space="preserve">Illustrative generic shade assigned to this colour name for display. This is NOT a sourced or certified club-brand HEX value.</t>
      </text>
    </comment>
    <comment authorId="0" ref="M271">
      <text>
        <t xml:space="preserve">Illustrative generic shade assigned to this colour name for display. This is NOT a sourced or certified club-brand HEX value.</t>
      </text>
    </comment>
    <comment authorId="0" ref="L205">
      <text>
        <t xml:space="preserve">Illustrative generic shade assigned to this colour name for display. This is NOT a sourced or certified club-brand HEX value.</t>
      </text>
    </comment>
    <comment authorId="0" ref="M205">
      <text>
        <t xml:space="preserve">Illustrative generic shade assigned to this colour name for display. This is NOT a sourced or certified club-brand HEX value.</t>
      </text>
    </comment>
    <comment authorId="0" ref="L139">
      <text>
        <t xml:space="preserve">Illustrative generic shade assigned to this colour name for display. This is NOT a sourced or certified club-brand HEX value.</t>
      </text>
    </comment>
    <comment authorId="0" ref="M139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734">
      <text>
        <t xml:space="preserve">Illustrative generic shade assigned to this colour name for display. This is NOT a sourced or certified club-brand HEX value.</t>
      </text>
    </comment>
    <comment authorId="0" ref="M734">
      <text>
        <t xml:space="preserve">Illustrative generic shade assigned to this colour name for display. This is NOT a sourced or certified club-brand HEX value.</t>
      </text>
    </comment>
    <comment authorId="0" ref="L668">
      <text>
        <t xml:space="preserve">Illustrative generic shade assigned to this colour name for display. This is NOT a sourced or certified club-brand HEX value.</t>
      </text>
    </comment>
    <comment authorId="0" ref="M668">
      <text>
        <t xml:space="preserve">Illustrative generic shade assigned to this colour name for display. This is NOT a sourced or certified club-brand HEX value.</t>
      </text>
    </comment>
    <comment authorId="0" ref="L602">
      <text>
        <t xml:space="preserve">Illustrative generic shade assigned to this colour name for display. This is NOT a sourced or certified club-brand HEX value.</t>
      </text>
    </comment>
    <comment authorId="0" ref="M602">
      <text>
        <t xml:space="preserve">Illustrative generic shade assigned to this colour name for display. This is NOT a sourced or certified club-brand HEX value.</t>
      </text>
    </comment>
    <comment authorId="0" ref="L536">
      <text>
        <t xml:space="preserve">Illustrative generic shade assigned to this colour name for display. This is NOT a sourced or certified club-brand HEX value.</t>
      </text>
    </comment>
    <comment authorId="0" ref="M536">
      <text>
        <t xml:space="preserve">Illustrative generic shade assigned to this colour name for display. This is NOT a sourced or certified club-brand HEX value.</t>
      </text>
    </comment>
    <comment authorId="0" ref="L470">
      <text>
        <t xml:space="preserve">Illustrative generic shade assigned to this colour name for display. This is NOT a sourced or certified club-brand HEX value.</t>
      </text>
    </comment>
    <comment authorId="0" ref="M470">
      <text>
        <t xml:space="preserve">Illustrative generic shade assigned to this colour name for display. This is NOT a sourced or certified club-brand HEX value.</t>
      </text>
    </comment>
    <comment authorId="0" ref="L404">
      <text>
        <t xml:space="preserve">Illustrative generic shade assigned to this colour name for display. This is NOT a sourced or certified club-brand HEX value.</t>
      </text>
    </comment>
    <comment authorId="0" ref="M404">
      <text>
        <t xml:space="preserve">Illustrative generic shade assigned to this colour name for display. This is NOT a sourced or certified club-brand HEX value.</t>
      </text>
    </comment>
    <comment authorId="0" ref="L338">
      <text>
        <t xml:space="preserve">Illustrative generic shade assigned to this colour name for display. This is NOT a sourced or certified club-brand HEX value.</t>
      </text>
    </comment>
    <comment authorId="0" ref="M338">
      <text>
        <t xml:space="preserve">Illustrative generic shade assigned to this colour name for display. This is NOT a sourced or certified club-brand HEX value.</t>
      </text>
    </comment>
    <comment authorId="0" ref="L272">
      <text>
        <t xml:space="preserve">Illustrative generic shade assigned to this colour name for display. This is NOT a sourced or certified club-brand HEX value.</t>
      </text>
    </comment>
    <comment authorId="0" ref="M272">
      <text>
        <t xml:space="preserve">Illustrative generic shade assigned to this colour name for display. This is NOT a sourced or certified club-brand HEX value.</t>
      </text>
    </comment>
    <comment authorId="0" ref="L206">
      <text>
        <t xml:space="preserve">Illustrative generic shade assigned to this colour name for display. This is NOT a sourced or certified club-brand HEX value.</t>
      </text>
    </comment>
    <comment authorId="0" ref="M206">
      <text>
        <t xml:space="preserve">Illustrative generic shade assigned to this colour name for display. This is NOT a sourced or certified club-brand HEX value.</t>
      </text>
    </comment>
    <comment authorId="0" ref="L140">
      <text>
        <t xml:space="preserve">Illustrative generic shade assigned to this colour name for display. This is NOT a sourced or certified club-brand HEX value.</t>
      </text>
    </comment>
    <comment authorId="0" ref="M140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735">
      <text>
        <t xml:space="preserve">Illustrative generic shade assigned to this colour name for display. This is NOT a sourced or certified club-brand HEX value.</t>
      </text>
    </comment>
    <comment authorId="0" ref="M735">
      <text>
        <t xml:space="preserve">Illustrative generic shade assigned to this colour name for display. This is NOT a sourced or certified club-brand HEX value.</t>
      </text>
    </comment>
    <comment authorId="0" ref="L669">
      <text>
        <t xml:space="preserve">Illustrative generic shade assigned to this colour name for display. This is NOT a sourced or certified club-brand HEX value.</t>
      </text>
    </comment>
    <comment authorId="0" ref="M669">
      <text>
        <t xml:space="preserve">Illustrative generic shade assigned to this colour name for display. This is NOT a sourced or certified club-brand HEX value.</t>
      </text>
    </comment>
    <comment authorId="0" ref="L471">
      <text>
        <t xml:space="preserve">Illustrative generic shade assigned to this colour name for display. This is NOT a sourced or certified club-brand HEX value.</t>
      </text>
    </comment>
    <comment authorId="0" ref="M471">
      <text>
        <t xml:space="preserve">Illustrative generic shade assigned to this colour name for display. This is NOT a sourced or certified club-brand HEX value.</t>
      </text>
    </comment>
    <comment authorId="0" ref="L339">
      <text>
        <t xml:space="preserve">Illustrative generic shade assigned to this colour name for display. This is NOT a sourced or certified club-brand HEX value.</t>
      </text>
    </comment>
    <comment authorId="0" ref="M339">
      <text>
        <t xml:space="preserve">Illustrative generic shade assigned to this colour name for display. This is NOT a sourced or certified club-brand HEX value.</t>
      </text>
    </comment>
    <comment authorId="0" ref="L273">
      <text>
        <t xml:space="preserve">Illustrative generic shade assigned to this colour name for display. This is NOT a sourced or certified club-brand HEX value.</t>
      </text>
    </comment>
    <comment authorId="0" ref="M273">
      <text>
        <t xml:space="preserve">Illustrative generic shade assigned to this colour name for display. This is NOT a sourced or certified club-brand HEX value.</t>
      </text>
    </comment>
    <comment authorId="0" ref="L207">
      <text>
        <t xml:space="preserve">Illustrative generic shade assigned to this colour name for display. This is NOT a sourced or certified club-brand HEX value.</t>
      </text>
    </comment>
    <comment authorId="0" ref="M207">
      <text>
        <t xml:space="preserve">Illustrative generic shade assigned to this colour name for display. This is NOT a sourced or certified club-brand HEX value.</t>
      </text>
    </comment>
    <comment authorId="0" ref="L141">
      <text>
        <t xml:space="preserve">Illustrative generic shade assigned to this colour name for display. This is NOT a sourced or certified club-brand HEX value.</t>
      </text>
    </comment>
    <comment authorId="0" ref="M141">
      <text>
        <t xml:space="preserve">Illustrative generic shade assigned to this colour name for display. This is NOT a sourced or certified club-brand HEX value.</t>
      </text>
    </comment>
    <comment authorId="0" ref="L75">
      <text>
        <t xml:space="preserve">Illustrative generic shade assigned to this colour name for display. This is NOT a sourced or certified club-brand HEX value.</t>
      </text>
    </comment>
    <comment authorId="0" ref="M75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736">
      <text>
        <t xml:space="preserve">Illustrative generic shade assigned to this colour name for display. This is NOT a sourced or certified club-brand HEX value.</t>
      </text>
    </comment>
    <comment authorId="0" ref="M736">
      <text>
        <t xml:space="preserve">Illustrative generic shade assigned to this colour name for display. This is NOT a sourced or certified club-brand HEX value.</t>
      </text>
    </comment>
    <comment authorId="0" ref="L670">
      <text>
        <t xml:space="preserve">Illustrative generic shade assigned to this colour name for display. This is NOT a sourced or certified club-brand HEX value.</t>
      </text>
    </comment>
    <comment authorId="0" ref="M670">
      <text>
        <t xml:space="preserve">Illustrative generic shade assigned to this colour name for display. This is NOT a sourced or certified club-brand HEX value.</t>
      </text>
    </comment>
    <comment authorId="0" ref="L538">
      <text>
        <t xml:space="preserve">Illustrative generic shade assigned to this colour name for display. This is NOT a sourced or certified club-brand HEX value.</t>
      </text>
    </comment>
    <comment authorId="0" ref="M538">
      <text>
        <t xml:space="preserve">Illustrative generic shade assigned to this colour name for display. This is NOT a sourced or certified club-brand HEX value.</t>
      </text>
    </comment>
    <comment authorId="0" ref="L406">
      <text>
        <t xml:space="preserve">Illustrative generic shade assigned to this colour name for display. This is NOT a sourced or certified club-brand HEX value.</t>
      </text>
    </comment>
    <comment authorId="0" ref="M406">
      <text>
        <t xml:space="preserve">Illustrative generic shade assigned to this colour name for display. This is NOT a sourced or certified club-brand HEX value.</t>
      </text>
    </comment>
    <comment authorId="0" ref="L340">
      <text>
        <t xml:space="preserve">Illustrative generic shade assigned to this colour name for display. This is NOT a sourced or certified club-brand HEX value.</t>
      </text>
    </comment>
    <comment authorId="0" ref="M340">
      <text>
        <t xml:space="preserve">Illustrative generic shade assigned to this colour name for display. This is NOT a sourced or certified club-brand HEX value.</t>
      </text>
    </comment>
    <comment authorId="0" ref="L274">
      <text>
        <t xml:space="preserve">Illustrative generic shade assigned to this colour name for display. This is NOT a sourced or certified club-brand HEX value.</t>
      </text>
    </comment>
    <comment authorId="0" ref="M274">
      <text>
        <t xml:space="preserve">Illustrative generic shade assigned to this colour name for display. This is NOT a sourced or certified club-brand HEX value.</t>
      </text>
    </comment>
    <comment authorId="0" ref="L208">
      <text>
        <t xml:space="preserve">Illustrative generic shade assigned to this colour name for display. This is NOT a sourced or certified club-brand HEX value.</t>
      </text>
    </comment>
    <comment authorId="0" ref="M208">
      <text>
        <t xml:space="preserve">Illustrative generic shade assigned to this colour name for display. This is NOT a sourced or certified club-brand HEX value.</t>
      </text>
    </comment>
    <comment authorId="0" ref="L142">
      <text>
        <t xml:space="preserve">Illustrative generic shade assigned to this colour name for display. This is NOT a sourced or certified club-brand HEX value.</t>
      </text>
    </comment>
    <comment authorId="0" ref="M142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737">
      <text>
        <t xml:space="preserve">Illustrative generic shade assigned to this colour name for display. This is NOT a sourced or certified club-brand HEX value.</t>
      </text>
    </comment>
    <comment authorId="0" ref="M737">
      <text>
        <t xml:space="preserve">Illustrative generic shade assigned to this colour name for display. This is NOT a sourced or certified club-brand HEX value.</t>
      </text>
    </comment>
    <comment authorId="0" ref="L671">
      <text>
        <t xml:space="preserve">Illustrative generic shade assigned to this colour name for display. This is NOT a sourced or certified club-brand HEX value.</t>
      </text>
    </comment>
    <comment authorId="0" ref="M671">
      <text>
        <t xml:space="preserve">Illustrative generic shade assigned to this colour name for display. This is NOT a sourced or certified club-brand HEX value.</t>
      </text>
    </comment>
    <comment authorId="0" ref="L539">
      <text>
        <t xml:space="preserve">Illustrative generic shade assigned to this colour name for display. This is NOT a sourced or certified club-brand HEX value.</t>
      </text>
    </comment>
    <comment authorId="0" ref="M539">
      <text>
        <t xml:space="preserve">Illustrative generic shade assigned to this colour name for display. This is NOT a sourced or certified club-brand HEX value.</t>
      </text>
    </comment>
    <comment authorId="0" ref="L341">
      <text>
        <t xml:space="preserve">Illustrative generic shade assigned to this colour name for display. This is NOT a sourced or certified club-brand HEX value.</t>
      </text>
    </comment>
    <comment authorId="0" ref="M341">
      <text>
        <t xml:space="preserve">Illustrative generic shade assigned to this colour name for display. This is NOT a sourced or certified club-brand HEX value.</t>
      </text>
    </comment>
    <comment authorId="0" ref="L275">
      <text>
        <t xml:space="preserve">Illustrative generic shade assigned to this colour name for display. This is NOT a sourced or certified club-brand HEX value.</t>
      </text>
    </comment>
    <comment authorId="0" ref="M275">
      <text>
        <t xml:space="preserve">Illustrative generic shade assigned to this colour name for display. This is NOT a sourced or certified club-brand HEX value.</t>
      </text>
    </comment>
    <comment authorId="0" ref="L209">
      <text>
        <t xml:space="preserve">Illustrative generic shade assigned to this colour name for display. This is NOT a sourced or certified club-brand HEX value.</t>
      </text>
    </comment>
    <comment authorId="0" ref="M209">
      <text>
        <t xml:space="preserve">Illustrative generic shade assigned to this colour name for display. This is NOT a sourced or certified club-brand HEX value.</t>
      </text>
    </comment>
    <comment authorId="0" ref="L143">
      <text>
        <t xml:space="preserve">Illustrative generic shade assigned to this colour name for display. This is NOT a sourced or certified club-brand HEX value.</t>
      </text>
    </comment>
    <comment authorId="0" ref="M143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738">
      <text>
        <t xml:space="preserve">Illustrative generic shade assigned to this colour name for display. This is NOT a sourced or certified club-brand HEX value.</t>
      </text>
    </comment>
    <comment authorId="0" ref="M738">
      <text>
        <t xml:space="preserve">Illustrative generic shade assigned to this colour name for display. This is NOT a sourced or certified club-brand HEX value.</t>
      </text>
    </comment>
    <comment authorId="0" ref="L540">
      <text>
        <t xml:space="preserve">Illustrative generic shade assigned to this colour name for display. This is NOT a sourced or certified club-brand HEX value.</t>
      </text>
    </comment>
    <comment authorId="0" ref="M540">
      <text>
        <t xml:space="preserve">Illustrative generic shade assigned to this colour name for display. This is NOT a sourced or certified club-brand HEX value.</t>
      </text>
    </comment>
    <comment authorId="0" ref="L342">
      <text>
        <t xml:space="preserve">Illustrative generic shade assigned to this colour name for display. This is NOT a sourced or certified club-brand HEX value.</t>
      </text>
    </comment>
    <comment authorId="0" ref="M342">
      <text>
        <t xml:space="preserve">Illustrative generic shade assigned to this colour name for display. This is NOT a sourced or certified club-brand HEX value.</t>
      </text>
    </comment>
    <comment authorId="0" ref="L276">
      <text>
        <t xml:space="preserve">Illustrative generic shade assigned to this colour name for display. This is NOT a sourced or certified club-brand HEX value.</t>
      </text>
    </comment>
    <comment authorId="0" ref="M276">
      <text>
        <t xml:space="preserve">Illustrative generic shade assigned to this colour name for display. This is NOT a sourced or certified club-brand HEX value.</t>
      </text>
    </comment>
    <comment authorId="0" ref="L210">
      <text>
        <t xml:space="preserve">Illustrative generic shade assigned to this colour name for display. This is NOT a sourced or certified club-brand HEX value.</t>
      </text>
    </comment>
    <comment authorId="0" ref="M210">
      <text>
        <t xml:space="preserve">Illustrative generic shade assigned to this colour name for display. This is NOT a sourced or certified club-brand HEX value.</t>
      </text>
    </comment>
    <comment authorId="0" ref="L144">
      <text>
        <t xml:space="preserve">Illustrative generic shade assigned to this colour name for display. This is NOT a sourced or certified club-brand HEX value.</t>
      </text>
    </comment>
    <comment authorId="0" ref="M144">
      <text>
        <t xml:space="preserve">Illustrative generic shade assigned to this colour name for display. This is NOT a sourced or certified club-brand HEX value.</t>
      </text>
    </comment>
    <comment authorId="0" ref="L78">
      <text>
        <t xml:space="preserve">Illustrative generic shade assigned to this colour name for display. This is NOT a sourced or certified club-brand HEX value.</t>
      </text>
    </comment>
    <comment authorId="0" ref="M78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739">
      <text>
        <t xml:space="preserve">Illustrative generic shade assigned to this colour name for display. This is NOT a sourced or certified club-brand HEX value.</t>
      </text>
    </comment>
    <comment authorId="0" ref="M739">
      <text>
        <t xml:space="preserve">Illustrative generic shade assigned to this colour name for display. This is NOT a sourced or certified club-brand HEX value.</t>
      </text>
    </comment>
    <comment authorId="0" ref="L673">
      <text>
        <t xml:space="preserve">Illustrative generic shade assigned to this colour name for display. This is NOT a sourced or certified club-brand HEX value.</t>
      </text>
    </comment>
    <comment authorId="0" ref="M673">
      <text>
        <t xml:space="preserve">Illustrative generic shade assigned to this colour name for display. This is NOT a sourced or certified club-brand HEX value.</t>
      </text>
    </comment>
    <comment authorId="0" ref="L607">
      <text>
        <t xml:space="preserve">Illustrative generic shade assigned to this colour name for display. This is NOT a sourced or certified club-brand HEX value.</t>
      </text>
    </comment>
    <comment authorId="0" ref="M607">
      <text>
        <t xml:space="preserve">Illustrative generic shade assigned to this colour name for display. This is NOT a sourced or certified club-brand HEX value.</t>
      </text>
    </comment>
    <comment authorId="0" ref="L541">
      <text>
        <t xml:space="preserve">Illustrative generic shade assigned to this colour name for display. This is NOT a sourced or certified club-brand HEX value.</t>
      </text>
    </comment>
    <comment authorId="0" ref="M541">
      <text>
        <t xml:space="preserve">Illustrative generic shade assigned to this colour name for display. This is NOT a sourced or certified club-brand HEX value.</t>
      </text>
    </comment>
    <comment authorId="0" ref="L475">
      <text>
        <t xml:space="preserve">Illustrative generic shade assigned to this colour name for display. This is NOT a sourced or certified club-brand HEX value.</t>
      </text>
    </comment>
    <comment authorId="0" ref="M475">
      <text>
        <t xml:space="preserve">Illustrative generic shade assigned to this colour name for display. This is NOT a sourced or certified club-brand HEX value.</t>
      </text>
    </comment>
    <comment authorId="0" ref="L409">
      <text>
        <t xml:space="preserve">Illustrative generic shade assigned to this colour name for display. This is NOT a sourced or certified club-brand HEX value.</t>
      </text>
    </comment>
    <comment authorId="0" ref="M409">
      <text>
        <t xml:space="preserve">Illustrative generic shade assigned to this colour name for display. This is NOT a sourced or certified club-brand HEX value.</t>
      </text>
    </comment>
    <comment authorId="0" ref="L343">
      <text>
        <t xml:space="preserve">Illustrative generic shade assigned to this colour name for display. This is NOT a sourced or certified club-brand HEX value.</t>
      </text>
    </comment>
    <comment authorId="0" ref="M343">
      <text>
        <t xml:space="preserve">Illustrative generic shade assigned to this colour name for display. This is NOT a sourced or certified club-brand HEX value.</t>
      </text>
    </comment>
    <comment authorId="0" ref="L277">
      <text>
        <t xml:space="preserve">Illustrative generic shade assigned to this colour name for display. This is NOT a sourced or certified club-brand HEX value.</t>
      </text>
    </comment>
    <comment authorId="0" ref="M277">
      <text>
        <t xml:space="preserve">Illustrative generic shade assigned to this colour name for display. This is NOT a sourced or certified club-brand HEX value.</t>
      </text>
    </comment>
    <comment authorId="0" ref="L211">
      <text>
        <t xml:space="preserve">Illustrative generic shade assigned to this colour name for display. This is NOT a sourced or certified club-brand HEX value.</t>
      </text>
    </comment>
    <comment authorId="0" ref="M211">
      <text>
        <t xml:space="preserve">Illustrative generic shade assigned to this colour name for display. This is NOT a sourced or certified club-brand HEX value.</t>
      </text>
    </comment>
    <comment authorId="0" ref="L145">
      <text>
        <t xml:space="preserve">Illustrative generic shade assigned to this colour name for display. This is NOT a sourced or certified club-brand HEX value.</t>
      </text>
    </comment>
    <comment authorId="0" ref="M145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740">
      <text>
        <t xml:space="preserve">Illustrative generic shade assigned to this colour name for display. This is NOT a sourced or certified club-brand HEX value.</t>
      </text>
    </comment>
    <comment authorId="0" ref="M740">
      <text>
        <t xml:space="preserve">Illustrative generic shade assigned to this colour name for display. This is NOT a sourced or certified club-brand HEX value.</t>
      </text>
    </comment>
    <comment authorId="0" ref="L674">
      <text>
        <t xml:space="preserve">Illustrative generic shade assigned to this colour name for display. This is NOT a sourced or certified club-brand HEX value.</t>
      </text>
    </comment>
    <comment authorId="0" ref="M674">
      <text>
        <t xml:space="preserve">Illustrative generic shade assigned to this colour name for display. This is NOT a sourced or certified club-brand HEX value.</t>
      </text>
    </comment>
    <comment authorId="0" ref="L344">
      <text>
        <t xml:space="preserve">Illustrative generic shade assigned to this colour name for display. This is NOT a sourced or certified club-brand HEX value.</t>
      </text>
    </comment>
    <comment authorId="0" ref="M344">
      <text>
        <t xml:space="preserve">Illustrative generic shade assigned to this colour name for display. This is NOT a sourced or certified club-brand HEX value.</t>
      </text>
    </comment>
    <comment authorId="0" ref="L278">
      <text>
        <t xml:space="preserve">Illustrative generic shade assigned to this colour name for display. This is NOT a sourced or certified club-brand HEX value.</t>
      </text>
    </comment>
    <comment authorId="0" ref="M278">
      <text>
        <t xml:space="preserve">Illustrative generic shade assigned to this colour name for display. This is NOT a sourced or certified club-brand HEX value.</t>
      </text>
    </comment>
    <comment authorId="0" ref="L212">
      <text>
        <t xml:space="preserve">Illustrative generic shade assigned to this colour name for display. This is NOT a sourced or certified club-brand HEX value.</t>
      </text>
    </comment>
    <comment authorId="0" ref="M212">
      <text>
        <t xml:space="preserve">Illustrative generic shade assigned to this colour name for display. This is NOT a sourced or certified club-brand HEX value.</t>
      </text>
    </comment>
    <comment authorId="0" ref="L80">
      <text>
        <t xml:space="preserve">Illustrative generic shade assigned to this colour name for display. This is NOT a sourced or certified club-brand HEX value.</t>
      </text>
    </comment>
    <comment authorId="0" ref="M80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741">
      <text>
        <t xml:space="preserve">Illustrative generic shade assigned to this colour name for display. This is NOT a sourced or certified club-brand HEX value.</t>
      </text>
    </comment>
    <comment authorId="0" ref="M741">
      <text>
        <t xml:space="preserve">Illustrative generic shade assigned to this colour name for display. This is NOT a sourced or certified club-brand HEX value.</t>
      </text>
    </comment>
    <comment authorId="0" ref="L675">
      <text>
        <t xml:space="preserve">Illustrative generic shade assigned to this colour name for display. This is NOT a sourced or certified club-brand HEX value.</t>
      </text>
    </comment>
    <comment authorId="0" ref="M675">
      <text>
        <t xml:space="preserve">Illustrative generic shade assigned to this colour name for display. This is NOT a sourced or certified club-brand HEX value.</t>
      </text>
    </comment>
    <comment authorId="0" ref="L345">
      <text>
        <t xml:space="preserve">Illustrative generic shade assigned to this colour name for display. This is NOT a sourced or certified club-brand HEX value.</t>
      </text>
    </comment>
    <comment authorId="0" ref="M345">
      <text>
        <t xml:space="preserve">Illustrative generic shade assigned to this colour name for display. This is NOT a sourced or certified club-brand HEX value.</t>
      </text>
    </comment>
    <comment authorId="0" ref="L279">
      <text>
        <t xml:space="preserve">Illustrative generic shade assigned to this colour name for display. This is NOT a sourced or certified club-brand HEX value.</t>
      </text>
    </comment>
    <comment authorId="0" ref="M279">
      <text>
        <t xml:space="preserve">Illustrative generic shade assigned to this colour name for display. This is NOT a sourced or certified club-brand HEX value.</t>
      </text>
    </comment>
    <comment authorId="0" ref="L213">
      <text>
        <t xml:space="preserve">Illustrative generic shade assigned to this colour name for display. This is NOT a sourced or certified club-brand HEX value.</t>
      </text>
    </comment>
    <comment authorId="0" ref="M213">
      <text>
        <t xml:space="preserve">Illustrative generic shade assigned to this colour name for display. This is NOT a sourced or certified club-brand HEX value.</t>
      </text>
    </comment>
    <comment authorId="0" ref="L147">
      <text>
        <t xml:space="preserve">Illustrative generic shade assigned to this colour name for display. This is NOT a sourced or certified club-brand HEX value.</t>
      </text>
    </comment>
    <comment authorId="0" ref="M147">
      <text>
        <t xml:space="preserve">Illustrative generic shade assigned to this colour name for display. This is NOT a sourced or certified club-brand HEX value.</t>
      </text>
    </comment>
    <comment authorId="0" ref="L81">
      <text>
        <t xml:space="preserve">Illustrative generic shade assigned to this colour name for display. This is NOT a sourced or certified club-brand HEX value.</t>
      </text>
    </comment>
    <comment authorId="0" ref="M81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742">
      <text>
        <t xml:space="preserve">Illustrative generic shade assigned to this colour name for display. This is NOT a sourced or certified club-brand HEX value.</t>
      </text>
    </comment>
    <comment authorId="0" ref="M742">
      <text>
        <t xml:space="preserve">Illustrative generic shade assigned to this colour name for display. This is NOT a sourced or certified club-brand HEX value.</t>
      </text>
    </comment>
    <comment authorId="0" ref="L676">
      <text>
        <t xml:space="preserve">Illustrative generic shade assigned to this colour name for display. This is NOT a sourced or certified club-brand HEX value.</t>
      </text>
    </comment>
    <comment authorId="0" ref="M676">
      <text>
        <t xml:space="preserve">Illustrative generic shade assigned to this colour name for display. This is NOT a sourced or certified club-brand HEX value.</t>
      </text>
    </comment>
    <comment authorId="0" ref="L544">
      <text>
        <t xml:space="preserve">Illustrative generic shade assigned to this colour name for display. This is NOT a sourced or certified club-brand HEX value.</t>
      </text>
    </comment>
    <comment authorId="0" ref="M544">
      <text>
        <t xml:space="preserve">Illustrative generic shade assigned to this colour name for display. This is NOT a sourced or certified club-brand HEX value.</t>
      </text>
    </comment>
    <comment authorId="0" ref="L346">
      <text>
        <t xml:space="preserve">Illustrative generic shade assigned to this colour name for display. This is NOT a sourced or certified club-brand HEX value.</t>
      </text>
    </comment>
    <comment authorId="0" ref="M346">
      <text>
        <t xml:space="preserve">Illustrative generic shade assigned to this colour name for display. This is NOT a sourced or certified club-brand HEX value.</t>
      </text>
    </comment>
    <comment authorId="0" ref="L280">
      <text>
        <t xml:space="preserve">Illustrative generic shade assigned to this colour name for display. This is NOT a sourced or certified club-brand HEX value.</t>
      </text>
    </comment>
    <comment authorId="0" ref="M280">
      <text>
        <t xml:space="preserve">Illustrative generic shade assigned to this colour name for display. This is NOT a sourced or certified club-brand HEX value.</t>
      </text>
    </comment>
    <comment authorId="0" ref="L214">
      <text>
        <t xml:space="preserve">Illustrative generic shade assigned to this colour name for display. This is NOT a sourced or certified club-brand HEX value.</t>
      </text>
    </comment>
    <comment authorId="0" ref="M214">
      <text>
        <t xml:space="preserve">Illustrative generic shade assigned to this colour name for display. This is NOT a sourced or certified club-brand HEX value.</t>
      </text>
    </comment>
    <comment authorId="0" ref="L148">
      <text>
        <t xml:space="preserve">Illustrative generic shade assigned to this colour name for display. This is NOT a sourced or certified club-brand HEX value.</t>
      </text>
    </comment>
    <comment authorId="0" ref="L82">
      <text>
        <t xml:space="preserve">Illustrative generic shade assigned to this colour name for display. This is NOT a sourced or certified club-brand HEX value.</t>
      </text>
    </comment>
    <comment authorId="0" ref="M82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743">
      <text>
        <t xml:space="preserve">Illustrative generic shade assigned to this colour name for display. This is NOT a sourced or certified club-brand HEX value.</t>
      </text>
    </comment>
    <comment authorId="0" ref="M743">
      <text>
        <t xml:space="preserve">Illustrative generic shade assigned to this colour name for display. This is NOT a sourced or certified club-brand HEX value.</t>
      </text>
    </comment>
    <comment authorId="0" ref="L677">
      <text>
        <t xml:space="preserve">Illustrative generic shade assigned to this colour name for display. This is NOT a sourced or certified club-brand HEX value.</t>
      </text>
    </comment>
    <comment authorId="0" ref="M677">
      <text>
        <t xml:space="preserve">Illustrative generic shade assigned to this colour name for display. This is NOT a sourced or certified club-brand HEX value.</t>
      </text>
    </comment>
    <comment authorId="0" ref="L611">
      <text>
        <t xml:space="preserve">Illustrative generic shade assigned to this colour name for display. This is NOT a sourced or certified club-brand HEX value.</t>
      </text>
    </comment>
    <comment authorId="0" ref="M611">
      <text>
        <t xml:space="preserve">Illustrative generic shade assigned to this colour name for display. This is NOT a sourced or certified club-brand HEX value.</t>
      </text>
    </comment>
    <comment authorId="0" ref="L347">
      <text>
        <t xml:space="preserve">Illustrative generic shade assigned to this colour name for display. This is NOT a sourced or certified club-brand HEX value.</t>
      </text>
    </comment>
    <comment authorId="0" ref="M347">
      <text>
        <t xml:space="preserve">Illustrative generic shade assigned to this colour name for display. This is NOT a sourced or certified club-brand HEX value.</t>
      </text>
    </comment>
    <comment authorId="0" ref="L281">
      <text>
        <t xml:space="preserve">Illustrative generic shade assigned to this colour name for display. This is NOT a sourced or certified club-brand HEX value.</t>
      </text>
    </comment>
    <comment authorId="0" ref="M281">
      <text>
        <t xml:space="preserve">Illustrative generic shade assigned to this colour name for display. This is NOT a sourced or certified club-brand HEX value.</t>
      </text>
    </comment>
    <comment authorId="0" ref="L215">
      <text>
        <t xml:space="preserve">Illustrative generic shade assigned to this colour name for display. This is NOT a sourced or certified club-brand HEX value.</t>
      </text>
    </comment>
    <comment authorId="0" ref="M215">
      <text>
        <t xml:space="preserve">Illustrative generic shade assigned to this colour name for display. This is NOT a sourced or certified club-brand HEX value.</t>
      </text>
    </comment>
    <comment authorId="0" ref="L149">
      <text>
        <t xml:space="preserve">Illustrative generic shade assigned to this colour name for display. This is NOT a sourced or certified club-brand HEX value.</t>
      </text>
    </comment>
    <comment authorId="0" ref="M149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  <comment authorId="0" ref="L744">
      <text>
        <t xml:space="preserve">Illustrative generic shade assigned to this colour name for display. This is NOT a sourced or certified club-brand HEX value.</t>
      </text>
    </comment>
    <comment authorId="0" ref="M744">
      <text>
        <t xml:space="preserve">Illustrative generic shade assigned to this colour name for display. This is NOT a sourced or certified club-brand HEX value.</t>
      </text>
    </comment>
    <comment authorId="0" ref="L678">
      <text>
        <t xml:space="preserve">Illustrative generic shade assigned to this colour name for display. This is NOT a sourced or certified club-brand HEX value.</t>
      </text>
    </comment>
    <comment authorId="0" ref="M678">
      <text>
        <t xml:space="preserve">Illustrative generic shade assigned to this colour name for display. This is NOT a sourced or certified club-brand HEX value.</t>
      </text>
    </comment>
    <comment authorId="0" ref="L612">
      <text>
        <t xml:space="preserve">Illustrative generic shade assigned to this colour name for display. This is NOT a sourced or certified club-brand HEX value.</t>
      </text>
    </comment>
    <comment authorId="0" ref="M612">
      <text>
        <t xml:space="preserve">Illustrative generic shade assigned to this colour name for display. This is NOT a sourced or certified club-brand HEX value.</t>
      </text>
    </comment>
    <comment authorId="0" ref="L546">
      <text>
        <t xml:space="preserve">Illustrative generic shade assigned to this colour name for display. This is NOT a sourced or certified club-brand HEX value.</t>
      </text>
    </comment>
    <comment authorId="0" ref="M546">
      <text>
        <t xml:space="preserve">Illustrative generic shade assigned to this colour name for display. This is NOT a sourced or certified club-brand HEX value.</t>
      </text>
    </comment>
    <comment authorId="0" ref="L348">
      <text>
        <t xml:space="preserve">Illustrative generic shade assigned to this colour name for display. This is NOT a sourced or certified club-brand HEX value.</t>
      </text>
    </comment>
    <comment authorId="0" ref="M348">
      <text>
        <t xml:space="preserve">Illustrative generic shade assigned to this colour name for display. This is NOT a sourced or certified club-brand HEX value.</t>
      </text>
    </comment>
    <comment authorId="0" ref="L282">
      <text>
        <t xml:space="preserve">Illustrative generic shade assigned to this colour name for display. This is NOT a sourced or certified club-brand HEX value.</t>
      </text>
    </comment>
    <comment authorId="0" ref="M282">
      <text>
        <t xml:space="preserve">Illustrative generic shade assigned to this colour name for display. This is NOT a sourced or certified club-brand HEX value.</t>
      </text>
    </comment>
    <comment authorId="0" ref="L216">
      <text>
        <t xml:space="preserve">Illustrative generic shade assigned to this colour name for display. This is NOT a sourced or certified club-brand HEX value.</t>
      </text>
    </comment>
    <comment authorId="0" ref="M216">
      <text>
        <t xml:space="preserve">Illustrative generic shade assigned to this colour name for display. This is NOT a sourced or certified club-brand HEX value.</t>
      </text>
    </comment>
    <comment authorId="0" ref="L150">
      <text>
        <t xml:space="preserve">Illustrative generic shade assigned to this colour name for display. This is NOT a sourced or certified club-brand HEX value.</t>
      </text>
    </comment>
    <comment authorId="0" ref="M150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745">
      <text>
        <t xml:space="preserve">Illustrative generic shade assigned to this colour name for display. This is NOT a sourced or certified club-brand HEX value.</t>
      </text>
    </comment>
    <comment authorId="0" ref="M745">
      <text>
        <t xml:space="preserve">Illustrative generic shade assigned to this colour name for display. This is NOT a sourced or certified club-brand HEX value.</t>
      </text>
    </comment>
    <comment authorId="0" ref="L679">
      <text>
        <t xml:space="preserve">Illustrative generic shade assigned to this colour name for display. This is NOT a sourced or certified club-brand HEX value.</t>
      </text>
    </comment>
    <comment authorId="0" ref="M679">
      <text>
        <t xml:space="preserve">Illustrative generic shade assigned to this colour name for display. This is NOT a sourced or certified club-brand HEX value.</t>
      </text>
    </comment>
    <comment authorId="0" ref="L613">
      <text>
        <t xml:space="preserve">Illustrative generic shade assigned to this colour name for display. This is NOT a sourced or certified club-brand HEX value.</t>
      </text>
    </comment>
    <comment authorId="0" ref="M613">
      <text>
        <t xml:space="preserve">Illustrative generic shade assigned to this colour name for display. This is NOT a sourced or certified club-brand HEX value.</t>
      </text>
    </comment>
    <comment authorId="0" ref="L547">
      <text>
        <t xml:space="preserve">Illustrative generic shade assigned to this colour name for display. This is NOT a sourced or certified club-brand HEX value.</t>
      </text>
    </comment>
    <comment authorId="0" ref="M547">
      <text>
        <t xml:space="preserve">Illustrative generic shade assigned to this colour name for display. This is NOT a sourced or certified club-brand HEX value.</t>
      </text>
    </comment>
    <comment authorId="0" ref="L415">
      <text>
        <t xml:space="preserve">Illustrative generic shade assigned to this colour name for display. This is NOT a sourced or certified club-brand HEX value.</t>
      </text>
    </comment>
    <comment authorId="0" ref="M415">
      <text>
        <t xml:space="preserve">Illustrative generic shade assigned to this colour name for display. This is NOT a sourced or certified club-brand HEX value.</t>
      </text>
    </comment>
    <comment authorId="0" ref="L349">
      <text>
        <t xml:space="preserve">Illustrative generic shade assigned to this colour name for display. This is NOT a sourced or certified club-brand HEX value.</t>
      </text>
    </comment>
    <comment authorId="0" ref="M349">
      <text>
        <t xml:space="preserve">Illustrative generic shade assigned to this colour name for display. This is NOT a sourced or certified club-brand HEX value.</t>
      </text>
    </comment>
    <comment authorId="0" ref="L283">
      <text>
        <t xml:space="preserve">Illustrative generic shade assigned to this colour name for display. This is NOT a sourced or certified club-brand HEX value.</t>
      </text>
    </comment>
    <comment authorId="0" ref="M283">
      <text>
        <t xml:space="preserve">Illustrative generic shade assigned to this colour name for display. This is NOT a sourced or certified club-brand HEX value.</t>
      </text>
    </comment>
    <comment authorId="0" ref="L217">
      <text>
        <t xml:space="preserve">Illustrative generic shade assigned to this colour name for display. This is NOT a sourced or certified club-brand HEX value.</t>
      </text>
    </comment>
    <comment authorId="0" ref="M217">
      <text>
        <t xml:space="preserve">Illustrative generic shade assigned to this colour name for display. This is NOT a sourced or certified club-brand HEX value.</t>
      </text>
    </comment>
    <comment authorId="0" ref="L151">
      <text>
        <t xml:space="preserve">Illustrative generic shade assigned to this colour name for display. This is NOT a sourced or certified club-brand HEX value.</t>
      </text>
    </comment>
    <comment authorId="0" ref="M151">
      <text>
        <t xml:space="preserve">Illustrative generic shade assigned to this colour name for display. This is NOT a sourced or certified club-brand HEX value.</t>
      </text>
    </comment>
    <comment authorId="0" ref="L85">
      <text>
        <t xml:space="preserve">Illustrative generic shade assigned to this colour name for display. This is NOT a sourced or certified club-brand HEX value.</t>
      </text>
    </comment>
    <comment authorId="0" ref="M85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746">
      <text>
        <t xml:space="preserve">Illustrative generic shade assigned to this colour name for display. This is NOT a sourced or certified club-brand HEX value.</t>
      </text>
    </comment>
    <comment authorId="0" ref="M746">
      <text>
        <t xml:space="preserve">Illustrative generic shade assigned to this colour name for display. This is NOT a sourced or certified club-brand HEX value.</t>
      </text>
    </comment>
    <comment authorId="0" ref="L680">
      <text>
        <t xml:space="preserve">Illustrative generic shade assigned to this colour name for display. This is NOT a sourced or certified club-brand HEX value.</t>
      </text>
    </comment>
    <comment authorId="0" ref="M680">
      <text>
        <t xml:space="preserve">Illustrative generic shade assigned to this colour name for display. This is NOT a sourced or certified club-brand HEX value.</t>
      </text>
    </comment>
    <comment authorId="0" ref="L350">
      <text>
        <t xml:space="preserve">Illustrative generic shade assigned to this colour name for display. This is NOT a sourced or certified club-brand HEX value.</t>
      </text>
    </comment>
    <comment authorId="0" ref="M350">
      <text>
        <t xml:space="preserve">Illustrative generic shade assigned to this colour name for display. This is NOT a sourced or certified club-brand HEX value.</t>
      </text>
    </comment>
    <comment authorId="0" ref="L284">
      <text>
        <t xml:space="preserve">Illustrative generic shade assigned to this colour name for display. This is NOT a sourced or certified club-brand HEX value.</t>
      </text>
    </comment>
    <comment authorId="0" ref="M284">
      <text>
        <t xml:space="preserve">Illustrative generic shade assigned to this colour name for display. This is NOT a sourced or certified club-brand HEX value.</t>
      </text>
    </comment>
    <comment authorId="0" ref="L218">
      <text>
        <t xml:space="preserve">Illustrative generic shade assigned to this colour name for display. This is NOT a sourced or certified club-brand HEX value.</t>
      </text>
    </comment>
    <comment authorId="0" ref="M218">
      <text>
        <t xml:space="preserve">Illustrative generic shade assigned to this colour name for display. This is NOT a sourced or certified club-brand HEX value.</t>
      </text>
    </comment>
    <comment authorId="0" ref="L152">
      <text>
        <t xml:space="preserve">Illustrative generic shade assigned to this colour name for display. This is NOT a sourced or certified club-brand HEX value.</t>
      </text>
    </comment>
    <comment authorId="0" ref="M152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747">
      <text>
        <t xml:space="preserve">Illustrative generic shade assigned to this colour name for display. This is NOT a sourced or certified club-brand HEX value.</t>
      </text>
    </comment>
    <comment authorId="0" ref="M747">
      <text>
        <t xml:space="preserve">Illustrative generic shade assigned to this colour name for display. This is NOT a sourced or certified club-brand HEX value.</t>
      </text>
    </comment>
    <comment authorId="0" ref="L681">
      <text>
        <t xml:space="preserve">Illustrative generic shade assigned to this colour name for display. This is NOT a sourced or certified club-brand HEX value.</t>
      </text>
    </comment>
    <comment authorId="0" ref="M681">
      <text>
        <t xml:space="preserve">Illustrative generic shade assigned to this colour name for display. This is NOT a sourced or certified club-brand HEX value.</t>
      </text>
    </comment>
    <comment authorId="0" ref="L615">
      <text>
        <t xml:space="preserve">Illustrative generic shade assigned to this colour name for display. This is NOT a sourced or certified club-brand HEX value.</t>
      </text>
    </comment>
    <comment authorId="0" ref="M615">
      <text>
        <t xml:space="preserve">Illustrative generic shade assigned to this colour name for display. This is NOT a sourced or certified club-brand HEX value.</t>
      </text>
    </comment>
    <comment authorId="0" ref="L483">
      <text>
        <t xml:space="preserve">Illustrative generic shade assigned to this colour name for display. This is NOT a sourced or certified club-brand HEX value.</t>
      </text>
    </comment>
    <comment authorId="0" ref="M483">
      <text>
        <t xml:space="preserve">Illustrative generic shade assigned to this colour name for display. This is NOT a sourced or certified club-brand HEX value.</t>
      </text>
    </comment>
    <comment authorId="0" ref="L417">
      <text>
        <t xml:space="preserve">Illustrative generic shade assigned to this colour name for display. This is NOT a sourced or certified club-brand HEX value.</t>
      </text>
    </comment>
    <comment authorId="0" ref="M417">
      <text>
        <t xml:space="preserve">Illustrative generic shade assigned to this colour name for display. This is NOT a sourced or certified club-brand HEX value.</t>
      </text>
    </comment>
    <comment authorId="0" ref="L351">
      <text>
        <t xml:space="preserve">Illustrative generic shade assigned to this colour name for display. This is NOT a sourced or certified club-brand HEX value.</t>
      </text>
    </comment>
    <comment authorId="0" ref="M351">
      <text>
        <t xml:space="preserve">Illustrative generic shade assigned to this colour name for display. This is NOT a sourced or certified club-brand HEX value.</t>
      </text>
    </comment>
    <comment authorId="0" ref="L285">
      <text>
        <t xml:space="preserve">Illustrative generic shade assigned to this colour name for display. This is NOT a sourced or certified club-brand HEX value.</t>
      </text>
    </comment>
    <comment authorId="0" ref="M285">
      <text>
        <t xml:space="preserve">Illustrative generic shade assigned to this colour name for display. This is NOT a sourced or certified club-brand HEX value.</t>
      </text>
    </comment>
    <comment authorId="0" ref="L219">
      <text>
        <t xml:space="preserve">Illustrative generic shade assigned to this colour name for display. This is NOT a sourced or certified club-brand HEX value.</t>
      </text>
    </comment>
    <comment authorId="0" ref="M219">
      <text>
        <t xml:space="preserve">Illustrative generic shade assigned to this colour name for display. This is NOT a sourced or certified club-brand HEX value.</t>
      </text>
    </comment>
    <comment authorId="0" ref="L153">
      <text>
        <t xml:space="preserve">Illustrative generic shade assigned to this colour name for display. This is NOT a sourced or certified club-brand HEX value.</t>
      </text>
    </comment>
    <comment authorId="0" ref="M153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748">
      <text>
        <t xml:space="preserve">Illustrative generic shade assigned to this colour name for display. This is NOT a sourced or certified club-brand HEX value.</t>
      </text>
    </comment>
    <comment authorId="0" ref="M748">
      <text>
        <t xml:space="preserve">Illustrative generic shade assigned to this colour name for display. This is NOT a sourced or certified club-brand HEX value.</t>
      </text>
    </comment>
    <comment authorId="0" ref="L682">
      <text>
        <t xml:space="preserve">Illustrative generic shade assigned to this colour name for display. This is NOT a sourced or certified club-brand HEX value.</t>
      </text>
    </comment>
    <comment authorId="0" ref="M682">
      <text>
        <t xml:space="preserve">Illustrative generic shade assigned to this colour name for display. This is NOT a sourced or certified club-brand HEX value.</t>
      </text>
    </comment>
    <comment authorId="0" ref="L616">
      <text>
        <t xml:space="preserve">Illustrative generic shade assigned to this colour name for display. This is NOT a sourced or certified club-brand HEX value.</t>
      </text>
    </comment>
    <comment authorId="0" ref="M616">
      <text>
        <t xml:space="preserve">Illustrative generic shade assigned to this colour name for display. This is NOT a sourced or certified club-brand HEX value.</t>
      </text>
    </comment>
    <comment authorId="0" ref="L352">
      <text>
        <t xml:space="preserve">Illustrative generic shade assigned to this colour name for display. This is NOT a sourced or certified club-brand HEX value.</t>
      </text>
    </comment>
    <comment authorId="0" ref="M352">
      <text>
        <t xml:space="preserve">Illustrative generic shade assigned to this colour name for display. This is NOT a sourced or certified club-brand HEX value.</t>
      </text>
    </comment>
    <comment authorId="0" ref="L286">
      <text>
        <t xml:space="preserve">Illustrative generic shade assigned to this colour name for display. This is NOT a sourced or certified club-brand HEX value.</t>
      </text>
    </comment>
    <comment authorId="0" ref="M286">
      <text>
        <t xml:space="preserve">Illustrative generic shade assigned to this colour name for display. This is NOT a sourced or certified club-brand HEX value.</t>
      </text>
    </comment>
    <comment authorId="0" ref="L220">
      <text>
        <t xml:space="preserve">Illustrative generic shade assigned to this colour name for display. This is NOT a sourced or certified club-brand HEX value.</t>
      </text>
    </comment>
    <comment authorId="0" ref="M220">
      <text>
        <t xml:space="preserve">Illustrative generic shade assigned to this colour name for display. This is NOT a sourced or certified club-brand HEX value.</t>
      </text>
    </comment>
    <comment authorId="0" ref="L154">
      <text>
        <t xml:space="preserve">Illustrative generic shade assigned to this colour name for display. This is NOT a sourced or certified club-brand HEX value.</t>
      </text>
    </comment>
    <comment authorId="0" ref="M154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749">
      <text>
        <t xml:space="preserve">Illustrative generic shade assigned to this colour name for display. This is NOT a sourced or certified club-brand HEX value.</t>
      </text>
    </comment>
    <comment authorId="0" ref="M749">
      <text>
        <t xml:space="preserve">Illustrative generic shade assigned to this colour name for display. This is NOT a sourced or certified club-brand HEX value.</t>
      </text>
    </comment>
    <comment authorId="0" ref="L683">
      <text>
        <t xml:space="preserve">Illustrative generic shade assigned to this colour name for display. This is NOT a sourced or certified club-brand HEX value.</t>
      </text>
    </comment>
    <comment authorId="0" ref="M683">
      <text>
        <t xml:space="preserve">Illustrative generic shade assigned to this colour name for display. This is NOT a sourced or certified club-brand HEX value.</t>
      </text>
    </comment>
    <comment authorId="0" ref="L617">
      <text>
        <t xml:space="preserve">Illustrative generic shade assigned to this colour name for display. This is NOT a sourced or certified club-brand HEX value.</t>
      </text>
    </comment>
    <comment authorId="0" ref="M617">
      <text>
        <t xml:space="preserve">Illustrative generic shade assigned to this colour name for display. This is NOT a sourced or certified club-brand HEX value.</t>
      </text>
    </comment>
    <comment authorId="0" ref="L551">
      <text>
        <t xml:space="preserve">Illustrative generic shade assigned to this colour name for display. This is NOT a sourced or certified club-brand HEX value.</t>
      </text>
    </comment>
    <comment authorId="0" ref="M551">
      <text>
        <t xml:space="preserve">Illustrative generic shade assigned to this colour name for display. This is NOT a sourced or certified club-brand HEX value.</t>
      </text>
    </comment>
    <comment authorId="0" ref="L353">
      <text>
        <t xml:space="preserve">Illustrative generic shade assigned to this colour name for display. This is NOT a sourced or certified club-brand HEX value.</t>
      </text>
    </comment>
    <comment authorId="0" ref="M353">
      <text>
        <t xml:space="preserve">Illustrative generic shade assigned to this colour name for display. This is NOT a sourced or certified club-brand HEX value.</t>
      </text>
    </comment>
    <comment authorId="0" ref="L287">
      <text>
        <t xml:space="preserve">Illustrative generic shade assigned to this colour name for display. This is NOT a sourced or certified club-brand HEX value.</t>
      </text>
    </comment>
    <comment authorId="0" ref="M287">
      <text>
        <t xml:space="preserve">Illustrative generic shade assigned to this colour name for display. This is NOT a sourced or certified club-brand HEX value.</t>
      </text>
    </comment>
    <comment authorId="0" ref="L221">
      <text>
        <t xml:space="preserve">Illustrative generic shade assigned to this colour name for display. This is NOT a sourced or certified club-brand HEX value.</t>
      </text>
    </comment>
    <comment authorId="0" ref="M221">
      <text>
        <t xml:space="preserve">Illustrative generic shade assigned to this colour name for display. This is NOT a sourced or certified club-brand HEX value.</t>
      </text>
    </comment>
    <comment authorId="0" ref="L155">
      <text>
        <t xml:space="preserve">Illustrative generic shade assigned to this colour name for display. This is NOT a sourced or certified club-brand HEX value.</t>
      </text>
    </comment>
    <comment authorId="0" ref="M155">
      <text>
        <t xml:space="preserve">Illustrative generic shade assigned to this colour name for display. This is NOT a sourced or certified club-brand HEX value.</t>
      </text>
    </comment>
    <comment authorId="0" ref="L89">
      <text>
        <t xml:space="preserve">Illustrative generic shade assigned to this colour name for display. This is NOT a sourced or certified club-brand HEX value.</t>
      </text>
    </comment>
    <comment authorId="0" ref="M89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750">
      <text>
        <t xml:space="preserve">Illustrative generic shade assigned to this colour name for display. This is NOT a sourced or certified club-brand HEX value.</t>
      </text>
    </comment>
    <comment authorId="0" ref="M750">
      <text>
        <t xml:space="preserve">Illustrative generic shade assigned to this colour name for display. This is NOT a sourced or certified club-brand HEX value.</t>
      </text>
    </comment>
    <comment authorId="0" ref="L684">
      <text>
        <t xml:space="preserve">Illustrative generic shade assigned to this colour name for display. This is NOT a sourced or certified club-brand HEX value.</t>
      </text>
    </comment>
    <comment authorId="0" ref="M684">
      <text>
        <t xml:space="preserve">Illustrative generic shade assigned to this colour name for display. This is NOT a sourced or certified club-brand HEX value.</t>
      </text>
    </comment>
    <comment authorId="0" ref="L618">
      <text>
        <t xml:space="preserve">Illustrative generic shade assigned to this colour name for display. This is NOT a sourced or certified club-brand HEX value.</t>
      </text>
    </comment>
    <comment authorId="0" ref="M618">
      <text>
        <t xml:space="preserve">Illustrative generic shade assigned to this colour name for display. This is NOT a sourced or certified club-brand HEX value.</t>
      </text>
    </comment>
    <comment authorId="0" ref="L552">
      <text>
        <t xml:space="preserve">Illustrative generic shade assigned to this colour name for display. This is NOT a sourced or certified club-brand HEX value.</t>
      </text>
    </comment>
    <comment authorId="0" ref="M552">
      <text>
        <t xml:space="preserve">Illustrative generic shade assigned to this colour name for display. This is NOT a sourced or certified club-brand HEX value.</t>
      </text>
    </comment>
    <comment authorId="0" ref="L486">
      <text>
        <t xml:space="preserve">Illustrative generic shade assigned to this colour name for display. This is NOT a sourced or certified club-brand HEX value.</t>
      </text>
    </comment>
    <comment authorId="0" ref="M486">
      <text>
        <t xml:space="preserve">Illustrative generic shade assigned to this colour name for display. This is NOT a sourced or certified club-brand HEX value.</t>
      </text>
    </comment>
    <comment authorId="0" ref="L420">
      <text>
        <t xml:space="preserve">Illustrative generic shade assigned to this colour name for display. This is NOT a sourced or certified club-brand HEX value.</t>
      </text>
    </comment>
    <comment authorId="0" ref="M420">
      <text>
        <t xml:space="preserve">Illustrative generic shade assigned to this colour name for display. This is NOT a sourced or certified club-brand HEX value.</t>
      </text>
    </comment>
    <comment authorId="0" ref="L354">
      <text>
        <t xml:space="preserve">Illustrative generic shade assigned to this colour name for display. This is NOT a sourced or certified club-brand HEX value.</t>
      </text>
    </comment>
    <comment authorId="0" ref="M354">
      <text>
        <t xml:space="preserve">Illustrative generic shade assigned to this colour name for display. This is NOT a sourced or certified club-brand HEX value.</t>
      </text>
    </comment>
    <comment authorId="0" ref="L288">
      <text>
        <t xml:space="preserve">Illustrative generic shade assigned to this colour name for display. This is NOT a sourced or certified club-brand HEX value.</t>
      </text>
    </comment>
    <comment authorId="0" ref="M288">
      <text>
        <t xml:space="preserve">Illustrative generic shade assigned to this colour name for display. This is NOT a sourced or certified club-brand HEX value.</t>
      </text>
    </comment>
    <comment authorId="0" ref="L222">
      <text>
        <t xml:space="preserve">Illustrative generic shade assigned to this colour name for display. This is NOT a sourced or certified club-brand HEX value.</t>
      </text>
    </comment>
    <comment authorId="0" ref="M222">
      <text>
        <t xml:space="preserve">Illustrative generic shade assigned to this colour name for display. This is NOT a sourced or certified club-brand HEX value.</t>
      </text>
    </comment>
    <comment authorId="0" ref="L156">
      <text>
        <t xml:space="preserve">Illustrative generic shade assigned to this colour name for display. This is NOT a sourced or certified club-brand HEX value.</t>
      </text>
    </comment>
    <comment authorId="0" ref="M156">
      <text>
        <t xml:space="preserve">Illustrative generic shade assigned to this colour name for display. This is NOT a sourced or certified club-brand HEX value.</t>
      </text>
    </comment>
    <comment authorId="0" ref="L90">
      <text>
        <t xml:space="preserve">Illustrative generic shade assigned to this colour name for display. This is NOT a sourced or certified club-brand HEX value.</t>
      </text>
    </comment>
    <comment authorId="0" ref="M90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751">
      <text>
        <t xml:space="preserve">Illustrative generic shade assigned to this colour name for display. This is NOT a sourced or certified club-brand HEX value.</t>
      </text>
    </comment>
    <comment authorId="0" ref="M751">
      <text>
        <t xml:space="preserve">Illustrative generic shade assigned to this colour name for display. This is NOT a sourced or certified club-brand HEX value.</t>
      </text>
    </comment>
    <comment authorId="0" ref="L685">
      <text>
        <t xml:space="preserve">Illustrative generic shade assigned to this colour name for display. This is NOT a sourced or certified club-brand HEX value.</t>
      </text>
    </comment>
    <comment authorId="0" ref="M685">
      <text>
        <t xml:space="preserve">Illustrative generic shade assigned to this colour name for display. This is NOT a sourced or certified club-brand HEX value.</t>
      </text>
    </comment>
    <comment authorId="0" ref="L619">
      <text>
        <t xml:space="preserve">Illustrative generic shade assigned to this colour name for display. This is NOT a sourced or certified club-brand HEX value.</t>
      </text>
    </comment>
    <comment authorId="0" ref="M619">
      <text>
        <t xml:space="preserve">Illustrative generic shade assigned to this colour name for display. This is NOT a sourced or certified club-brand HEX value.</t>
      </text>
    </comment>
    <comment authorId="0" ref="L355">
      <text>
        <t xml:space="preserve">Illustrative generic shade assigned to this colour name for display. This is NOT a sourced or certified club-brand HEX value.</t>
      </text>
    </comment>
    <comment authorId="0" ref="M355">
      <text>
        <t xml:space="preserve">Illustrative generic shade assigned to this colour name for display. This is NOT a sourced or certified club-brand HEX value.</t>
      </text>
    </comment>
    <comment authorId="0" ref="L289">
      <text>
        <t xml:space="preserve">Illustrative generic shade assigned to this colour name for display. This is NOT a sourced or certified club-brand HEX value.</t>
      </text>
    </comment>
    <comment authorId="0" ref="M289">
      <text>
        <t xml:space="preserve">Illustrative generic shade assigned to this colour name for display. This is NOT a sourced or certified club-brand HEX value.</t>
      </text>
    </comment>
    <comment authorId="0" ref="L223">
      <text>
        <t xml:space="preserve">Illustrative generic shade assigned to this colour name for display. This is NOT a sourced or certified club-brand HEX value.</t>
      </text>
    </comment>
    <comment authorId="0" ref="M223">
      <text>
        <t xml:space="preserve">Illustrative generic shade assigned to this colour name for display. This is NOT a sourced or certified club-brand HEX value.</t>
      </text>
    </comment>
    <comment authorId="0" ref="L157">
      <text>
        <t xml:space="preserve">Illustrative generic shade assigned to this colour name for display. This is NOT a sourced or certified club-brand HEX value.</t>
      </text>
    </comment>
    <comment authorId="0" ref="M157">
      <text>
        <t xml:space="preserve">Illustrative generic shade assigned to this colour name for display. This is NOT a sourced or certified club-brand HEX value.</t>
      </text>
    </comment>
    <comment authorId="0" ref="L91">
      <text>
        <t xml:space="preserve">Illustrative generic shade assigned to this colour name for display. This is NOT a sourced or certified club-brand HEX value.</t>
      </text>
    </comment>
    <comment authorId="0" ref="M91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752">
      <text>
        <t xml:space="preserve">Illustrative generic shade assigned to this colour name for display. This is NOT a sourced or certified club-brand HEX value.</t>
      </text>
    </comment>
    <comment authorId="0" ref="M752">
      <text>
        <t xml:space="preserve">Illustrative generic shade assigned to this colour name for display. This is NOT a sourced or certified club-brand HEX value.</t>
      </text>
    </comment>
    <comment authorId="0" ref="L686">
      <text>
        <t xml:space="preserve">Illustrative generic shade assigned to this colour name for display. This is NOT a sourced or certified club-brand HEX value.</t>
      </text>
    </comment>
    <comment authorId="0" ref="M686">
      <text>
        <t xml:space="preserve">Illustrative generic shade assigned to this colour name for display. This is NOT a sourced or certified club-brand HEX value.</t>
      </text>
    </comment>
    <comment authorId="0" ref="L620">
      <text>
        <t xml:space="preserve">Illustrative generic shade assigned to this colour name for display. This is NOT a sourced or certified club-brand HEX value.</t>
      </text>
    </comment>
    <comment authorId="0" ref="M620">
      <text>
        <t xml:space="preserve">Illustrative generic shade assigned to this colour name for display. This is NOT a sourced or certified club-brand HEX value.</t>
      </text>
    </comment>
    <comment authorId="0" ref="L356">
      <text>
        <t xml:space="preserve">Illustrative generic shade assigned to this colour name for display. This is NOT a sourced or certified club-brand HEX value.</t>
      </text>
    </comment>
    <comment authorId="0" ref="M356">
      <text>
        <t xml:space="preserve">Illustrative generic shade assigned to this colour name for display. This is NOT a sourced or certified club-brand HEX value.</t>
      </text>
    </comment>
    <comment authorId="0" ref="L290">
      <text>
        <t xml:space="preserve">Illustrative generic shade assigned to this colour name for display. This is NOT a sourced or certified club-brand HEX value.</t>
      </text>
    </comment>
    <comment authorId="0" ref="M290">
      <text>
        <t xml:space="preserve">Illustrative generic shade assigned to this colour name for display. This is NOT a sourced or certified club-brand HEX value.</t>
      </text>
    </comment>
    <comment authorId="0" ref="L224">
      <text>
        <t xml:space="preserve">Illustrative generic shade assigned to this colour name for display. This is NOT a sourced or certified club-brand HEX value.</t>
      </text>
    </comment>
    <comment authorId="0" ref="M224">
      <text>
        <t xml:space="preserve">Illustrative generic shade assigned to this colour name for display. This is NOT a sourced or certified club-brand HEX value.</t>
      </text>
    </comment>
    <comment authorId="0" ref="L158">
      <text>
        <t xml:space="preserve">Illustrative generic shade assigned to this colour name for display. This is NOT a sourced or certified club-brand HEX value.</t>
      </text>
    </comment>
    <comment authorId="0" ref="M158">
      <text>
        <t xml:space="preserve">Illustrative generic shade assigned to this colour name for display. This is NOT a sourced or certified club-brand HEX value.</t>
      </text>
    </comment>
    <comment authorId="0" ref="L92">
      <text>
        <t xml:space="preserve">Illustrative generic shade assigned to this colour name for display. This is NOT a sourced or certified club-brand HEX value.</t>
      </text>
    </comment>
    <comment authorId="0" ref="M92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753">
      <text>
        <t xml:space="preserve">Illustrative generic shade assigned to this colour name for display. This is NOT a sourced or certified club-brand HEX value.</t>
      </text>
    </comment>
    <comment authorId="0" ref="M753">
      <text>
        <t xml:space="preserve">Illustrative generic shade assigned to this colour name for display. This is NOT a sourced or certified club-brand HEX value.</t>
      </text>
    </comment>
    <comment authorId="0" ref="L687">
      <text>
        <t xml:space="preserve">Illustrative generic shade assigned to this colour name for display. This is NOT a sourced or certified club-brand HEX value.</t>
      </text>
    </comment>
    <comment authorId="0" ref="M687">
      <text>
        <t xml:space="preserve">Illustrative generic shade assigned to this colour name for display. This is NOT a sourced or certified club-brand HEX value.</t>
      </text>
    </comment>
    <comment authorId="0" ref="L357">
      <text>
        <t xml:space="preserve">Illustrative generic shade assigned to this colour name for display. This is NOT a sourced or certified club-brand HEX value.</t>
      </text>
    </comment>
    <comment authorId="0" ref="M357">
      <text>
        <t xml:space="preserve">Illustrative generic shade assigned to this colour name for display. This is NOT a sourced or certified club-brand HEX value.</t>
      </text>
    </comment>
    <comment authorId="0" ref="L291">
      <text>
        <t xml:space="preserve">Illustrative generic shade assigned to this colour name for display. This is NOT a sourced or certified club-brand HEX value.</t>
      </text>
    </comment>
    <comment authorId="0" ref="M291">
      <text>
        <t xml:space="preserve">Illustrative generic shade assigned to this colour name for display. This is NOT a sourced or certified club-brand HEX value.</t>
      </text>
    </comment>
    <comment authorId="0" ref="L225">
      <text>
        <t xml:space="preserve">Illustrative generic shade assigned to this colour name for display. This is NOT a sourced or certified club-brand HEX value.</t>
      </text>
    </comment>
    <comment authorId="0" ref="M225">
      <text>
        <t xml:space="preserve">Illustrative generic shade assigned to this colour name for display. This is NOT a sourced or certified club-brand HEX value.</t>
      </text>
    </comment>
    <comment authorId="0" ref="L159">
      <text>
        <t xml:space="preserve">Illustrative generic shade assigned to this colour name for display. This is NOT a sourced or certified club-brand HEX value.</t>
      </text>
    </comment>
    <comment authorId="0" ref="M159">
      <text>
        <t xml:space="preserve">Illustrative generic shade assigned to this colour name for display. This is NOT a sourced or certified club-brand HEX value.</t>
      </text>
    </comment>
    <comment authorId="0" ref="L93">
      <text>
        <t xml:space="preserve">Illustrative generic shade assigned to this colour name for display. This is NOT a sourced or certified club-brand HEX value.</t>
      </text>
    </comment>
    <comment authorId="0" ref="M93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754">
      <text>
        <t xml:space="preserve">Illustrative generic shade assigned to this colour name for display. This is NOT a sourced or certified club-brand HEX value.</t>
      </text>
    </comment>
    <comment authorId="0" ref="M754">
      <text>
        <t xml:space="preserve">Illustrative generic shade assigned to this colour name for display. This is NOT a sourced or certified club-brand HEX value.</t>
      </text>
    </comment>
    <comment authorId="0" ref="L688">
      <text>
        <t xml:space="preserve">Illustrative generic shade assigned to this colour name for display. This is NOT a sourced or certified club-brand HEX value.</t>
      </text>
    </comment>
    <comment authorId="0" ref="M688">
      <text>
        <t xml:space="preserve">Illustrative generic shade assigned to this colour name for display. This is NOT a sourced or certified club-brand HEX value.</t>
      </text>
    </comment>
    <comment authorId="0" ref="L358">
      <text>
        <t xml:space="preserve">Illustrative generic shade assigned to this colour name for display. This is NOT a sourced or certified club-brand HEX value.</t>
      </text>
    </comment>
    <comment authorId="0" ref="M358">
      <text>
        <t xml:space="preserve">Illustrative generic shade assigned to this colour name for display. This is NOT a sourced or certified club-brand HEX value.</t>
      </text>
    </comment>
    <comment authorId="0" ref="L292">
      <text>
        <t xml:space="preserve">Illustrative generic shade assigned to this colour name for display. This is NOT a sourced or certified club-brand HEX value.</t>
      </text>
    </comment>
    <comment authorId="0" ref="M292">
      <text>
        <t xml:space="preserve">Illustrative generic shade assigned to this colour name for display. This is NOT a sourced or certified club-brand HEX value.</t>
      </text>
    </comment>
    <comment authorId="0" ref="L226">
      <text>
        <t xml:space="preserve">Illustrative generic shade assigned to this colour name for display. This is NOT a sourced or certified club-brand HEX value.</t>
      </text>
    </comment>
    <comment authorId="0" ref="M226">
      <text>
        <t xml:space="preserve">Illustrative generic shade assigned to this colour name for display. This is NOT a sourced or certified club-brand HEX value.</t>
      </text>
    </comment>
    <comment authorId="0" ref="L160">
      <text>
        <t xml:space="preserve">Illustrative generic shade assigned to this colour name for display. This is NOT a sourced or certified club-brand HEX value.</t>
      </text>
    </comment>
    <comment authorId="0" ref="M160">
      <text>
        <t xml:space="preserve">Illustrative generic shade assigned to this colour name for display. This is NOT a sourced or certified club-brand HEX value.</t>
      </text>
    </comment>
    <comment authorId="0" ref="L94">
      <text>
        <t xml:space="preserve">Illustrative generic shade assigned to this colour name for display. This is NOT a sourced or certified club-brand HEX value.</t>
      </text>
    </comment>
    <comment authorId="0" ref="M94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755">
      <text>
        <t xml:space="preserve">Illustrative generic shade assigned to this colour name for display. This is NOT a sourced or certified club-brand HEX value.</t>
      </text>
    </comment>
    <comment authorId="0" ref="M755">
      <text>
        <t xml:space="preserve">Illustrative generic shade assigned to this colour name for display. This is NOT a sourced or certified club-brand HEX value.</t>
      </text>
    </comment>
    <comment authorId="0" ref="L689">
      <text>
        <t xml:space="preserve">Illustrative generic shade assigned to this colour name for display. This is NOT a sourced or certified club-brand HEX value.</t>
      </text>
    </comment>
    <comment authorId="0" ref="M689">
      <text>
        <t xml:space="preserve">Illustrative generic shade assigned to this colour name for display. This is NOT a sourced or certified club-brand HEX value.</t>
      </text>
    </comment>
    <comment authorId="0" ref="L623">
      <text>
        <t xml:space="preserve">Illustrative generic shade assigned to this colour name for display. This is NOT a sourced or certified club-brand HEX value.</t>
      </text>
    </comment>
    <comment authorId="0" ref="M623">
      <text>
        <t xml:space="preserve">Illustrative generic shade assigned to this colour name for display. This is NOT a sourced or certified club-brand HEX value.</t>
      </text>
    </comment>
    <comment authorId="0" ref="L359">
      <text>
        <t xml:space="preserve">Illustrative generic shade assigned to this colour name for display. This is NOT a sourced or certified club-brand HEX value.</t>
      </text>
    </comment>
    <comment authorId="0" ref="M359">
      <text>
        <t xml:space="preserve">Illustrative generic shade assigned to this colour name for display. This is NOT a sourced or certified club-brand HEX value.</t>
      </text>
    </comment>
    <comment authorId="0" ref="L293">
      <text>
        <t xml:space="preserve">Illustrative generic shade assigned to this colour name for display. This is NOT a sourced or certified club-brand HEX value.</t>
      </text>
    </comment>
    <comment authorId="0" ref="M293">
      <text>
        <t xml:space="preserve">Illustrative generic shade assigned to this colour name for display. This is NOT a sourced or certified club-brand HEX value.</t>
      </text>
    </comment>
    <comment authorId="0" ref="L227">
      <text>
        <t xml:space="preserve">Illustrative generic shade assigned to this colour name for display. This is NOT a sourced or certified club-brand HEX value.</t>
      </text>
    </comment>
    <comment authorId="0" ref="M227">
      <text>
        <t xml:space="preserve">Illustrative generic shade assigned to this colour name for display. This is NOT a sourced or certified club-brand HEX value.</t>
      </text>
    </comment>
    <comment authorId="0" ref="L161">
      <text>
        <t xml:space="preserve">Illustrative generic shade assigned to this colour name for display. This is NOT a sourced or certified club-brand HEX value.</t>
      </text>
    </comment>
    <comment authorId="0" ref="M161">
      <text>
        <t xml:space="preserve">Illustrative generic shade assigned to this colour name for display. This is NOT a sourced or certified club-brand HEX value.</t>
      </text>
    </comment>
    <comment authorId="0" ref="L95">
      <text>
        <t xml:space="preserve">Illustrative generic shade assigned to this colour name for display. This is NOT a sourced or certified club-brand HEX value.</t>
      </text>
    </comment>
    <comment authorId="0" ref="M95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756">
      <text>
        <t xml:space="preserve">Illustrative generic shade assigned to this colour name for display. This is NOT a sourced or certified club-brand HEX value.</t>
      </text>
    </comment>
    <comment authorId="0" ref="M756">
      <text>
        <t xml:space="preserve">Illustrative generic shade assigned to this colour name for display. This is NOT a sourced or certified club-brand HEX value.</t>
      </text>
    </comment>
    <comment authorId="0" ref="L690">
      <text>
        <t xml:space="preserve">Illustrative generic shade assigned to this colour name for display. This is NOT a sourced or certified club-brand HEX value.</t>
      </text>
    </comment>
    <comment authorId="0" ref="M690">
      <text>
        <t xml:space="preserve">Illustrative generic shade assigned to this colour name for display. This is NOT a sourced or certified club-brand HEX value.</t>
      </text>
    </comment>
    <comment authorId="0" ref="L624">
      <text>
        <t xml:space="preserve">Illustrative generic shade assigned to this colour name for display. This is NOT a sourced or certified club-brand HEX value.</t>
      </text>
    </comment>
    <comment authorId="0" ref="M624">
      <text>
        <t xml:space="preserve">Illustrative generic shade assigned to this colour name for display. This is NOT a sourced or certified club-brand HEX value.</t>
      </text>
    </comment>
    <comment authorId="0" ref="L558">
      <text>
        <t xml:space="preserve">Illustrative generic shade assigned to this colour name for display. This is NOT a sourced or certified club-brand HEX value.</t>
      </text>
    </comment>
    <comment authorId="0" ref="M558">
      <text>
        <t xml:space="preserve">Illustrative generic shade assigned to this colour name for display. This is NOT a sourced or certified club-brand HEX value.</t>
      </text>
    </comment>
    <comment authorId="0" ref="L426">
      <text>
        <t xml:space="preserve">Illustrative generic shade assigned to this colour name for display. This is NOT a sourced or certified club-brand HEX value.</t>
      </text>
    </comment>
    <comment authorId="0" ref="M426">
      <text>
        <t xml:space="preserve">Illustrative generic shade assigned to this colour name for display. This is NOT a sourced or certified club-brand HEX value.</t>
      </text>
    </comment>
    <comment authorId="0" ref="L360">
      <text>
        <t xml:space="preserve">Illustrative generic shade assigned to this colour name for display. This is NOT a sourced or certified club-brand HEX value.</t>
      </text>
    </comment>
    <comment authorId="0" ref="M360">
      <text>
        <t xml:space="preserve">Illustrative generic shade assigned to this colour name for display. This is NOT a sourced or certified club-brand HEX value.</t>
      </text>
    </comment>
    <comment authorId="0" ref="L294">
      <text>
        <t xml:space="preserve">Illustrative generic shade assigned to this colour name for display. This is NOT a sourced or certified club-brand HEX value.</t>
      </text>
    </comment>
    <comment authorId="0" ref="M294">
      <text>
        <t xml:space="preserve">Illustrative generic shade assigned to this colour name for display. This is NOT a sourced or certified club-brand HEX value.</t>
      </text>
    </comment>
    <comment authorId="0" ref="L228">
      <text>
        <t xml:space="preserve">Illustrative generic shade assigned to this colour name for display. This is NOT a sourced or certified club-brand HEX value.</t>
      </text>
    </comment>
    <comment authorId="0" ref="M228">
      <text>
        <t xml:space="preserve">Illustrative generic shade assigned to this colour name for display. This is NOT a sourced or certified club-brand HEX value.</t>
      </text>
    </comment>
    <comment authorId="0" ref="L162">
      <text>
        <t xml:space="preserve">Illustrative generic shade assigned to this colour name for display. This is NOT a sourced or certified club-brand HEX value.</t>
      </text>
    </comment>
    <comment authorId="0" ref="M162">
      <text>
        <t xml:space="preserve">Illustrative generic shade assigned to this colour name for display. This is NOT a sourced or certified club-brand HEX value.</t>
      </text>
    </comment>
    <comment authorId="0" ref="L96">
      <text>
        <t xml:space="preserve">Illustrative generic shade assigned to this colour name for display. This is NOT a sourced or certified club-brand HEX value.</t>
      </text>
    </comment>
    <comment authorId="0" ref="M96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757">
      <text>
        <t xml:space="preserve">Illustrative generic shade assigned to this colour name for display. This is NOT a sourced or certified club-brand HEX value.</t>
      </text>
    </comment>
    <comment authorId="0" ref="M757">
      <text>
        <t xml:space="preserve">Illustrative generic shade assigned to this colour name for display. This is NOT a sourced or certified club-brand HEX value.</t>
      </text>
    </comment>
    <comment authorId="0" ref="L691">
      <text>
        <t xml:space="preserve">Illustrative generic shade assigned to this colour name for display. This is NOT a sourced or certified club-brand HEX value.</t>
      </text>
    </comment>
    <comment authorId="0" ref="M691">
      <text>
        <t xml:space="preserve">Illustrative generic shade assigned to this colour name for display. This is NOT a sourced or certified club-brand HEX value.</t>
      </text>
    </comment>
    <comment authorId="0" ref="L559">
      <text>
        <t xml:space="preserve">Illustrative generic shade assigned to this colour name for display. This is NOT a sourced or certified club-brand HEX value.</t>
      </text>
    </comment>
    <comment authorId="0" ref="M559">
      <text>
        <t xml:space="preserve">Illustrative generic shade assigned to this colour name for display. This is NOT a sourced or certified club-brand HEX value.</t>
      </text>
    </comment>
    <comment authorId="0" ref="L361">
      <text>
        <t xml:space="preserve">Illustrative generic shade assigned to this colour name for display. This is NOT a sourced or certified club-brand HEX value.</t>
      </text>
    </comment>
    <comment authorId="0" ref="M361">
      <text>
        <t xml:space="preserve">Illustrative generic shade assigned to this colour name for display. This is NOT a sourced or certified club-brand HEX value.</t>
      </text>
    </comment>
    <comment authorId="0" ref="L295">
      <text>
        <t xml:space="preserve">Illustrative generic shade assigned to this colour name for display. This is NOT a sourced or certified club-brand HEX value.</t>
      </text>
    </comment>
    <comment authorId="0" ref="M295">
      <text>
        <t xml:space="preserve">Illustrative generic shade assigned to this colour name for display. This is NOT a sourced or certified club-brand HEX value.</t>
      </text>
    </comment>
    <comment authorId="0" ref="L229">
      <text>
        <t xml:space="preserve">Illustrative generic shade assigned to this colour name for display. This is NOT a sourced or certified club-brand HEX value.</t>
      </text>
    </comment>
    <comment authorId="0" ref="M229">
      <text>
        <t xml:space="preserve">Illustrative generic shade assigned to this colour name for display. This is NOT a sourced or certified club-brand HEX value.</t>
      </text>
    </comment>
    <comment authorId="0" ref="L163">
      <text>
        <t xml:space="preserve">Illustrative generic shade assigned to this colour name for display. This is NOT a sourced or certified club-brand HEX value.</t>
      </text>
    </comment>
    <comment authorId="0" ref="M163">
      <text>
        <t xml:space="preserve">Illustrative generic shade assigned to this colour name for display. This is NOT a sourced or certified club-brand HEX value.</t>
      </text>
    </comment>
    <comment authorId="0" ref="L97">
      <text>
        <t xml:space="preserve">Illustrative generic shade assigned to this colour name for display. This is NOT a sourced or certified club-brand HEX value.</t>
      </text>
    </comment>
    <comment authorId="0" ref="M97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758">
      <text>
        <t xml:space="preserve">Illustrative generic shade assigned to this colour name for display. This is NOT a sourced or certified club-brand HEX value.</t>
      </text>
    </comment>
    <comment authorId="0" ref="M758">
      <text>
        <t xml:space="preserve">Illustrative generic shade assigned to this colour name for display. This is NOT a sourced or certified club-brand HEX value.</t>
      </text>
    </comment>
    <comment authorId="0" ref="L692">
      <text>
        <t xml:space="preserve">Illustrative generic shade assigned to this colour name for display. This is NOT a sourced or certified club-brand HEX value.</t>
      </text>
    </comment>
    <comment authorId="0" ref="M692">
      <text>
        <t xml:space="preserve">Illustrative generic shade assigned to this colour name for display. This is NOT a sourced or certified club-brand HEX value.</t>
      </text>
    </comment>
    <comment authorId="0" ref="L626">
      <text>
        <t xml:space="preserve">Illustrative generic shade assigned to this colour name for display. This is NOT a sourced or certified club-brand HEX value.</t>
      </text>
    </comment>
    <comment authorId="0" ref="M626">
      <text>
        <t xml:space="preserve">Illustrative generic shade assigned to this colour name for display. This is NOT a sourced or certified club-brand HEX value.</t>
      </text>
    </comment>
    <comment authorId="0" ref="L560">
      <text>
        <t xml:space="preserve">Illustrative generic shade assigned to this colour name for display. This is NOT a sourced or certified club-brand HEX value.</t>
      </text>
    </comment>
    <comment authorId="0" ref="M560">
      <text>
        <t xml:space="preserve">Illustrative generic shade assigned to this colour name for display. This is NOT a sourced or certified club-brand HEX value.</t>
      </text>
    </comment>
    <comment authorId="0" ref="L362">
      <text>
        <t xml:space="preserve">Illustrative generic shade assigned to this colour name for display. This is NOT a sourced or certified club-brand HEX value.</t>
      </text>
    </comment>
    <comment authorId="0" ref="M362">
      <text>
        <t xml:space="preserve">Illustrative generic shade assigned to this colour name for display. This is NOT a sourced or certified club-brand HEX value.</t>
      </text>
    </comment>
    <comment authorId="0" ref="L296">
      <text>
        <t xml:space="preserve">Illustrative generic shade assigned to this colour name for display. This is NOT a sourced or certified club-brand HEX value.</t>
      </text>
    </comment>
    <comment authorId="0" ref="M296">
      <text>
        <t xml:space="preserve">Illustrative generic shade assigned to this colour name for display. This is NOT a sourced or certified club-brand HEX value.</t>
      </text>
    </comment>
    <comment authorId="0" ref="L230">
      <text>
        <t xml:space="preserve">Illustrative generic shade assigned to this colour name for display. This is NOT a sourced or certified club-brand HEX value.</t>
      </text>
    </comment>
    <comment authorId="0" ref="M230">
      <text>
        <t xml:space="preserve">Illustrative generic shade assigned to this colour name for display. This is NOT a sourced or certified club-brand HEX value.</t>
      </text>
    </comment>
    <comment authorId="0" ref="L164">
      <text>
        <t xml:space="preserve">Illustrative generic shade assigned to this colour name for display. This is NOT a sourced or certified club-brand HEX value.</t>
      </text>
    </comment>
    <comment authorId="0" ref="M164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759">
      <text>
        <t xml:space="preserve">Illustrative generic shade assigned to this colour name for display. This is NOT a sourced or certified club-brand HEX value.</t>
      </text>
    </comment>
    <comment authorId="0" ref="M759">
      <text>
        <t xml:space="preserve">Illustrative generic shade assigned to this colour name for display. This is NOT a sourced or certified club-brand HEX value.</t>
      </text>
    </comment>
    <comment authorId="0" ref="L693">
      <text>
        <t xml:space="preserve">Illustrative generic shade assigned to this colour name for display. This is NOT a sourced or certified club-brand HEX value.</t>
      </text>
    </comment>
    <comment authorId="0" ref="M693">
      <text>
        <t xml:space="preserve">Illustrative generic shade assigned to this colour name for display. This is NOT a sourced or certified club-brand HEX value.</t>
      </text>
    </comment>
    <comment authorId="0" ref="L363">
      <text>
        <t xml:space="preserve">Illustrative generic shade assigned to this colour name for display. This is NOT a sourced or certified club-brand HEX value.</t>
      </text>
    </comment>
    <comment authorId="0" ref="M363">
      <text>
        <t xml:space="preserve">Illustrative generic shade assigned to this colour name for display. This is NOT a sourced or certified club-brand HEX value.</t>
      </text>
    </comment>
    <comment authorId="0" ref="L297">
      <text>
        <t xml:space="preserve">Illustrative generic shade assigned to this colour name for display. This is NOT a sourced or certified club-brand HEX value.</t>
      </text>
    </comment>
    <comment authorId="0" ref="M297">
      <text>
        <t xml:space="preserve">Illustrative generic shade assigned to this colour name for display. This is NOT a sourced or certified club-brand HEX value.</t>
      </text>
    </comment>
    <comment authorId="0" ref="L231">
      <text>
        <t xml:space="preserve">Illustrative generic shade assigned to this colour name for display. This is NOT a sourced or certified club-brand HEX value.</t>
      </text>
    </comment>
    <comment authorId="0" ref="M231">
      <text>
        <t xml:space="preserve">Illustrative generic shade assigned to this colour name for display. This is NOT a sourced or certified club-brand HEX value.</t>
      </text>
    </comment>
    <comment authorId="0" ref="L165">
      <text>
        <t xml:space="preserve">Illustrative generic shade assigned to this colour name for display. This is NOT a sourced or certified club-brand HEX value.</t>
      </text>
    </comment>
    <comment authorId="0" ref="M165">
      <text>
        <t xml:space="preserve">Illustrative generic shade assigned to this colour name for display. This is NOT a sourced or certified club-brand HEX value.</t>
      </text>
    </comment>
    <comment authorId="0" ref="L99">
      <text>
        <t xml:space="preserve">Illustrative generic shade assigned to this colour name for display. This is NOT a sourced or certified club-brand HEX value.</t>
      </text>
    </comment>
    <comment authorId="0" ref="M99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760">
      <text>
        <t xml:space="preserve">Illustrative generic shade assigned to this colour name for display. This is NOT a sourced or certified club-brand HEX value.</t>
      </text>
    </comment>
    <comment authorId="0" ref="M760">
      <text>
        <t xml:space="preserve">Illustrative generic shade assigned to this colour name for display. This is NOT a sourced or certified club-brand HEX value.</t>
      </text>
    </comment>
    <comment authorId="0" ref="L694">
      <text>
        <t xml:space="preserve">Illustrative generic shade assigned to this colour name for display. This is NOT a sourced or certified club-brand HEX value.</t>
      </text>
    </comment>
    <comment authorId="0" ref="M694">
      <text>
        <t xml:space="preserve">Illustrative generic shade assigned to this colour name for display. This is NOT a sourced or certified club-brand HEX value.</t>
      </text>
    </comment>
    <comment authorId="0" ref="L562">
      <text>
        <t xml:space="preserve">Illustrative generic shade assigned to this colour name for display. This is NOT a sourced or certified club-brand HEX value.</t>
      </text>
    </comment>
    <comment authorId="0" ref="M562">
      <text>
        <t xml:space="preserve">Illustrative generic shade assigned to this colour name for display. This is NOT a sourced or certified club-brand HEX value.</t>
      </text>
    </comment>
    <comment authorId="0" ref="L364">
      <text>
        <t xml:space="preserve">Illustrative generic shade assigned to this colour name for display. This is NOT a sourced or certified club-brand HEX value.</t>
      </text>
    </comment>
    <comment authorId="0" ref="M364">
      <text>
        <t xml:space="preserve">Illustrative generic shade assigned to this colour name for display. This is NOT a sourced or certified club-brand HEX value.</t>
      </text>
    </comment>
    <comment authorId="0" ref="L298">
      <text>
        <t xml:space="preserve">Illustrative generic shade assigned to this colour name for display. This is NOT a sourced or certified club-brand HEX value.</t>
      </text>
    </comment>
    <comment authorId="0" ref="M298">
      <text>
        <t xml:space="preserve">Illustrative generic shade assigned to this colour name for display. This is NOT a sourced or certified club-brand HEX value.</t>
      </text>
    </comment>
    <comment authorId="0" ref="L232">
      <text>
        <t xml:space="preserve">Illustrative generic shade assigned to this colour name for display. This is NOT a sourced or certified club-brand HEX value.</t>
      </text>
    </comment>
    <comment authorId="0" ref="M232">
      <text>
        <t xml:space="preserve">Illustrative generic shade assigned to this colour name for display. This is NOT a sourced or certified club-brand HEX value.</t>
      </text>
    </comment>
    <comment authorId="0" ref="L166">
      <text>
        <t xml:space="preserve">Illustrative generic shade assigned to this colour name for display. This is NOT a sourced or certified club-brand HEX value.</t>
      </text>
    </comment>
    <comment authorId="0" ref="M166">
      <text>
        <t xml:space="preserve">Illustrative generic shade assigned to this colour name for display. This is NOT a sourced or certified club-brand HEX value.</t>
      </text>
    </comment>
    <comment authorId="0" ref="L100">
      <text>
        <t xml:space="preserve">Illustrative generic shade assigned to this colour name for display. This is NOT a sourced or certified club-brand HEX value.</t>
      </text>
    </comment>
    <comment authorId="0" ref="M100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761">
      <text>
        <t xml:space="preserve">Illustrative generic shade assigned to this colour name for display. This is NOT a sourced or certified club-brand HEX value.</t>
      </text>
    </comment>
    <comment authorId="0" ref="M761">
      <text>
        <t xml:space="preserve">Illustrative generic shade assigned to this colour name for display. This is NOT a sourced or certified club-brand HEX value.</t>
      </text>
    </comment>
    <comment authorId="0" ref="L695">
      <text>
        <t xml:space="preserve">Illustrative generic shade assigned to this colour name for display. This is NOT a sourced or certified club-brand HEX value.</t>
      </text>
    </comment>
    <comment authorId="0" ref="M695">
      <text>
        <t xml:space="preserve">Illustrative generic shade assigned to this colour name for display. This is NOT a sourced or certified club-brand HEX value.</t>
      </text>
    </comment>
    <comment authorId="0" ref="L629">
      <text>
        <t xml:space="preserve">Illustrative generic shade assigned to this colour name for display. This is NOT a sourced or certified club-brand HEX value.</t>
      </text>
    </comment>
    <comment authorId="0" ref="M629">
      <text>
        <t xml:space="preserve">Illustrative generic shade assigned to this colour name for display. This is NOT a sourced or certified club-brand HEX value.</t>
      </text>
    </comment>
    <comment authorId="0" ref="L365">
      <text>
        <t xml:space="preserve">Illustrative generic shade assigned to this colour name for display. This is NOT a sourced or certified club-brand HEX value.</t>
      </text>
    </comment>
    <comment authorId="0" ref="M365">
      <text>
        <t xml:space="preserve">Illustrative generic shade assigned to this colour name for display. This is NOT a sourced or certified club-brand HEX value.</t>
      </text>
    </comment>
    <comment authorId="0" ref="L299">
      <text>
        <t xml:space="preserve">Illustrative generic shade assigned to this colour name for display. This is NOT a sourced or certified club-brand HEX value.</t>
      </text>
    </comment>
    <comment authorId="0" ref="M299">
      <text>
        <t xml:space="preserve">Illustrative generic shade assigned to this colour name for display. This is NOT a sourced or certified club-brand HEX value.</t>
      </text>
    </comment>
    <comment authorId="0" ref="L233">
      <text>
        <t xml:space="preserve">Illustrative generic shade assigned to this colour name for display. This is NOT a sourced or certified club-brand HEX value.</t>
      </text>
    </comment>
    <comment authorId="0" ref="M233">
      <text>
        <t xml:space="preserve">Illustrative generic shade assigned to this colour name for display. This is NOT a sourced or certified club-brand HEX value.</t>
      </text>
    </comment>
    <comment authorId="0" ref="L167">
      <text>
        <t xml:space="preserve">Illustrative generic shade assigned to this colour name for display. This is NOT a sourced or certified club-brand HEX value.</t>
      </text>
    </comment>
    <comment authorId="0" ref="M167">
      <text>
        <t xml:space="preserve">Illustrative generic shade assigned to this colour name for display. This is NOT a sourced or certified club-brand HEX value.</t>
      </text>
    </comment>
    <comment authorId="0" ref="L101">
      <text>
        <t xml:space="preserve">Illustrative generic shade assigned to this colour name for display. This is NOT a sourced or certified club-brand HEX value.</t>
      </text>
    </comment>
    <comment authorId="0" ref="M101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762">
      <text>
        <t xml:space="preserve">Illustrative generic shade assigned to this colour name for display. This is NOT a sourced or certified club-brand HEX value.</t>
      </text>
    </comment>
    <comment authorId="0" ref="M762">
      <text>
        <t xml:space="preserve">Illustrative generic shade assigned to this colour name for display. This is NOT a sourced or certified club-brand HEX value.</t>
      </text>
    </comment>
    <comment authorId="0" ref="L696">
      <text>
        <t xml:space="preserve">Illustrative generic shade assigned to this colour name for display. This is NOT a sourced or certified club-brand HEX value.</t>
      </text>
    </comment>
    <comment authorId="0" ref="M696">
      <text>
        <t xml:space="preserve">Illustrative generic shade assigned to this colour name for display. This is NOT a sourced or certified club-brand HEX value.</t>
      </text>
    </comment>
    <comment authorId="0" ref="L498">
      <text>
        <t xml:space="preserve">Illustrative generic shade assigned to this colour name for display. This is NOT a sourced or certified club-brand HEX value.</t>
      </text>
    </comment>
    <comment authorId="0" ref="M498">
      <text>
        <t xml:space="preserve">Illustrative generic shade assigned to this colour name for display. This is NOT a sourced or certified club-brand HEX value.</t>
      </text>
    </comment>
    <comment authorId="0" ref="L366">
      <text>
        <t xml:space="preserve">Illustrative generic shade assigned to this colour name for display. This is NOT a sourced or certified club-brand HEX value.</t>
      </text>
    </comment>
    <comment authorId="0" ref="L300">
      <text>
        <t xml:space="preserve">Illustrative generic shade assigned to this colour name for display. This is NOT a sourced or certified club-brand HEX value.</t>
      </text>
    </comment>
    <comment authorId="0" ref="M300">
      <text>
        <t xml:space="preserve">Illustrative generic shade assigned to this colour name for display. This is NOT a sourced or certified club-brand HEX value.</t>
      </text>
    </comment>
    <comment authorId="0" ref="L234">
      <text>
        <t xml:space="preserve">Illustrative generic shade assigned to this colour name for display. This is NOT a sourced or certified club-brand HEX value.</t>
      </text>
    </comment>
    <comment authorId="0" ref="M234">
      <text>
        <t xml:space="preserve">Illustrative generic shade assigned to this colour name for display. This is NOT a sourced or certified club-brand HEX value.</t>
      </text>
    </comment>
    <comment authorId="0" ref="L168">
      <text>
        <t xml:space="preserve">Illustrative generic shade assigned to this colour name for display. This is NOT a sourced or certified club-brand HEX value.</t>
      </text>
    </comment>
    <comment authorId="0" ref="M168">
      <text>
        <t xml:space="preserve">Illustrative generic shade assigned to this colour name for display. This is NOT a sourced or certified club-brand HEX value.</t>
      </text>
    </comment>
    <comment authorId="0" ref="L102">
      <text>
        <t xml:space="preserve">Illustrative generic shade assigned to this colour name for display. This is NOT a sourced or certified club-brand HEX value.</t>
      </text>
    </comment>
    <comment authorId="0" ref="M102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763">
      <text>
        <t xml:space="preserve">Illustrative generic shade assigned to this colour name for display. This is NOT a sourced or certified club-brand HEX value.</t>
      </text>
    </comment>
    <comment authorId="0" ref="L697">
      <text>
        <t xml:space="preserve">Illustrative generic shade assigned to this colour name for display. This is NOT a sourced or certified club-brand HEX value.</t>
      </text>
    </comment>
    <comment authorId="0" ref="M697">
      <text>
        <t xml:space="preserve">Illustrative generic shade assigned to this colour name for display. This is NOT a sourced or certified club-brand HEX value.</t>
      </text>
    </comment>
    <comment authorId="0" ref="L367">
      <text>
        <t xml:space="preserve">Illustrative generic shade assigned to this colour name for display. This is NOT a sourced or certified club-brand HEX value.</t>
      </text>
    </comment>
    <comment authorId="0" ref="M367">
      <text>
        <t xml:space="preserve">Illustrative generic shade assigned to this colour name for display. This is NOT a sourced or certified club-brand HEX value.</t>
      </text>
    </comment>
    <comment authorId="0" ref="L301">
      <text>
        <t xml:space="preserve">Illustrative generic shade assigned to this colour name for display. This is NOT a sourced or certified club-brand HEX value.</t>
      </text>
    </comment>
    <comment authorId="0" ref="M301">
      <text>
        <t xml:space="preserve">Illustrative generic shade assigned to this colour name for display. This is NOT a sourced or certified club-brand HEX value.</t>
      </text>
    </comment>
    <comment authorId="0" ref="L235">
      <text>
        <t xml:space="preserve">Illustrative generic shade assigned to this colour name for display. This is NOT a sourced or certified club-brand HEX value.</t>
      </text>
    </comment>
    <comment authorId="0" ref="M235">
      <text>
        <t xml:space="preserve">Illustrative generic shade assigned to this colour name for display. This is NOT a sourced or certified club-brand HEX value.</t>
      </text>
    </comment>
    <comment authorId="0" ref="L169">
      <text>
        <t xml:space="preserve">Illustrative generic shade assigned to this colour name for display. This is NOT a sourced or certified club-brand HEX value.</t>
      </text>
    </comment>
    <comment authorId="0" ref="M169">
      <text>
        <t xml:space="preserve">Illustrative generic shade assigned to this colour name for display. This is NOT a sourced or certified club-brand HEX value.</t>
      </text>
    </comment>
    <comment authorId="0" ref="L103">
      <text>
        <t xml:space="preserve">Illustrative generic shade assigned to this colour name for display. This is NOT a sourced or certified club-brand HEX value.</t>
      </text>
    </comment>
    <comment authorId="0" ref="M103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764">
      <text>
        <t xml:space="preserve">Illustrative generic shade assigned to this colour name for display. This is NOT a sourced or certified club-brand HEX value.</t>
      </text>
    </comment>
    <comment authorId="0" ref="M764">
      <text>
        <t xml:space="preserve">Illustrative generic shade assigned to this colour name for display. This is NOT a sourced or certified club-brand HEX value.</t>
      </text>
    </comment>
    <comment authorId="0" ref="L698">
      <text>
        <t xml:space="preserve">Illustrative generic shade assigned to this colour name for display. This is NOT a sourced or certified club-brand HEX value.</t>
      </text>
    </comment>
    <comment authorId="0" ref="M698">
      <text>
        <t xml:space="preserve">Illustrative generic shade assigned to this colour name for display. This is NOT a sourced or certified club-brand HEX value.</t>
      </text>
    </comment>
    <comment authorId="0" ref="L368">
      <text>
        <t xml:space="preserve">Illustrative generic shade assigned to this colour name for display. This is NOT a sourced or certified club-brand HEX value.</t>
      </text>
    </comment>
    <comment authorId="0" ref="M368">
      <text>
        <t xml:space="preserve">Illustrative generic shade assigned to this colour name for display. This is NOT a sourced or certified club-brand HEX value.</t>
      </text>
    </comment>
    <comment authorId="0" ref="L302">
      <text>
        <t xml:space="preserve">Illustrative generic shade assigned to this colour name for display. This is NOT a sourced or certified club-brand HEX value.</t>
      </text>
    </comment>
    <comment authorId="0" ref="M302">
      <text>
        <t xml:space="preserve">Illustrative generic shade assigned to this colour name for display. This is NOT a sourced or certified club-brand HEX value.</t>
      </text>
    </comment>
    <comment authorId="0" ref="L236">
      <text>
        <t xml:space="preserve">Illustrative generic shade assigned to this colour name for display. This is NOT a sourced or certified club-brand HEX value.</t>
      </text>
    </comment>
    <comment authorId="0" ref="M236">
      <text>
        <t xml:space="preserve">Illustrative generic shade assigned to this colour name for display. This is NOT a sourced or certified club-brand HEX value.</t>
      </text>
    </comment>
    <comment authorId="0" ref="L170">
      <text>
        <t xml:space="preserve">Illustrative generic shade assigned to this colour name for display. This is NOT a sourced or certified club-brand HEX value.</t>
      </text>
    </comment>
    <comment authorId="0" ref="M170">
      <text>
        <t xml:space="preserve">Illustrative generic shade assigned to this colour name for display. This is NOT a sourced or certified club-brand HEX value.</t>
      </text>
    </comment>
    <comment authorId="0" ref="L104">
      <text>
        <t xml:space="preserve">Illustrative generic shade assigned to this colour name for display. This is NOT a sourced or certified club-brand HEX value.</t>
      </text>
    </comment>
    <comment authorId="0" ref="M104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765">
      <text>
        <t xml:space="preserve">Illustrative generic shade assigned to this colour name for display. This is NOT a sourced or certified club-brand HEX value.</t>
      </text>
    </comment>
    <comment authorId="0" ref="M765">
      <text>
        <t xml:space="preserve">Illustrative generic shade assigned to this colour name for display. This is NOT a sourced or certified club-brand HEX value.</t>
      </text>
    </comment>
    <comment authorId="0" ref="L699">
      <text>
        <t xml:space="preserve">Illustrative generic shade assigned to this colour name for display. This is NOT a sourced or certified club-brand HEX value.</t>
      </text>
    </comment>
    <comment authorId="0" ref="M699">
      <text>
        <t xml:space="preserve">Illustrative generic shade assigned to this colour name for display. This is NOT a sourced or certified club-brand HEX value.</t>
      </text>
    </comment>
    <comment authorId="0" ref="L633">
      <text>
        <t xml:space="preserve">Illustrative generic shade assigned to this colour name for display. This is NOT a sourced or certified club-brand HEX value.</t>
      </text>
    </comment>
    <comment authorId="0" ref="M633">
      <text>
        <t xml:space="preserve">Illustrative generic shade assigned to this colour name for display. This is NOT a sourced or certified club-brand HEX value.</t>
      </text>
    </comment>
    <comment authorId="0" ref="L501">
      <text>
        <t xml:space="preserve">Illustrative generic shade assigned to this colour name for display. This is NOT a sourced or certified club-brand HEX value.</t>
      </text>
    </comment>
    <comment authorId="0" ref="M501">
      <text>
        <t xml:space="preserve">Illustrative generic shade assigned to this colour name for display. This is NOT a sourced or certified club-brand HEX value.</t>
      </text>
    </comment>
    <comment authorId="0" ref="L369">
      <text>
        <t xml:space="preserve">Illustrative generic shade assigned to this colour name for display. This is NOT a sourced or certified club-brand HEX value.</t>
      </text>
    </comment>
    <comment authorId="0" ref="M369">
      <text>
        <t xml:space="preserve">Illustrative generic shade assigned to this colour name for display. This is NOT a sourced or certified club-brand HEX value.</t>
      </text>
    </comment>
    <comment authorId="0" ref="L303">
      <text>
        <t xml:space="preserve">Illustrative generic shade assigned to this colour name for display. This is NOT a sourced or certified club-brand HEX value.</t>
      </text>
    </comment>
    <comment authorId="0" ref="M303">
      <text>
        <t xml:space="preserve">Illustrative generic shade assigned to this colour name for display. This is NOT a sourced or certified club-brand HEX value.</t>
      </text>
    </comment>
    <comment authorId="0" ref="L237">
      <text>
        <t xml:space="preserve">Illustrative generic shade assigned to this colour name for display. This is NOT a sourced or certified club-brand HEX value.</t>
      </text>
    </comment>
    <comment authorId="0" ref="M237">
      <text>
        <t xml:space="preserve">Illustrative generic shade assigned to this colour name for display. This is NOT a sourced or certified club-brand HEX value.</t>
      </text>
    </comment>
    <comment authorId="0" ref="L171">
      <text>
        <t xml:space="preserve">Illustrative generic shade assigned to this colour name for display. This is NOT a sourced or certified club-brand HEX value.</t>
      </text>
    </comment>
    <comment authorId="0" ref="M171">
      <text>
        <t xml:space="preserve">Illustrative generic shade assigned to this colour name for display. This is NOT a sourced or certified club-brand HEX value.</t>
      </text>
    </comment>
    <comment authorId="0" ref="L105">
      <text>
        <t xml:space="preserve">Illustrative generic shade assigned to this colour name for display. This is NOT a sourced or certified club-brand HEX value.</t>
      </text>
    </comment>
    <comment authorId="0" ref="M105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766">
      <text>
        <t xml:space="preserve">Illustrative generic shade assigned to this colour name for display. This is NOT a sourced or certified club-brand HEX value.</t>
      </text>
    </comment>
    <comment authorId="0" ref="M766">
      <text>
        <t xml:space="preserve">Illustrative generic shade assigned to this colour name for display. This is NOT a sourced or certified club-brand HEX value.</t>
      </text>
    </comment>
    <comment authorId="0" ref="L700">
      <text>
        <t xml:space="preserve">Illustrative generic shade assigned to this colour name for display. This is NOT a sourced or certified club-brand HEX value.</t>
      </text>
    </comment>
    <comment authorId="0" ref="M700">
      <text>
        <t xml:space="preserve">Illustrative generic shade assigned to this colour name for display. This is NOT a sourced or certified club-brand HEX value.</t>
      </text>
    </comment>
    <comment authorId="0" ref="L502">
      <text>
        <t xml:space="preserve">Illustrative generic shade assigned to this colour name for display. This is NOT a sourced or certified club-brand HEX value.</t>
      </text>
    </comment>
    <comment authorId="0" ref="M502">
      <text>
        <t xml:space="preserve">Illustrative generic shade assigned to this colour name for display. This is NOT a sourced or certified club-brand HEX value.</t>
      </text>
    </comment>
    <comment authorId="0" ref="L370">
      <text>
        <t xml:space="preserve">Illustrative generic shade assigned to this colour name for display. This is NOT a sourced or certified club-brand HEX value.</t>
      </text>
    </comment>
    <comment authorId="0" ref="M370">
      <text>
        <t xml:space="preserve">Illustrative generic shade assigned to this colour name for display. This is NOT a sourced or certified club-brand HEX value.</t>
      </text>
    </comment>
    <comment authorId="0" ref="L304">
      <text>
        <t xml:space="preserve">Illustrative generic shade assigned to this colour name for display. This is NOT a sourced or certified club-brand HEX value.</t>
      </text>
    </comment>
    <comment authorId="0" ref="M304">
      <text>
        <t xml:space="preserve">Illustrative generic shade assigned to this colour name for display. This is NOT a sourced or certified club-brand HEX value.</t>
      </text>
    </comment>
    <comment authorId="0" ref="L238">
      <text>
        <t xml:space="preserve">Illustrative generic shade assigned to this colour name for display. This is NOT a sourced or certified club-brand HEX value.</t>
      </text>
    </comment>
    <comment authorId="0" ref="M238">
      <text>
        <t xml:space="preserve">Illustrative generic shade assigned to this colour name for display. This is NOT a sourced or certified club-brand HEX value.</t>
      </text>
    </comment>
    <comment authorId="0" ref="L172">
      <text>
        <t xml:space="preserve">Illustrative generic shade assigned to this colour name for display. This is NOT a sourced or certified club-brand HEX value.</t>
      </text>
    </comment>
    <comment authorId="0" ref="M172">
      <text>
        <t xml:space="preserve">Illustrative generic shade assigned to this colour name for display. This is NOT a sourced or certified club-brand HEX value.</t>
      </text>
    </comment>
    <comment authorId="0" ref="L106">
      <text>
        <t xml:space="preserve">Illustrative generic shade assigned to this colour name for display. This is NOT a sourced or certified club-brand HEX value.</t>
      </text>
    </comment>
    <comment authorId="0" ref="M106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L767">
      <text>
        <t xml:space="preserve">Illustrative generic shade assigned to this colour name for display. This is NOT a sourced or certified club-brand HEX value.</t>
      </text>
    </comment>
    <comment authorId="0" ref="M767">
      <text>
        <t xml:space="preserve">Illustrative generic shade assigned to this colour name for display. This is NOT a sourced or certified club-brand HEX value.</t>
      </text>
    </comment>
    <comment authorId="0" ref="L701">
      <text>
        <t xml:space="preserve">Illustrative generic shade assigned to this colour name for display. This is NOT a sourced or certified club-brand HEX value.</t>
      </text>
    </comment>
    <comment authorId="0" ref="M701">
      <text>
        <t xml:space="preserve">Illustrative generic shade assigned to this colour name for display. This is NOT a sourced or certified club-brand HEX value.</t>
      </text>
    </comment>
    <comment authorId="0" ref="L503">
      <text>
        <t xml:space="preserve">Illustrative generic shade assigned to this colour name for display. This is NOT a sourced or certified club-brand HEX value.</t>
      </text>
    </comment>
    <comment authorId="0" ref="M503">
      <text>
        <t xml:space="preserve">Illustrative generic shade assigned to this colour name for display. This is NOT a sourced or certified club-brand HEX value.</t>
      </text>
    </comment>
    <comment authorId="0" ref="L371">
      <text>
        <t xml:space="preserve">Illustrative generic shade assigned to this colour name for display. This is NOT a sourced or certified club-brand HEX value.</t>
      </text>
    </comment>
    <comment authorId="0" ref="M371">
      <text>
        <t xml:space="preserve">Illustrative generic shade assigned to this colour name for display. This is NOT a sourced or certified club-brand HEX value.</t>
      </text>
    </comment>
    <comment authorId="0" ref="L305">
      <text>
        <t xml:space="preserve">Illustrative generic shade assigned to this colour name for display. This is NOT a sourced or certified club-brand HEX value.</t>
      </text>
    </comment>
    <comment authorId="0" ref="M305">
      <text>
        <t xml:space="preserve">Illustrative generic shade assigned to this colour name for display. This is NOT a sourced or certified club-brand HEX value.</t>
      </text>
    </comment>
    <comment authorId="0" ref="L239">
      <text>
        <t xml:space="preserve">Illustrative generic shade assigned to this colour name for display. This is NOT a sourced or certified club-brand HEX value.</t>
      </text>
    </comment>
    <comment authorId="0" ref="M239">
      <text>
        <t xml:space="preserve">Illustrative generic shade assigned to this colour name for display. This is NOT a sourced or certified club-brand HEX value.</t>
      </text>
    </comment>
    <comment authorId="0" ref="L173">
      <text>
        <t xml:space="preserve">Illustrative generic shade assigned to this colour name for display. This is NOT a sourced or certified club-brand HEX value.</t>
      </text>
    </comment>
    <comment authorId="0" ref="M173">
      <text>
        <t xml:space="preserve">Illustrative generic shade assigned to this colour name for display. This is NOT a sourced or certified club-brand HEX value.</t>
      </text>
    </comment>
    <comment authorId="0" ref="L107">
      <text>
        <t xml:space="preserve">Illustrative generic shade assigned to this colour name for display. This is NOT a sourced or certified club-brand HEX value.</t>
      </text>
    </comment>
    <comment authorId="0" ref="M107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L768">
      <text>
        <t xml:space="preserve">Illustrative generic shade assigned to this colour name for display. This is NOT a sourced or certified club-brand HEX value.</t>
      </text>
    </comment>
    <comment authorId="0" ref="M768">
      <text>
        <t xml:space="preserve">Illustrative generic shade assigned to this colour name for display. This is NOT a sourced or certified club-brand HEX value.</t>
      </text>
    </comment>
    <comment authorId="0" ref="L702">
      <text>
        <t xml:space="preserve">Illustrative generic shade assigned to this colour name for display. This is NOT a sourced or certified club-brand HEX value.</t>
      </text>
    </comment>
    <comment authorId="0" ref="M702">
      <text>
        <t xml:space="preserve">Illustrative generic shade assigned to this colour name for display. This is NOT a sourced or certified club-brand HEX value.</t>
      </text>
    </comment>
    <comment authorId="0" ref="L570">
      <text>
        <t xml:space="preserve">Illustrative generic shade assigned to this colour name for display. This is NOT a sourced or certified club-brand HEX value.</t>
      </text>
    </comment>
    <comment authorId="0" ref="M570">
      <text>
        <t xml:space="preserve">Illustrative generic shade assigned to this colour name for display. This is NOT a sourced or certified club-brand HEX value.</t>
      </text>
    </comment>
    <comment authorId="0" ref="L504">
      <text>
        <t xml:space="preserve">Illustrative generic shade assigned to this colour name for display. This is NOT a sourced or certified club-brand HEX value.</t>
      </text>
    </comment>
    <comment authorId="0" ref="M504">
      <text>
        <t xml:space="preserve">Illustrative generic shade assigned to this colour name for display. This is NOT a sourced or certified club-brand HEX value.</t>
      </text>
    </comment>
    <comment authorId="0" ref="L372">
      <text>
        <t xml:space="preserve">Illustrative generic shade assigned to this colour name for display. This is NOT a sourced or certified club-brand HEX value.</t>
      </text>
    </comment>
    <comment authorId="0" ref="M372">
      <text>
        <t xml:space="preserve">Illustrative generic shade assigned to this colour name for display. This is NOT a sourced or certified club-brand HEX value.</t>
      </text>
    </comment>
    <comment authorId="0" ref="L306">
      <text>
        <t xml:space="preserve">Illustrative generic shade assigned to this colour name for display. This is NOT a sourced or certified club-brand HEX value.</t>
      </text>
    </comment>
    <comment authorId="0" ref="M306">
      <text>
        <t xml:space="preserve">Illustrative generic shade assigned to this colour name for display. This is NOT a sourced or certified club-brand HEX value.</t>
      </text>
    </comment>
    <comment authorId="0" ref="L240">
      <text>
        <t xml:space="preserve">Illustrative generic shade assigned to this colour name for display. This is NOT a sourced or certified club-brand HEX value.</t>
      </text>
    </comment>
    <comment authorId="0" ref="M240">
      <text>
        <t xml:space="preserve">Illustrative generic shade assigned to this colour name for display. This is NOT a sourced or certified club-brand HEX value.</t>
      </text>
    </comment>
    <comment authorId="0" ref="L174">
      <text>
        <t xml:space="preserve">Illustrative generic shade assigned to this colour name for display. This is NOT a sourced or certified club-brand HEX value.</t>
      </text>
    </comment>
    <comment authorId="0" ref="M174">
      <text>
        <t xml:space="preserve">Illustrative generic shade assigned to this colour name for display. This is NOT a sourced or certified club-brand HEX value.</t>
      </text>
    </comment>
    <comment authorId="0" ref="L108">
      <text>
        <t xml:space="preserve">Illustrative generic shade assigned to this colour name for display. This is NOT a sourced or certified club-brand HEX value.</t>
      </text>
    </comment>
    <comment authorId="0" ref="M108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L769">
      <text>
        <t xml:space="preserve">Illustrative generic shade assigned to this colour name for display. This is NOT a sourced or certified club-brand HEX value.</t>
      </text>
    </comment>
    <comment authorId="0" ref="M769">
      <text>
        <t xml:space="preserve">Illustrative generic shade assigned to this colour name for display. This is NOT a sourced or certified club-brand HEX value.</t>
      </text>
    </comment>
    <comment authorId="0" ref="L703">
      <text>
        <t xml:space="preserve">Illustrative generic shade assigned to this colour name for display. This is NOT a sourced or certified club-brand HEX value.</t>
      </text>
    </comment>
    <comment authorId="0" ref="M703">
      <text>
        <t xml:space="preserve">Illustrative generic shade assigned to this colour name for display. This is NOT a sourced or certified club-brand HEX value.</t>
      </text>
    </comment>
    <comment authorId="0" ref="L637">
      <text>
        <t xml:space="preserve">Illustrative generic shade assigned to this colour name for display. This is NOT a sourced or certified club-brand HEX value.</t>
      </text>
    </comment>
    <comment authorId="0" ref="M637">
      <text>
        <t xml:space="preserve">Illustrative generic shade assigned to this colour name for display. This is NOT a sourced or certified club-brand HEX value.</t>
      </text>
    </comment>
    <comment authorId="0" ref="L571">
      <text>
        <t xml:space="preserve">Illustrative generic shade assigned to this colour name for display. This is NOT a sourced or certified club-brand HEX value.</t>
      </text>
    </comment>
    <comment authorId="0" ref="M571">
      <text>
        <t xml:space="preserve">Illustrative generic shade assigned to this colour name for display. This is NOT a sourced or certified club-brand HEX value.</t>
      </text>
    </comment>
    <comment authorId="0" ref="L505">
      <text>
        <t xml:space="preserve">Illustrative generic shade assigned to this colour name for display. This is NOT a sourced or certified club-brand HEX value.</t>
      </text>
    </comment>
    <comment authorId="0" ref="M505">
      <text>
        <t xml:space="preserve">Illustrative generic shade assigned to this colour name for display. This is NOT a sourced or certified club-brand HEX value.</t>
      </text>
    </comment>
    <comment authorId="0" ref="L373">
      <text>
        <t xml:space="preserve">Illustrative generic shade assigned to this colour name for display. This is NOT a sourced or certified club-brand HEX value.</t>
      </text>
    </comment>
    <comment authorId="0" ref="M373">
      <text>
        <t xml:space="preserve">Illustrative generic shade assigned to this colour name for display. This is NOT a sourced or certified club-brand HEX value.</t>
      </text>
    </comment>
    <comment authorId="0" ref="L307">
      <text>
        <t xml:space="preserve">Illustrative generic shade assigned to this colour name for display. This is NOT a sourced or certified club-brand HEX value.</t>
      </text>
    </comment>
    <comment authorId="0" ref="M307">
      <text>
        <t xml:space="preserve">Illustrative generic shade assigned to this colour name for display. This is NOT a sourced or certified club-brand HEX value.</t>
      </text>
    </comment>
    <comment authorId="0" ref="L241">
      <text>
        <t xml:space="preserve">Illustrative generic shade assigned to this colour name for display. This is NOT a sourced or certified club-brand HEX value.</t>
      </text>
    </comment>
    <comment authorId="0" ref="M241">
      <text>
        <t xml:space="preserve">Illustrative generic shade assigned to this colour name for display. This is NOT a sourced or certified club-brand HEX value.</t>
      </text>
    </comment>
    <comment authorId="0" ref="L175">
      <text>
        <t xml:space="preserve">Illustrative generic shade assigned to this colour name for display. This is NOT a sourced or certified club-brand HEX value.</t>
      </text>
    </comment>
    <comment authorId="0" ref="M175">
      <text>
        <t xml:space="preserve">Illustrative generic shade assigned to this colour name for display. This is NOT a sourced or certified club-brand HEX value.</t>
      </text>
    </comment>
    <comment authorId="0" ref="L109">
      <text>
        <t xml:space="preserve">Illustrative generic shade assigned to this colour name for display. This is NOT a sourced or certified club-brand HEX value.</t>
      </text>
    </comment>
    <comment authorId="0" ref="M109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L770">
      <text>
        <t xml:space="preserve">Illustrative generic shade assigned to this colour name for display. This is NOT a sourced or certified club-brand HEX value.</t>
      </text>
    </comment>
    <comment authorId="0" ref="M770">
      <text>
        <t xml:space="preserve">Illustrative generic shade assigned to this colour name for display. This is NOT a sourced or certified club-brand HEX value.</t>
      </text>
    </comment>
    <comment authorId="0" ref="L704">
      <text>
        <t xml:space="preserve">Illustrative generic shade assigned to this colour name for display. This is NOT a sourced or certified club-brand HEX value.</t>
      </text>
    </comment>
    <comment authorId="0" ref="M704">
      <text>
        <t xml:space="preserve">Illustrative generic shade assigned to this colour name for display. This is NOT a sourced or certified club-brand HEX value.</t>
      </text>
    </comment>
    <comment authorId="0" ref="L506">
      <text>
        <t xml:space="preserve">Illustrative generic shade assigned to this colour name for display. This is NOT a sourced or certified club-brand HEX value.</t>
      </text>
    </comment>
    <comment authorId="0" ref="M506">
      <text>
        <t xml:space="preserve">Illustrative generic shade assigned to this colour name for display. This is NOT a sourced or certified club-brand HEX value.</t>
      </text>
    </comment>
    <comment authorId="0" ref="L374">
      <text>
        <t xml:space="preserve">Illustrative generic shade assigned to this colour name for display. This is NOT a sourced or certified club-brand HEX value.</t>
      </text>
    </comment>
    <comment authorId="0" ref="M374">
      <text>
        <t xml:space="preserve">Illustrative generic shade assigned to this colour name for display. This is NOT a sourced or certified club-brand HEX value.</t>
      </text>
    </comment>
    <comment authorId="0" ref="L308">
      <text>
        <t xml:space="preserve">Illustrative generic shade assigned to this colour name for display. This is NOT a sourced or certified club-brand HEX value.</t>
      </text>
    </comment>
    <comment authorId="0" ref="M308">
      <text>
        <t xml:space="preserve">Illustrative generic shade assigned to this colour name for display. This is NOT a sourced or certified club-brand HEX value.</t>
      </text>
    </comment>
    <comment authorId="0" ref="L242">
      <text>
        <t xml:space="preserve">Illustrative generic shade assigned to this colour name for display. This is NOT a sourced or certified club-brand HEX value.</t>
      </text>
    </comment>
    <comment authorId="0" ref="M242">
      <text>
        <t xml:space="preserve">Illustrative generic shade assigned to this colour name for display. This is NOT a sourced or certified club-brand HEX value.</t>
      </text>
    </comment>
    <comment authorId="0" ref="L176">
      <text>
        <t xml:space="preserve">Illustrative generic shade assigned to this colour name for display. This is NOT a sourced or certified club-brand HEX value.</t>
      </text>
    </comment>
    <comment authorId="0" ref="M176">
      <text>
        <t xml:space="preserve">Illustrative generic shade assigned to this colour name for display. This is NOT a sourced or certified club-brand HEX value.</t>
      </text>
    </comment>
    <comment authorId="0" ref="L110">
      <text>
        <t xml:space="preserve">Illustrative generic shade assigned to this colour name for display. This is NOT a sourced or certified club-brand HEX value.</t>
      </text>
    </comment>
    <comment authorId="0" ref="M110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L771">
      <text>
        <t xml:space="preserve">Illustrative generic shade assigned to this colour name for display. This is NOT a sourced or certified club-brand HEX value.</t>
      </text>
    </comment>
    <comment authorId="0" ref="M771">
      <text>
        <t xml:space="preserve">Illustrative generic shade assigned to this colour name for display. This is NOT a sourced or certified club-brand HEX value.</t>
      </text>
    </comment>
    <comment authorId="0" ref="L705">
      <text>
        <t xml:space="preserve">Illustrative generic shade assigned to this colour name for display. This is NOT a sourced or certified club-brand HEX value.</t>
      </text>
    </comment>
    <comment authorId="0" ref="M705">
      <text>
        <t xml:space="preserve">Illustrative generic shade assigned to this colour name for display. This is NOT a sourced or certified club-brand HEX value.</t>
      </text>
    </comment>
    <comment authorId="0" ref="L573">
      <text>
        <t xml:space="preserve">Illustrative generic shade assigned to this colour name for display. This is NOT a sourced or certified club-brand HEX value.</t>
      </text>
    </comment>
    <comment authorId="0" ref="M573">
      <text>
        <t xml:space="preserve">Illustrative generic shade assigned to this colour name for display. This is NOT a sourced or certified club-brand HEX value.</t>
      </text>
    </comment>
    <comment authorId="0" ref="L507">
      <text>
        <t xml:space="preserve">Illustrative generic shade assigned to this colour name for display. This is NOT a sourced or certified club-brand HEX value.</t>
      </text>
    </comment>
    <comment authorId="0" ref="M507">
      <text>
        <t xml:space="preserve">Illustrative generic shade assigned to this colour name for display. This is NOT a sourced or certified club-brand HEX value.</t>
      </text>
    </comment>
    <comment authorId="0" ref="L375">
      <text>
        <t xml:space="preserve">Illustrative generic shade assigned to this colour name for display. This is NOT a sourced or certified club-brand HEX value.</t>
      </text>
    </comment>
    <comment authorId="0" ref="M375">
      <text>
        <t xml:space="preserve">Illustrative generic shade assigned to this colour name for display. This is NOT a sourced or certified club-brand HEX value.</t>
      </text>
    </comment>
    <comment authorId="0" ref="L309">
      <text>
        <t xml:space="preserve">Illustrative generic shade assigned to this colour name for display. This is NOT a sourced or certified club-brand HEX value.</t>
      </text>
    </comment>
    <comment authorId="0" ref="M309">
      <text>
        <t xml:space="preserve">Illustrative generic shade assigned to this colour name for display. This is NOT a sourced or certified club-brand HEX value.</t>
      </text>
    </comment>
    <comment authorId="0" ref="L243">
      <text>
        <t xml:space="preserve">Illustrative generic shade assigned to this colour name for display. This is NOT a sourced or certified club-brand HEX value.</t>
      </text>
    </comment>
    <comment authorId="0" ref="M243">
      <text>
        <t xml:space="preserve">Illustrative generic shade assigned to this colour name for display. This is NOT a sourced or certified club-brand HEX value.</t>
      </text>
    </comment>
    <comment authorId="0" ref="L177">
      <text>
        <t xml:space="preserve">Illustrative generic shade assigned to this colour name for display. This is NOT a sourced or certified club-brand HEX value.</t>
      </text>
    </comment>
    <comment authorId="0" ref="L111">
      <text>
        <t xml:space="preserve">Illustrative generic shade assigned to this colour name for display. This is NOT a sourced or certified club-brand HEX value.</t>
      </text>
    </comment>
    <comment authorId="0" ref="M111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L772">
      <text>
        <t xml:space="preserve">Illustrative generic shade assigned to this colour name for display. This is NOT a sourced or certified club-brand HEX value.</t>
      </text>
    </comment>
    <comment authorId="0" ref="M772">
      <text>
        <t xml:space="preserve">Illustrative generic shade assigned to this colour name for display. This is NOT a sourced or certified club-brand HEX value.</t>
      </text>
    </comment>
    <comment authorId="0" ref="L706">
      <text>
        <t xml:space="preserve">Illustrative generic shade assigned to this colour name for display. This is NOT a sourced or certified club-brand HEX value.</t>
      </text>
    </comment>
    <comment authorId="0" ref="M706">
      <text>
        <t xml:space="preserve">Illustrative generic shade assigned to this colour name for display. This is NOT a sourced or certified club-brand HEX value.</t>
      </text>
    </comment>
    <comment authorId="0" ref="L376">
      <text>
        <t xml:space="preserve">Illustrative generic shade assigned to this colour name for display. This is NOT a sourced or certified club-brand HEX value.</t>
      </text>
    </comment>
    <comment authorId="0" ref="M376">
      <text>
        <t xml:space="preserve">Illustrative generic shade assigned to this colour name for display. This is NOT a sourced or certified club-brand HEX value.</t>
      </text>
    </comment>
    <comment authorId="0" ref="L310">
      <text>
        <t xml:space="preserve">Illustrative generic shade assigned to this colour name for display. This is NOT a sourced or certified club-brand HEX value.</t>
      </text>
    </comment>
    <comment authorId="0" ref="M310">
      <text>
        <t xml:space="preserve">Illustrative generic shade assigned to this colour name for display. This is NOT a sourced or certified club-brand HEX value.</t>
      </text>
    </comment>
    <comment authorId="0" ref="L244">
      <text>
        <t xml:space="preserve">Illustrative generic shade assigned to this colour name for display. This is NOT a sourced or certified club-brand HEX value.</t>
      </text>
    </comment>
    <comment authorId="0" ref="M244">
      <text>
        <t xml:space="preserve">Illustrative generic shade assigned to this colour name for display. This is NOT a sourced or certified club-brand HEX value.</t>
      </text>
    </comment>
    <comment authorId="0" ref="L178">
      <text>
        <t xml:space="preserve">Illustrative generic shade assigned to this colour name for display. This is NOT a sourced or certified club-brand HEX value.</t>
      </text>
    </comment>
    <comment authorId="0" ref="M178">
      <text>
        <t xml:space="preserve">Illustrative generic shade assigned to this colour name for display. This is NOT a sourced or certified club-brand HEX value.</t>
      </text>
    </comment>
    <comment authorId="0" ref="L112">
      <text>
        <t xml:space="preserve">Illustrative generic shade assigned to this colour name for display. This is NOT a sourced or certified club-brand HEX value.</t>
      </text>
    </comment>
    <comment authorId="0" ref="M112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L773">
      <text>
        <t xml:space="preserve">Illustrative generic shade assigned to this colour name for display. This is NOT a sourced or certified club-brand HEX value.</t>
      </text>
    </comment>
    <comment authorId="0" ref="M773">
      <text>
        <t xml:space="preserve">Illustrative generic shade assigned to this colour name for display. This is NOT a sourced or certified club-brand HEX value.</t>
      </text>
    </comment>
    <comment authorId="0" ref="L707">
      <text>
        <t xml:space="preserve">Illustrative generic shade assigned to this colour name for display. This is NOT a sourced or certified club-brand HEX value.</t>
      </text>
    </comment>
    <comment authorId="0" ref="M707">
      <text>
        <t xml:space="preserve">Illustrative generic shade assigned to this colour name for display. This is NOT a sourced or certified club-brand HEX value.</t>
      </text>
    </comment>
    <comment authorId="0" ref="L641">
      <text>
        <t xml:space="preserve">Illustrative generic shade assigned to this colour name for display. This is NOT a sourced or certified club-brand HEX value.</t>
      </text>
    </comment>
    <comment authorId="0" ref="M641">
      <text>
        <t xml:space="preserve">Illustrative generic shade assigned to this colour name for display. This is NOT a sourced or certified club-brand HEX value.</t>
      </text>
    </comment>
    <comment authorId="0" ref="L509">
      <text>
        <t xml:space="preserve">Illustrative generic shade assigned to this colour name for display. This is NOT a sourced or certified club-brand HEX value.</t>
      </text>
    </comment>
    <comment authorId="0" ref="M509">
      <text>
        <t xml:space="preserve">Illustrative generic shade assigned to this colour name for display. This is NOT a sourced or certified club-brand HEX value.</t>
      </text>
    </comment>
    <comment authorId="0" ref="L377">
      <text>
        <t xml:space="preserve">Illustrative generic shade assigned to this colour name for display. This is NOT a sourced or certified club-brand HEX value.</t>
      </text>
    </comment>
    <comment authorId="0" ref="M377">
      <text>
        <t xml:space="preserve">Illustrative generic shade assigned to this colour name for display. This is NOT a sourced or certified club-brand HEX value.</t>
      </text>
    </comment>
    <comment authorId="0" ref="L311">
      <text>
        <t xml:space="preserve">Illustrative generic shade assigned to this colour name for display. This is NOT a sourced or certified club-brand HEX value.</t>
      </text>
    </comment>
    <comment authorId="0" ref="M311">
      <text>
        <t xml:space="preserve">Illustrative generic shade assigned to this colour name for display. This is NOT a sourced or certified club-brand HEX value.</t>
      </text>
    </comment>
    <comment authorId="0" ref="L245">
      <text>
        <t xml:space="preserve">Illustrative generic shade assigned to this colour name for display. This is NOT a sourced or certified club-brand HEX value.</t>
      </text>
    </comment>
    <comment authorId="0" ref="M245">
      <text>
        <t xml:space="preserve">Illustrative generic shade assigned to this colour name for display. This is NOT a sourced or certified club-brand HEX value.</t>
      </text>
    </comment>
    <comment authorId="0" ref="L179">
      <text>
        <t xml:space="preserve">Illustrative generic shade assigned to this colour name for display. This is NOT a sourced or certified club-brand HEX value.</t>
      </text>
    </comment>
    <comment authorId="0" ref="M179">
      <text>
        <t xml:space="preserve">Illustrative generic shade assigned to this colour name for display. This is NOT a sourced or certified club-brand HEX value.</t>
      </text>
    </comment>
    <comment authorId="0" ref="L113">
      <text>
        <t xml:space="preserve">Illustrative generic shade assigned to this colour name for display. This is NOT a sourced or certified club-brand HEX value.</t>
      </text>
    </comment>
    <comment authorId="0" ref="M113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L774">
      <text>
        <t xml:space="preserve">Illustrative generic shade assigned to this colour name for display. This is NOT a sourced or certified club-brand HEX value.</t>
      </text>
    </comment>
    <comment authorId="0" ref="M774">
      <text>
        <t xml:space="preserve">Illustrative generic shade assigned to this colour name for display. This is NOT a sourced or certified club-brand HEX value.</t>
      </text>
    </comment>
    <comment authorId="0" ref="L708">
      <text>
        <t xml:space="preserve">Illustrative generic shade assigned to this colour name for display. This is NOT a sourced or certified club-brand HEX value.</t>
      </text>
    </comment>
    <comment authorId="0" ref="M708">
      <text>
        <t xml:space="preserve">Illustrative generic shade assigned to this colour name for display. This is NOT a sourced or certified club-brand HEX value.</t>
      </text>
    </comment>
    <comment authorId="0" ref="L510">
      <text>
        <t xml:space="preserve">Illustrative generic shade assigned to this colour name for display. This is NOT a sourced or certified club-brand HEX value.</t>
      </text>
    </comment>
    <comment authorId="0" ref="M510">
      <text>
        <t xml:space="preserve">Illustrative generic shade assigned to this colour name for display. This is NOT a sourced or certified club-brand HEX value.</t>
      </text>
    </comment>
    <comment authorId="0" ref="L444">
      <text>
        <t xml:space="preserve">Illustrative generic shade assigned to this colour name for display. This is NOT a sourced or certified club-brand HEX value.</t>
      </text>
    </comment>
    <comment authorId="0" ref="M444">
      <text>
        <t xml:space="preserve">Illustrative generic shade assigned to this colour name for display. This is NOT a sourced or certified club-brand HEX value.</t>
      </text>
    </comment>
    <comment authorId="0" ref="L378">
      <text>
        <t xml:space="preserve">Illustrative generic shade assigned to this colour name for display. This is NOT a sourced or certified club-brand HEX value.</t>
      </text>
    </comment>
    <comment authorId="0" ref="M378">
      <text>
        <t xml:space="preserve">Illustrative generic shade assigned to this colour name for display. This is NOT a sourced or certified club-brand HEX value.</t>
      </text>
    </comment>
    <comment authorId="0" ref="L312">
      <text>
        <t xml:space="preserve">Illustrative generic shade assigned to this colour name for display. This is NOT a sourced or certified club-brand HEX value.</t>
      </text>
    </comment>
    <comment authorId="0" ref="M312">
      <text>
        <t xml:space="preserve">Illustrative generic shade assigned to this colour name for display. This is NOT a sourced or certified club-brand HEX value.</t>
      </text>
    </comment>
    <comment authorId="0" ref="L246">
      <text>
        <t xml:space="preserve">Illustrative generic shade assigned to this colour name for display. This is NOT a sourced or certified club-brand HEX value.</t>
      </text>
    </comment>
    <comment authorId="0" ref="M246">
      <text>
        <t xml:space="preserve">Illustrative generic shade assigned to this colour name for display. This is NOT a sourced or certified club-brand HEX value.</t>
      </text>
    </comment>
    <comment authorId="0" ref="L180">
      <text>
        <t xml:space="preserve">Illustrative generic shade assigned to this colour name for display. This is NOT a sourced or certified club-brand HEX value.</t>
      </text>
    </comment>
    <comment authorId="0" ref="M180">
      <text>
        <t xml:space="preserve">Illustrative generic shade assigned to this colour name for display. This is NOT a sourced or certified club-brand HEX value.</t>
      </text>
    </comment>
    <comment authorId="0" ref="L114">
      <text>
        <t xml:space="preserve">Illustrative generic shade assigned to this colour name for display. This is NOT a sourced or certified club-brand HEX value.</t>
      </text>
    </comment>
    <comment authorId="0" ref="M114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L775">
      <text>
        <t xml:space="preserve">Illustrative generic shade assigned to this colour name for display. This is NOT a sourced or certified club-brand HEX value.</t>
      </text>
    </comment>
    <comment authorId="0" ref="M775">
      <text>
        <t xml:space="preserve">Illustrative generic shade assigned to this colour name for display. This is NOT a sourced or certified club-brand HEX value.</t>
      </text>
    </comment>
    <comment authorId="0" ref="L709">
      <text>
        <t xml:space="preserve">Illustrative generic shade assigned to this colour name for display. This is NOT a sourced or certified club-brand HEX value.</t>
      </text>
    </comment>
    <comment authorId="0" ref="M709">
      <text>
        <t xml:space="preserve">Illustrative generic shade assigned to this colour name for display. This is NOT a sourced or certified club-brand HEX value.</t>
      </text>
    </comment>
    <comment authorId="0" ref="L577">
      <text>
        <t xml:space="preserve">Illustrative generic shade assigned to this colour name for display. This is NOT a sourced or certified club-brand HEX value.</t>
      </text>
    </comment>
    <comment authorId="0" ref="M577">
      <text>
        <t xml:space="preserve">Illustrative generic shade assigned to this colour name for display. This is NOT a sourced or certified club-brand HEX value.</t>
      </text>
    </comment>
    <comment authorId="0" ref="L511">
      <text>
        <t xml:space="preserve">Illustrative generic shade assigned to this colour name for display. This is NOT a sourced or certified club-brand HEX value.</t>
      </text>
    </comment>
    <comment authorId="0" ref="M511">
      <text>
        <t xml:space="preserve">Illustrative generic shade assigned to this colour name for display. This is NOT a sourced or certified club-brand HEX value.</t>
      </text>
    </comment>
    <comment authorId="0" ref="L379">
      <text>
        <t xml:space="preserve">Illustrative generic shade assigned to this colour name for display. This is NOT a sourced or certified club-brand HEX value.</t>
      </text>
    </comment>
    <comment authorId="0" ref="M379">
      <text>
        <t xml:space="preserve">Illustrative generic shade assigned to this colour name for display. This is NOT a sourced or certified club-brand HEX value.</t>
      </text>
    </comment>
    <comment authorId="0" ref="L313">
      <text>
        <t xml:space="preserve">Illustrative generic shade assigned to this colour name for display. This is NOT a sourced or certified club-brand HEX value.</t>
      </text>
    </comment>
    <comment authorId="0" ref="M313">
      <text>
        <t xml:space="preserve">Illustrative generic shade assigned to this colour name for display. This is NOT a sourced or certified club-brand HEX value.</t>
      </text>
    </comment>
    <comment authorId="0" ref="L247">
      <text>
        <t xml:space="preserve">Illustrative generic shade assigned to this colour name for display. This is NOT a sourced or certified club-brand HEX value.</t>
      </text>
    </comment>
    <comment authorId="0" ref="M247">
      <text>
        <t xml:space="preserve">Illustrative generic shade assigned to this colour name for display. This is NOT a sourced or certified club-brand HEX value.</t>
      </text>
    </comment>
    <comment authorId="0" ref="L181">
      <text>
        <t xml:space="preserve">Illustrative generic shade assigned to this colour name for display. This is NOT a sourced or certified club-brand HEX value.</t>
      </text>
    </comment>
    <comment authorId="0" ref="M181">
      <text>
        <t xml:space="preserve">Illustrative generic shade assigned to this colour name for display. This is NOT a sourced or certified club-brand HEX value.</t>
      </text>
    </comment>
    <comment authorId="0" ref="L115">
      <text>
        <t xml:space="preserve">Illustrative generic shade assigned to this colour name for display. This is NOT a sourced or certified club-brand HEX value.</t>
      </text>
    </comment>
    <comment authorId="0" ref="M115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L776">
      <text>
        <t xml:space="preserve">Illustrative generic shade assigned to this colour name for display. This is NOT a sourced or certified club-brand HEX value.</t>
      </text>
    </comment>
    <comment authorId="0" ref="M776">
      <text>
        <t xml:space="preserve">Illustrative generic shade assigned to this colour name for display. This is NOT a sourced or certified club-brand HEX value.</t>
      </text>
    </comment>
    <comment authorId="0" ref="L710">
      <text>
        <t xml:space="preserve">Illustrative generic shade assigned to this colour name for display. This is NOT a sourced or certified club-brand HEX value.</t>
      </text>
    </comment>
    <comment authorId="0" ref="M710">
      <text>
        <t xml:space="preserve">Illustrative generic shade assigned to this colour name for display. This is NOT a sourced or certified club-brand HEX value.</t>
      </text>
    </comment>
    <comment authorId="0" ref="L644">
      <text>
        <t xml:space="preserve">Illustrative generic shade assigned to this colour name for display. This is NOT a sourced or certified club-brand HEX value.</t>
      </text>
    </comment>
    <comment authorId="0" ref="M644">
      <text>
        <t xml:space="preserve">Illustrative generic shade assigned to this colour name for display. This is NOT a sourced or certified club-brand HEX value.</t>
      </text>
    </comment>
    <comment authorId="0" ref="L512">
      <text>
        <t xml:space="preserve">Illustrative generic shade assigned to this colour name for display. This is NOT a sourced or certified club-brand HEX value.</t>
      </text>
    </comment>
    <comment authorId="0" ref="M512">
      <text>
        <t xml:space="preserve">Illustrative generic shade assigned to this colour name for display. This is NOT a sourced or certified club-brand HEX value.</t>
      </text>
    </comment>
    <comment authorId="0" ref="L446">
      <text>
        <t xml:space="preserve">Illustrative generic shade assigned to this colour name for display. This is NOT a sourced or certified club-brand HEX value.</t>
      </text>
    </comment>
    <comment authorId="0" ref="M446">
      <text>
        <t xml:space="preserve">Illustrative generic shade assigned to this colour name for display. This is NOT a sourced or certified club-brand HEX value.</t>
      </text>
    </comment>
    <comment authorId="0" ref="L380">
      <text>
        <t xml:space="preserve">Illustrative generic shade assigned to this colour name for display. This is NOT a sourced or certified club-brand HEX value.</t>
      </text>
    </comment>
    <comment authorId="0" ref="M380">
      <text>
        <t xml:space="preserve">Illustrative generic shade assigned to this colour name for display. This is NOT a sourced or certified club-brand HEX value.</t>
      </text>
    </comment>
    <comment authorId="0" ref="L314">
      <text>
        <t xml:space="preserve">Illustrative generic shade assigned to this colour name for display. This is NOT a sourced or certified club-brand HEX value.</t>
      </text>
    </comment>
    <comment authorId="0" ref="M314">
      <text>
        <t xml:space="preserve">Illustrative generic shade assigned to this colour name for display. This is NOT a sourced or certified club-brand HEX value.</t>
      </text>
    </comment>
    <comment authorId="0" ref="L248">
      <text>
        <t xml:space="preserve">Illustrative generic shade assigned to this colour name for display. This is NOT a sourced or certified club-brand HEX value.</t>
      </text>
    </comment>
    <comment authorId="0" ref="M248">
      <text>
        <t xml:space="preserve">Illustrative generic shade assigned to this colour name for display. This is NOT a sourced or certified club-brand HEX value.</t>
      </text>
    </comment>
    <comment authorId="0" ref="L182">
      <text>
        <t xml:space="preserve">Illustrative generic shade assigned to this colour name for display. This is NOT a sourced or certified club-brand HEX value.</t>
      </text>
    </comment>
    <comment authorId="0" ref="M182">
      <text>
        <t xml:space="preserve">Illustrative generic shade assigned to this colour name for display. This is NOT a sourced or certified club-brand HEX value.</t>
      </text>
    </comment>
    <comment authorId="0" ref="L116">
      <text>
        <t xml:space="preserve">Illustrative generic shade assigned to this colour name for display. This is NOT a sourced or certified club-brand HEX value.</t>
      </text>
    </comment>
    <comment authorId="0" ref="M116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L777">
      <text>
        <t xml:space="preserve">Illustrative generic shade assigned to this colour name for display. This is NOT a sourced or certified club-brand HEX value.</t>
      </text>
    </comment>
    <comment authorId="0" ref="M777">
      <text>
        <t xml:space="preserve">Illustrative generic shade assigned to this colour name for display. This is NOT a sourced or certified club-brand HEX value.</t>
      </text>
    </comment>
    <comment authorId="0" ref="L711">
      <text>
        <t xml:space="preserve">Illustrative generic shade assigned to this colour name for display. This is NOT a sourced or certified club-brand HEX value.</t>
      </text>
    </comment>
    <comment authorId="0" ref="M711">
      <text>
        <t xml:space="preserve">Illustrative generic shade assigned to this colour name for display. This is NOT a sourced or certified club-brand HEX value.</t>
      </text>
    </comment>
    <comment authorId="0" ref="L645">
      <text>
        <t xml:space="preserve">Illustrative generic shade assigned to this colour name for display. This is NOT a sourced or certified club-brand HEX value.</t>
      </text>
    </comment>
    <comment authorId="0" ref="M645">
      <text>
        <t xml:space="preserve">Illustrative generic shade assigned to this colour name for display. This is NOT a sourced or certified club-brand HEX value.</t>
      </text>
    </comment>
    <comment authorId="0" ref="L513">
      <text>
        <t xml:space="preserve">Illustrative generic shade assigned to this colour name for display. This is NOT a sourced or certified club-brand HEX value.</t>
      </text>
    </comment>
    <comment authorId="0" ref="M513">
      <text>
        <t xml:space="preserve">Illustrative generic shade assigned to this colour name for display. This is NOT a sourced or certified club-brand HEX value.</t>
      </text>
    </comment>
    <comment authorId="0" ref="L381">
      <text>
        <t xml:space="preserve">Illustrative generic shade assigned to this colour name for display. This is NOT a sourced or certified club-brand HEX value.</t>
      </text>
    </comment>
    <comment authorId="0" ref="M381">
      <text>
        <t xml:space="preserve">Illustrative generic shade assigned to this colour name for display. This is NOT a sourced or certified club-brand HEX value.</t>
      </text>
    </comment>
    <comment authorId="0" ref="L315">
      <text>
        <t xml:space="preserve">Illustrative generic shade assigned to this colour name for display. This is NOT a sourced or certified club-brand HEX value.</t>
      </text>
    </comment>
    <comment authorId="0" ref="M315">
      <text>
        <t xml:space="preserve">Illustrative generic shade assigned to this colour name for display. This is NOT a sourced or certified club-brand HEX value.</t>
      </text>
    </comment>
    <comment authorId="0" ref="L249">
      <text>
        <t xml:space="preserve">Illustrative generic shade assigned to this colour name for display. This is NOT a sourced or certified club-brand HEX value.</t>
      </text>
    </comment>
    <comment authorId="0" ref="M249">
      <text>
        <t xml:space="preserve">Illustrative generic shade assigned to this colour name for display. This is NOT a sourced or certified club-brand HEX value.</t>
      </text>
    </comment>
    <comment authorId="0" ref="L183">
      <text>
        <t xml:space="preserve">Illustrative generic shade assigned to this colour name for display. This is NOT a sourced or certified club-brand HEX value.</t>
      </text>
    </comment>
    <comment authorId="0" ref="M183">
      <text>
        <t xml:space="preserve">Illustrative generic shade assigned to this colour name for display. This is NOT a sourced or certified club-brand HEX value.</t>
      </text>
    </comment>
    <comment authorId="0" ref="L117">
      <text>
        <t xml:space="preserve">Illustrative generic shade assigned to this colour name for display. This is NOT a sourced or certified club-brand HEX value.</t>
      </text>
    </comment>
    <comment authorId="0" ref="M117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L778">
      <text>
        <t xml:space="preserve">Illustrative generic shade assigned to this colour name for display. This is NOT a sourced or certified club-brand HEX value.</t>
      </text>
    </comment>
    <comment authorId="0" ref="M778">
      <text>
        <t xml:space="preserve">Illustrative generic shade assigned to this colour name for display. This is NOT a sourced or certified club-brand HEX value.</t>
      </text>
    </comment>
    <comment authorId="0" ref="L712">
      <text>
        <t xml:space="preserve">Illustrative generic shade assigned to this colour name for display. This is NOT a sourced or certified club-brand HEX value.</t>
      </text>
    </comment>
    <comment authorId="0" ref="M712">
      <text>
        <t xml:space="preserve">Illustrative generic shade assigned to this colour name for display. This is NOT a sourced or certified club-brand HEX value.</t>
      </text>
    </comment>
    <comment authorId="0" ref="L646">
      <text>
        <t xml:space="preserve">Illustrative generic shade assigned to this colour name for display. This is NOT a sourced or certified club-brand HEX value.</t>
      </text>
    </comment>
    <comment authorId="0" ref="M646">
      <text>
        <t xml:space="preserve">Illustrative generic shade assigned to this colour name for display. This is NOT a sourced or certified club-brand HEX value.</t>
      </text>
    </comment>
    <comment authorId="0" ref="L382">
      <text>
        <t xml:space="preserve">Illustrative generic shade assigned to this colour name for display. This is NOT a sourced or certified club-brand HEX value.</t>
      </text>
    </comment>
    <comment authorId="0" ref="M382">
      <text>
        <t xml:space="preserve">Illustrative generic shade assigned to this colour name for display. This is NOT a sourced or certified club-brand HEX value.</t>
      </text>
    </comment>
    <comment authorId="0" ref="L316">
      <text>
        <t xml:space="preserve">Illustrative generic shade assigned to this colour name for display. This is NOT a sourced or certified club-brand HEX value.</t>
      </text>
    </comment>
    <comment authorId="0" ref="M316">
      <text>
        <t xml:space="preserve">Illustrative generic shade assigned to this colour name for display. This is NOT a sourced or certified club-brand HEX value.</t>
      </text>
    </comment>
    <comment authorId="0" ref="L250">
      <text>
        <t xml:space="preserve">Illustrative generic shade assigned to this colour name for display. This is NOT a sourced or certified club-brand HEX value.</t>
      </text>
    </comment>
    <comment authorId="0" ref="M250">
      <text>
        <t xml:space="preserve">Illustrative generic shade assigned to this colour name for display. This is NOT a sourced or certified club-brand HEX value.</t>
      </text>
    </comment>
    <comment authorId="0" ref="L184">
      <text>
        <t xml:space="preserve">Illustrative generic shade assigned to this colour name for display. This is NOT a sourced or certified club-brand HEX value.</t>
      </text>
    </comment>
    <comment authorId="0" ref="M184">
      <text>
        <t xml:space="preserve">Illustrative generic shade assigned to this colour name for display. This is NOT a sourced or certified club-brand HEX value.</t>
      </text>
    </comment>
    <comment authorId="0" ref="L118">
      <text>
        <t xml:space="preserve">Illustrative generic shade assigned to this colour name for display. This is NOT a sourced or certified club-brand HEX value.</t>
      </text>
    </comment>
    <comment authorId="0" ref="M118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L779">
      <text>
        <t xml:space="preserve">Illustrative generic shade assigned to this colour name for display. This is NOT a sourced or certified club-brand HEX value.</t>
      </text>
    </comment>
    <comment authorId="0" ref="M779">
      <text>
        <t xml:space="preserve">Illustrative generic shade assigned to this colour name for display. This is NOT a sourced or certified club-brand HEX value.</t>
      </text>
    </comment>
    <comment authorId="0" ref="L713">
      <text>
        <t xml:space="preserve">Illustrative generic shade assigned to this colour name for display. This is NOT a sourced or certified club-brand HEX value.</t>
      </text>
    </comment>
    <comment authorId="0" ref="M713">
      <text>
        <t xml:space="preserve">Illustrative generic shade assigned to this colour name for display. This is NOT a sourced or certified club-brand HEX value.</t>
      </text>
    </comment>
    <comment authorId="0" ref="L647">
      <text>
        <t xml:space="preserve">Illustrative generic shade assigned to this colour name for display. This is NOT a sourced or certified club-brand HEX value.</t>
      </text>
    </comment>
    <comment authorId="0" ref="M647">
      <text>
        <t xml:space="preserve">Illustrative generic shade assigned to this colour name for display. This is NOT a sourced or certified club-brand HEX value.</t>
      </text>
    </comment>
    <comment authorId="0" ref="L581">
      <text>
        <t xml:space="preserve">Illustrative generic shade assigned to this colour name for display. This is NOT a sourced or certified club-brand HEX value.</t>
      </text>
    </comment>
    <comment authorId="0" ref="M581">
      <text>
        <t xml:space="preserve">Illustrative generic shade assigned to this colour name for display. This is NOT a sourced or certified club-brand HEX value.</t>
      </text>
    </comment>
    <comment authorId="0" ref="L515">
      <text>
        <t xml:space="preserve">Illustrative generic shade assigned to this colour name for display. This is NOT a sourced or certified club-brand HEX value.</t>
      </text>
    </comment>
    <comment authorId="0" ref="M515">
      <text>
        <t xml:space="preserve">Illustrative generic shade assigned to this colour name for display. This is NOT a sourced or certified club-brand HEX value.</t>
      </text>
    </comment>
    <comment authorId="0" ref="L317">
      <text>
        <t xml:space="preserve">Illustrative generic shade assigned to this colour name for display. This is NOT a sourced or certified club-brand HEX value.</t>
      </text>
    </comment>
    <comment authorId="0" ref="M317">
      <text>
        <t xml:space="preserve">Illustrative generic shade assigned to this colour name for display. This is NOT a sourced or certified club-brand HEX value.</t>
      </text>
    </comment>
    <comment authorId="0" ref="L251">
      <text>
        <t xml:space="preserve">Illustrative generic shade assigned to this colour name for display. This is NOT a sourced or certified club-brand HEX value.</t>
      </text>
    </comment>
    <comment authorId="0" ref="M251">
      <text>
        <t xml:space="preserve">Illustrative generic shade assigned to this colour name for display. This is NOT a sourced or certified club-brand HEX value.</t>
      </text>
    </comment>
    <comment authorId="0" ref="L185">
      <text>
        <t xml:space="preserve">Illustrative generic shade assigned to this colour name for display. This is NOT a sourced or certified club-brand HEX value.</t>
      </text>
    </comment>
    <comment authorId="0" ref="M185">
      <text>
        <t xml:space="preserve">Illustrative generic shade assigned to this colour name for display. This is NOT a sourced or certified club-brand HEX value.</t>
      </text>
    </comment>
    <comment authorId="0" ref="L119">
      <text>
        <t xml:space="preserve">Illustrative generic shade assigned to this colour name for display. This is NOT a sourced or certified club-brand HEX value.</t>
      </text>
    </comment>
    <comment authorId="0" ref="M119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L780">
      <text>
        <t xml:space="preserve">Illustrative generic shade assigned to this colour name for display. This is NOT a sourced or certified club-brand HEX value.</t>
      </text>
    </comment>
    <comment authorId="0" ref="M780">
      <text>
        <t xml:space="preserve">Illustrative generic shade assigned to this colour name for display. This is NOT a sourced or certified club-brand HEX value.</t>
      </text>
    </comment>
    <comment authorId="0" ref="L714">
      <text>
        <t xml:space="preserve">Illustrative generic shade assigned to this colour name for display. This is NOT a sourced or certified club-brand HEX value.</t>
      </text>
    </comment>
    <comment authorId="0" ref="M714">
      <text>
        <t xml:space="preserve">Illustrative generic shade assigned to this colour name for display. This is NOT a sourced or certified club-brand HEX value.</t>
      </text>
    </comment>
    <comment authorId="0" ref="L648">
      <text>
        <t xml:space="preserve">Illustrative generic shade assigned to this colour name for display. This is NOT a sourced or certified club-brand HEX value.</t>
      </text>
    </comment>
    <comment authorId="0" ref="M648">
      <text>
        <t xml:space="preserve">Illustrative generic shade assigned to this colour name for display. This is NOT a sourced or certified club-brand HEX value.</t>
      </text>
    </comment>
    <comment authorId="0" ref="L582">
      <text>
        <t xml:space="preserve">Illustrative generic shade assigned to this colour name for display. This is NOT a sourced or certified club-brand HEX value.</t>
      </text>
    </comment>
    <comment authorId="0" ref="M582">
      <text>
        <t xml:space="preserve">Illustrative generic shade assigned to this colour name for display. This is NOT a sourced or certified club-brand HEX value.</t>
      </text>
    </comment>
    <comment authorId="0" ref="L516">
      <text>
        <t xml:space="preserve">Illustrative generic shade assigned to this colour name for display. This is NOT a sourced or certified club-brand HEX value.</t>
      </text>
    </comment>
    <comment authorId="0" ref="M516">
      <text>
        <t xml:space="preserve">Illustrative generic shade assigned to this colour name for display. This is NOT a sourced or certified club-brand HEX value.</t>
      </text>
    </comment>
    <comment authorId="0" ref="L318">
      <text>
        <t xml:space="preserve">Illustrative generic shade assigned to this colour name for display. This is NOT a sourced or certified club-brand HEX value.</t>
      </text>
    </comment>
    <comment authorId="0" ref="M318">
      <text>
        <t xml:space="preserve">Illustrative generic shade assigned to this colour name for display. This is NOT a sourced or certified club-brand HEX value.</t>
      </text>
    </comment>
    <comment authorId="0" ref="L252">
      <text>
        <t xml:space="preserve">Illustrative generic shade assigned to this colour name for display. This is NOT a sourced or certified club-brand HEX value.</t>
      </text>
    </comment>
    <comment authorId="0" ref="L186">
      <text>
        <t xml:space="preserve">Illustrative generic shade assigned to this colour name for display. This is NOT a sourced or certified club-brand HEX value.</t>
      </text>
    </comment>
    <comment authorId="0" ref="M186">
      <text>
        <t xml:space="preserve">Illustrative generic shade assigned to this colour name for display. This is NOT a sourced or certified club-brand HEX value.</t>
      </text>
    </comment>
    <comment authorId="0" ref="L120">
      <text>
        <t xml:space="preserve">Illustrative generic shade assigned to this colour name for display. This is NOT a sourced or certified club-brand HEX value.</t>
      </text>
    </comment>
    <comment authorId="0" ref="M120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L781">
      <text>
        <t xml:space="preserve">Illustrative generic shade assigned to this colour name for display. This is NOT a sourced or certified club-brand HEX value.</t>
      </text>
    </comment>
    <comment authorId="0" ref="M781">
      <text>
        <t xml:space="preserve">Illustrative generic shade assigned to this colour name for display. This is NOT a sourced or certified club-brand HEX value.</t>
      </text>
    </comment>
    <comment authorId="0" ref="L715">
      <text>
        <t xml:space="preserve">Illustrative generic shade assigned to this colour name for display. This is NOT a sourced or certified club-brand HEX value.</t>
      </text>
    </comment>
    <comment authorId="0" ref="M715">
      <text>
        <t xml:space="preserve">Illustrative generic shade assigned to this colour name for display. This is NOT a sourced or certified club-brand HEX value.</t>
      </text>
    </comment>
    <comment authorId="0" ref="L649">
      <text>
        <t xml:space="preserve">Illustrative generic shade assigned to this colour name for display. This is NOT a sourced or certified club-brand HEX value.</t>
      </text>
    </comment>
    <comment authorId="0" ref="M649">
      <text>
        <t xml:space="preserve">Illustrative generic shade assigned to this colour name for display. This is NOT a sourced or certified club-brand HEX value.</t>
      </text>
    </comment>
    <comment authorId="0" ref="L517">
      <text>
        <t xml:space="preserve">Illustrative generic shade assigned to this colour name for display. This is NOT a sourced or certified club-brand HEX value.</t>
      </text>
    </comment>
    <comment authorId="0" ref="M517">
      <text>
        <t xml:space="preserve">Illustrative generic shade assigned to this colour name for display. This is NOT a sourced or certified club-brand HEX value.</t>
      </text>
    </comment>
    <comment authorId="0" ref="L385">
      <text>
        <t xml:space="preserve">Illustrative generic shade assigned to this colour name for display. This is NOT a sourced or certified club-brand HEX value.</t>
      </text>
    </comment>
    <comment authorId="0" ref="M385">
      <text>
        <t xml:space="preserve">Illustrative generic shade assigned to this colour name for display. This is NOT a sourced or certified club-brand HEX value.</t>
      </text>
    </comment>
    <comment authorId="0" ref="L319">
      <text>
        <t xml:space="preserve">Illustrative generic shade assigned to this colour name for display. This is NOT a sourced or certified club-brand HEX value.</t>
      </text>
    </comment>
    <comment authorId="0" ref="M319">
      <text>
        <t xml:space="preserve">Illustrative generic shade assigned to this colour name for display. This is NOT a sourced or certified club-brand HEX value.</t>
      </text>
    </comment>
    <comment authorId="0" ref="L253">
      <text>
        <t xml:space="preserve">Illustrative generic shade assigned to this colour name for display. This is NOT a sourced or certified club-brand HEX value.</t>
      </text>
    </comment>
    <comment authorId="0" ref="M253">
      <text>
        <t xml:space="preserve">Illustrative generic shade assigned to this colour name for display. This is NOT a sourced or certified club-brand HEX value.</t>
      </text>
    </comment>
    <comment authorId="0" ref="L187">
      <text>
        <t xml:space="preserve">Illustrative generic shade assigned to this colour name for display. This is NOT a sourced or certified club-brand HEX value.</t>
      </text>
    </comment>
    <comment authorId="0" ref="M187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L782">
      <text>
        <t xml:space="preserve">Illustrative generic shade assigned to this colour name for display. This is NOT a sourced or certified club-brand HEX value.</t>
      </text>
    </comment>
    <comment authorId="0" ref="M782">
      <text>
        <t xml:space="preserve">Illustrative generic shade assigned to this colour name for display. This is NOT a sourced or certified club-brand HEX value.</t>
      </text>
    </comment>
    <comment authorId="0" ref="L716">
      <text>
        <t xml:space="preserve">Illustrative generic shade assigned to this colour name for display. This is NOT a sourced or certified club-brand HEX value.</t>
      </text>
    </comment>
    <comment authorId="0" ref="M716">
      <text>
        <t xml:space="preserve">Illustrative generic shade assigned to this colour name for display. This is NOT a sourced or certified club-brand HEX value.</t>
      </text>
    </comment>
    <comment authorId="0" ref="L650">
      <text>
        <t xml:space="preserve">Illustrative generic shade assigned to this colour name for display. This is NOT a sourced or certified club-brand HEX value.</t>
      </text>
    </comment>
    <comment authorId="0" ref="M650">
      <text>
        <t xml:space="preserve">Illustrative generic shade assigned to this colour name for display. This is NOT a sourced or certified club-brand HEX value.</t>
      </text>
    </comment>
    <comment authorId="0" ref="L584">
      <text>
        <t xml:space="preserve">Illustrative generic shade assigned to this colour name for display. This is NOT a sourced or certified club-brand HEX value.</t>
      </text>
    </comment>
    <comment authorId="0" ref="M584">
      <text>
        <t xml:space="preserve">Illustrative generic shade assigned to this colour name for display. This is NOT a sourced or certified club-brand HEX value.</t>
      </text>
    </comment>
    <comment authorId="0" ref="L518">
      <text>
        <t xml:space="preserve">Illustrative generic shade assigned to this colour name for display. This is NOT a sourced or certified club-brand HEX value.</t>
      </text>
    </comment>
    <comment authorId="0" ref="M518">
      <text>
        <t xml:space="preserve">Illustrative generic shade assigned to this colour name for display. This is NOT a sourced or certified club-brand HEX value.</t>
      </text>
    </comment>
    <comment authorId="0" ref="L386">
      <text>
        <t xml:space="preserve">Illustrative generic shade assigned to this colour name for display. This is NOT a sourced or certified club-brand HEX value.</t>
      </text>
    </comment>
    <comment authorId="0" ref="L320">
      <text>
        <t xml:space="preserve">Illustrative generic shade assigned to this colour name for display. This is NOT a sourced or certified club-brand HEX value.</t>
      </text>
    </comment>
    <comment authorId="0" ref="M320">
      <text>
        <t xml:space="preserve">Illustrative generic shade assigned to this colour name for display. This is NOT a sourced or certified club-brand HEX value.</t>
      </text>
    </comment>
    <comment authorId="0" ref="L254">
      <text>
        <t xml:space="preserve">Illustrative generic shade assigned to this colour name for display. This is NOT a sourced or certified club-brand HEX value.</t>
      </text>
    </comment>
    <comment authorId="0" ref="M254">
      <text>
        <t xml:space="preserve">Illustrative generic shade assigned to this colour name for display. This is NOT a sourced or certified club-brand HEX value.</t>
      </text>
    </comment>
    <comment authorId="0" ref="L188">
      <text>
        <t xml:space="preserve">Illustrative generic shade assigned to this colour name for display. This is NOT a sourced or certified club-brand HEX value.</t>
      </text>
    </comment>
    <comment authorId="0" ref="M188">
      <text>
        <t xml:space="preserve">Illustrative generic shade assigned to this colour name for display. This is NOT a sourced or certified club-brand HEX value.</t>
      </text>
    </comment>
    <comment authorId="0" ref="L122">
      <text>
        <t xml:space="preserve">Illustrative generic shade assigned to this colour name for display. This is NOT a sourced or certified club-brand HEX value.</t>
      </text>
    </comment>
    <comment authorId="0" ref="M122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L783">
      <text>
        <t xml:space="preserve">Illustrative generic shade assigned to this colour name for display. This is NOT a sourced or certified club-brand HEX value.</t>
      </text>
    </comment>
    <comment authorId="0" ref="M783">
      <text>
        <t xml:space="preserve">Illustrative generic shade assigned to this colour name for display. This is NOT a sourced or certified club-brand HEX value.</t>
      </text>
    </comment>
    <comment authorId="0" ref="L717">
      <text>
        <t xml:space="preserve">Illustrative generic shade assigned to this colour name for display. This is NOT a sourced or certified club-brand HEX value.</t>
      </text>
    </comment>
    <comment authorId="0" ref="M717">
      <text>
        <t xml:space="preserve">Illustrative generic shade assigned to this colour name for display. This is NOT a sourced or certified club-brand HEX value.</t>
      </text>
    </comment>
    <comment authorId="0" ref="L651">
      <text>
        <t xml:space="preserve">Illustrative generic shade assigned to this colour name for display. This is NOT a sourced or certified club-brand HEX value.</t>
      </text>
    </comment>
    <comment authorId="0" ref="M651">
      <text>
        <t xml:space="preserve">Illustrative generic shade assigned to this colour name for display. This is NOT a sourced or certified club-brand HEX value.</t>
      </text>
    </comment>
    <comment authorId="0" ref="L519">
      <text>
        <t xml:space="preserve">Illustrative generic shade assigned to this colour name for display. This is NOT a sourced or certified club-brand HEX value.</t>
      </text>
    </comment>
    <comment authorId="0" ref="M519">
      <text>
        <t xml:space="preserve">Illustrative generic shade assigned to this colour name for display. This is NOT a sourced or certified club-brand HEX value.</t>
      </text>
    </comment>
    <comment authorId="0" ref="L387">
      <text>
        <t xml:space="preserve">Illustrative generic shade assigned to this colour name for display. This is NOT a sourced or certified club-brand HEX value.</t>
      </text>
    </comment>
    <comment authorId="0" ref="M387">
      <text>
        <t xml:space="preserve">Illustrative generic shade assigned to this colour name for display. This is NOT a sourced or certified club-brand HEX value.</t>
      </text>
    </comment>
    <comment authorId="0" ref="L321">
      <text>
        <t xml:space="preserve">Illustrative generic shade assigned to this colour name for display. This is NOT a sourced or certified club-brand HEX value.</t>
      </text>
    </comment>
    <comment authorId="0" ref="M321">
      <text>
        <t xml:space="preserve">Illustrative generic shade assigned to this colour name for display. This is NOT a sourced or certified club-brand HEX value.</t>
      </text>
    </comment>
    <comment authorId="0" ref="L255">
      <text>
        <t xml:space="preserve">Illustrative generic shade assigned to this colour name for display. This is NOT a sourced or certified club-brand HEX value.</t>
      </text>
    </comment>
    <comment authorId="0" ref="M255">
      <text>
        <t xml:space="preserve">Illustrative generic shade assigned to this colour name for display. This is NOT a sourced or certified club-brand HEX value.</t>
      </text>
    </comment>
    <comment authorId="0" ref="L189">
      <text>
        <t xml:space="preserve">Illustrative generic shade assigned to this colour name for display. This is NOT a sourced or certified club-brand HEX value.</t>
      </text>
    </comment>
    <comment authorId="0" ref="M189">
      <text>
        <t xml:space="preserve">Illustrative generic shade assigned to this colour name for display. This is NOT a sourced or certified club-brand HEX value.</t>
      </text>
    </comment>
    <comment authorId="0" ref="L123">
      <text>
        <t xml:space="preserve">Illustrative generic shade assigned to this colour name for display. This is NOT a sourced or certified club-brand HEX value.</t>
      </text>
    </comment>
    <comment authorId="0" ref="M123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L784">
      <text>
        <t xml:space="preserve">Illustrative generic shade assigned to this colour name for display. This is NOT a sourced or certified club-brand HEX value.</t>
      </text>
    </comment>
    <comment authorId="0" ref="M784">
      <text>
        <t xml:space="preserve">Illustrative generic shade assigned to this colour name for display. This is NOT a sourced or certified club-brand HEX value.</t>
      </text>
    </comment>
    <comment authorId="0" ref="L718">
      <text>
        <t xml:space="preserve">Illustrative generic shade assigned to this colour name for display. This is NOT a sourced or certified club-brand HEX value.</t>
      </text>
    </comment>
    <comment authorId="0" ref="M718">
      <text>
        <t xml:space="preserve">Illustrative generic shade assigned to this colour name for display. This is NOT a sourced or certified club-brand HEX value.</t>
      </text>
    </comment>
    <comment authorId="0" ref="L652">
      <text>
        <t xml:space="preserve">Illustrative generic shade assigned to this colour name for display. This is NOT a sourced or certified club-brand HEX value.</t>
      </text>
    </comment>
    <comment authorId="0" ref="M652">
      <text>
        <t xml:space="preserve">Illustrative generic shade assigned to this colour name for display. This is NOT a sourced or certified club-brand HEX value.</t>
      </text>
    </comment>
    <comment authorId="0" ref="L520">
      <text>
        <t xml:space="preserve">Illustrative generic shade assigned to this colour name for display. This is NOT a sourced or certified club-brand HEX value.</t>
      </text>
    </comment>
    <comment authorId="0" ref="M520">
      <text>
        <t xml:space="preserve">Illustrative generic shade assigned to this colour name for display. This is NOT a sourced or certified club-brand HEX value.</t>
      </text>
    </comment>
    <comment authorId="0" ref="L388">
      <text>
        <t xml:space="preserve">Illustrative generic shade assigned to this colour name for display. This is NOT a sourced or certified club-brand HEX value.</t>
      </text>
    </comment>
    <comment authorId="0" ref="M388">
      <text>
        <t xml:space="preserve">Illustrative generic shade assigned to this colour name for display. This is NOT a sourced or certified club-brand HEX value.</t>
      </text>
    </comment>
    <comment authorId="0" ref="L322">
      <text>
        <t xml:space="preserve">Illustrative generic shade assigned to this colour name for display. This is NOT a sourced or certified club-brand HEX value.</t>
      </text>
    </comment>
    <comment authorId="0" ref="M322">
      <text>
        <t xml:space="preserve">Illustrative generic shade assigned to this colour name for display. This is NOT a sourced or certified club-brand HEX value.</t>
      </text>
    </comment>
    <comment authorId="0" ref="L256">
      <text>
        <t xml:space="preserve">Illustrative generic shade assigned to this colour name for display. This is NOT a sourced or certified club-brand HEX value.</t>
      </text>
    </comment>
    <comment authorId="0" ref="M256">
      <text>
        <t xml:space="preserve">Illustrative generic shade assigned to this colour name for display. This is NOT a sourced or certified club-brand HEX value.</t>
      </text>
    </comment>
    <comment authorId="0" ref="L190">
      <text>
        <t xml:space="preserve">Illustrative generic shade assigned to this colour name for display. This is NOT a sourced or certified club-brand HEX value.</t>
      </text>
    </comment>
    <comment authorId="0" ref="M190">
      <text>
        <t xml:space="preserve">Illustrative generic shade assigned to this colour name for display. This is NOT a sourced or certified club-brand HEX value.</t>
      </text>
    </comment>
    <comment authorId="0" ref="L124">
      <text>
        <t xml:space="preserve">Illustrative generic shade assigned to this colour name for display. This is NOT a sourced or certified club-brand HEX value.</t>
      </text>
    </comment>
    <comment authorId="0" ref="M124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L785">
      <text>
        <t xml:space="preserve">Illustrative generic shade assigned to this colour name for display. This is NOT a sourced or certified club-brand HEX value.</t>
      </text>
    </comment>
    <comment authorId="0" ref="M785">
      <text>
        <t xml:space="preserve">Illustrative generic shade assigned to this colour name for display. This is NOT a sourced or certified club-brand HEX value.</t>
      </text>
    </comment>
    <comment authorId="0" ref="L719">
      <text>
        <t xml:space="preserve">Illustrative generic shade assigned to this colour name for display. This is NOT a sourced or certified club-brand HEX value.</t>
      </text>
    </comment>
    <comment authorId="0" ref="M719">
      <text>
        <t xml:space="preserve">Illustrative generic shade assigned to this colour name for display. This is NOT a sourced or certified club-brand HEX value.</t>
      </text>
    </comment>
    <comment authorId="0" ref="L653">
      <text>
        <t xml:space="preserve">Illustrative generic shade assigned to this colour name for display. This is NOT a sourced or certified club-brand HEX value.</t>
      </text>
    </comment>
    <comment authorId="0" ref="M653">
      <text>
        <t xml:space="preserve">Illustrative generic shade assigned to this colour name for display. This is NOT a sourced or certified club-brand HEX value.</t>
      </text>
    </comment>
    <comment authorId="0" ref="L521">
      <text>
        <t xml:space="preserve">Illustrative generic shade assigned to this colour name for display. This is NOT a sourced or certified club-brand HEX value.</t>
      </text>
    </comment>
    <comment authorId="0" ref="M521">
      <text>
        <t xml:space="preserve">Illustrative generic shade assigned to this colour name for display. This is NOT a sourced or certified club-brand HEX value.</t>
      </text>
    </comment>
    <comment authorId="0" ref="L389">
      <text>
        <t xml:space="preserve">Illustrative generic shade assigned to this colour name for display. This is NOT a sourced or certified club-brand HEX value.</t>
      </text>
    </comment>
    <comment authorId="0" ref="L323">
      <text>
        <t xml:space="preserve">Illustrative generic shade assigned to this colour name for display. This is NOT a sourced or certified club-brand HEX value.</t>
      </text>
    </comment>
    <comment authorId="0" ref="M323">
      <text>
        <t xml:space="preserve">Illustrative generic shade assigned to this colour name for display. This is NOT a sourced or certified club-brand HEX value.</t>
      </text>
    </comment>
    <comment authorId="0" ref="L257">
      <text>
        <t xml:space="preserve">Illustrative generic shade assigned to this colour name for display. This is NOT a sourced or certified club-brand HEX value.</t>
      </text>
    </comment>
    <comment authorId="0" ref="M257">
      <text>
        <t xml:space="preserve">Illustrative generic shade assigned to this colour name for display. This is NOT a sourced or certified club-brand HEX value.</t>
      </text>
    </comment>
    <comment authorId="0" ref="L191">
      <text>
        <t xml:space="preserve">Illustrative generic shade assigned to this colour name for display. This is NOT a sourced or certified club-brand HEX value.</t>
      </text>
    </comment>
    <comment authorId="0" ref="M191">
      <text>
        <t xml:space="preserve">Illustrative generic shade assigned to this colour name for display. This is NOT a sourced or certified club-brand HEX value.</t>
      </text>
    </comment>
    <comment authorId="0" ref="L125">
      <text>
        <t xml:space="preserve">Illustrative generic shade assigned to this colour name for display. This is NOT a sourced or certified club-brand HEX value.</t>
      </text>
    </comment>
    <comment authorId="0" ref="M125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L720">
      <text>
        <t xml:space="preserve">Illustrative generic shade assigned to this colour name for display. This is NOT a sourced or certified club-brand HEX value.</t>
      </text>
    </comment>
    <comment authorId="0" ref="M720">
      <text>
        <t xml:space="preserve">Illustrative generic shade assigned to this colour name for display. This is NOT a sourced or certified club-brand HEX value.</t>
      </text>
    </comment>
    <comment authorId="0" ref="L654">
      <text>
        <t xml:space="preserve">Illustrative generic shade assigned to this colour name for display. This is NOT a sourced or certified club-brand HEX value.</t>
      </text>
    </comment>
    <comment authorId="0" ref="M654">
      <text>
        <t xml:space="preserve">Illustrative generic shade assigned to this colour name for display. This is NOT a sourced or certified club-brand HEX value.</t>
      </text>
    </comment>
    <comment authorId="0" ref="L588">
      <text>
        <t xml:space="preserve">Illustrative generic shade assigned to this colour name for display. This is NOT a sourced or certified club-brand HEX value.</t>
      </text>
    </comment>
    <comment authorId="0" ref="M588">
      <text>
        <t xml:space="preserve">Illustrative generic shade assigned to this colour name for display. This is NOT a sourced or certified club-brand HEX value.</t>
      </text>
    </comment>
    <comment authorId="0" ref="L522">
      <text>
        <t xml:space="preserve">Illustrative generic shade assigned to this colour name for display. This is NOT a sourced or certified club-brand HEX value.</t>
      </text>
    </comment>
    <comment authorId="0" ref="M522">
      <text>
        <t xml:space="preserve">Illustrative generic shade assigned to this colour name for display. This is NOT a sourced or certified club-brand HEX value.</t>
      </text>
    </comment>
    <comment authorId="0" ref="L456">
      <text>
        <t xml:space="preserve">Illustrative generic shade assigned to this colour name for display. This is NOT a sourced or certified club-brand HEX value.</t>
      </text>
    </comment>
    <comment authorId="0" ref="M456">
      <text>
        <t xml:space="preserve">Illustrative generic shade assigned to this colour name for display. This is NOT a sourced or certified club-brand HEX value.</t>
      </text>
    </comment>
    <comment authorId="0" ref="L390">
      <text>
        <t xml:space="preserve">Illustrative generic shade assigned to this colour name for display. This is NOT a sourced or certified club-brand HEX value.</t>
      </text>
    </comment>
    <comment authorId="0" ref="M390">
      <text>
        <t xml:space="preserve">Illustrative generic shade assigned to this colour name for display. This is NOT a sourced or certified club-brand HEX value.</t>
      </text>
    </comment>
    <comment authorId="0" ref="L324">
      <text>
        <t xml:space="preserve">Illustrative generic shade assigned to this colour name for display. This is NOT a sourced or certified club-brand HEX value.</t>
      </text>
    </comment>
    <comment authorId="0" ref="M324">
      <text>
        <t xml:space="preserve">Illustrative generic shade assigned to this colour name for display. This is NOT a sourced or certified club-brand HEX value.</t>
      </text>
    </comment>
    <comment authorId="0" ref="L258">
      <text>
        <t xml:space="preserve">Illustrative generic shade assigned to this colour name for display. This is NOT a sourced or certified club-brand HEX value.</t>
      </text>
    </comment>
    <comment authorId="0" ref="M258">
      <text>
        <t xml:space="preserve">Illustrative generic shade assigned to this colour name for display. This is NOT a sourced or certified club-brand HEX value.</t>
      </text>
    </comment>
    <comment authorId="0" ref="L192">
      <text>
        <t xml:space="preserve">Illustrative generic shade assigned to this colour name for display. This is NOT a sourced or certified club-brand HEX value.</t>
      </text>
    </comment>
    <comment authorId="0" ref="M192">
      <text>
        <t xml:space="preserve">Illustrative generic shade assigned to this colour name for display. This is NOT a sourced or certified club-brand HEX value.</t>
      </text>
    </comment>
    <comment authorId="0" ref="L126">
      <text>
        <t xml:space="preserve">Illustrative generic shade assigned to this colour name for display. This is NOT a sourced or certified club-brand HEX value.</t>
      </text>
    </comment>
    <comment authorId="0" ref="M126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L721">
      <text>
        <t xml:space="preserve">Illustrative generic shade assigned to this colour name for display. This is NOT a sourced or certified club-brand HEX value.</t>
      </text>
    </comment>
    <comment authorId="0" ref="M721">
      <text>
        <t xml:space="preserve">Illustrative generic shade assigned to this colour name for display. This is NOT a sourced or certified club-brand HEX value.</t>
      </text>
    </comment>
    <comment authorId="0" ref="L655">
      <text>
        <t xml:space="preserve">Illustrative generic shade assigned to this colour name for display. This is NOT a sourced or certified club-brand HEX value.</t>
      </text>
    </comment>
    <comment authorId="0" ref="M655">
      <text>
        <t xml:space="preserve">Illustrative generic shade assigned to this colour name for display. This is NOT a sourced or certified club-brand HEX value.</t>
      </text>
    </comment>
    <comment authorId="0" ref="L523">
      <text>
        <t xml:space="preserve">Illustrative generic shade assigned to this colour name for display. This is NOT a sourced or certified club-brand HEX value.</t>
      </text>
    </comment>
    <comment authorId="0" ref="M523">
      <text>
        <t xml:space="preserve">Illustrative generic shade assigned to this colour name for display. This is NOT a sourced or certified club-brand HEX value.</t>
      </text>
    </comment>
    <comment authorId="0" ref="L325">
      <text>
        <t xml:space="preserve">Illustrative generic shade assigned to this colour name for display. This is NOT a sourced or certified club-brand HEX value.</t>
      </text>
    </comment>
    <comment authorId="0" ref="M325">
      <text>
        <t xml:space="preserve">Illustrative generic shade assigned to this colour name for display. This is NOT a sourced or certified club-brand HEX value.</t>
      </text>
    </comment>
    <comment authorId="0" ref="L259">
      <text>
        <t xml:space="preserve">Illustrative generic shade assigned to this colour name for display. This is NOT a sourced or certified club-brand HEX value.</t>
      </text>
    </comment>
    <comment authorId="0" ref="M259">
      <text>
        <t xml:space="preserve">Illustrative generic shade assigned to this colour name for display. This is NOT a sourced or certified club-brand HEX value.</t>
      </text>
    </comment>
    <comment authorId="0" ref="L193">
      <text>
        <t xml:space="preserve">Illustrative generic shade assigned to this colour name for display. This is NOT a sourced or certified club-brand HEX value.</t>
      </text>
    </comment>
    <comment authorId="0" ref="M193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L722">
      <text>
        <t xml:space="preserve">Illustrative generic shade assigned to this colour name for display. This is NOT a sourced or certified club-brand HEX value.</t>
      </text>
    </comment>
    <comment authorId="0" ref="M722">
      <text>
        <t xml:space="preserve">Illustrative generic shade assigned to this colour name for display. This is NOT a sourced or certified club-brand HEX value.</t>
      </text>
    </comment>
    <comment authorId="0" ref="L656">
      <text>
        <t xml:space="preserve">Illustrative generic shade assigned to this colour name for display. This is NOT a sourced or certified club-brand HEX value.</t>
      </text>
    </comment>
    <comment authorId="0" ref="M656">
      <text>
        <t xml:space="preserve">Illustrative generic shade assigned to this colour name for display. This is NOT a sourced or certified club-brand HEX value.</t>
      </text>
    </comment>
    <comment authorId="0" ref="L524">
      <text>
        <t xml:space="preserve">Illustrative generic shade assigned to this colour name for display. This is NOT a sourced or certified club-brand HEX value.</t>
      </text>
    </comment>
    <comment authorId="0" ref="M524">
      <text>
        <t xml:space="preserve">Illustrative generic shade assigned to this colour name for display. This is NOT a sourced or certified club-brand HEX value.</t>
      </text>
    </comment>
    <comment authorId="0" ref="L458">
      <text>
        <t xml:space="preserve">Illustrative generic shade assigned to this colour name for display. This is NOT a sourced or certified club-brand HEX value.</t>
      </text>
    </comment>
    <comment authorId="0" ref="M458">
      <text>
        <t xml:space="preserve">Illustrative generic shade assigned to this colour name for display. This is NOT a sourced or certified club-brand HEX value.</t>
      </text>
    </comment>
    <comment authorId="0" ref="L392">
      <text>
        <t xml:space="preserve">Illustrative generic shade assigned to this colour name for display. This is NOT a sourced or certified club-brand HEX value.</t>
      </text>
    </comment>
    <comment authorId="0" ref="M392">
      <text>
        <t xml:space="preserve">Illustrative generic shade assigned to this colour name for display. This is NOT a sourced or certified club-brand HEX value.</t>
      </text>
    </comment>
    <comment authorId="0" ref="L326">
      <text>
        <t xml:space="preserve">Illustrative generic shade assigned to this colour name for display. This is NOT a sourced or certified club-brand HEX value.</t>
      </text>
    </comment>
    <comment authorId="0" ref="M326">
      <text>
        <t xml:space="preserve">Illustrative generic shade assigned to this colour name for display. This is NOT a sourced or certified club-brand HEX value.</t>
      </text>
    </comment>
    <comment authorId="0" ref="L260">
      <text>
        <t xml:space="preserve">Illustrative generic shade assigned to this colour name for display. This is NOT a sourced or certified club-brand HEX value.</t>
      </text>
    </comment>
    <comment authorId="0" ref="M260">
      <text>
        <t xml:space="preserve">Illustrative generic shade assigned to this colour name for display. This is NOT a sourced or certified club-brand HEX value.</t>
      </text>
    </comment>
    <comment authorId="0" ref="L194">
      <text>
        <t xml:space="preserve">Illustrative generic shade assigned to this colour name for display. This is NOT a sourced or certified club-brand HEX value.</t>
      </text>
    </comment>
    <comment authorId="0" ref="M194">
      <text>
        <t xml:space="preserve">Illustrative generic shade assigned to this colour name for display. This is NOT a sourced or certified club-brand HEX value.</t>
      </text>
    </comment>
    <comment authorId="0" ref="L128">
      <text>
        <t xml:space="preserve">Illustrative generic shade assigned to this colour name for display. This is NOT a sourced or certified club-brand HEX value.</t>
      </text>
    </comment>
    <comment authorId="0" ref="M128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L723">
      <text>
        <t xml:space="preserve">Illustrative generic shade assigned to this colour name for display. This is NOT a sourced or certified club-brand HEX value.</t>
      </text>
    </comment>
    <comment authorId="0" ref="M723">
      <text>
        <t xml:space="preserve">Illustrative generic shade assigned to this colour name for display. This is NOT a sourced or certified club-brand HEX value.</t>
      </text>
    </comment>
    <comment authorId="0" ref="L657">
      <text>
        <t xml:space="preserve">Illustrative generic shade assigned to this colour name for display. This is NOT a sourced or certified club-brand HEX value.</t>
      </text>
    </comment>
    <comment authorId="0" ref="M657">
      <text>
        <t xml:space="preserve">Illustrative generic shade assigned to this colour name for display. This is NOT a sourced or certified club-brand HEX value.</t>
      </text>
    </comment>
    <comment authorId="0" ref="L525">
      <text>
        <t xml:space="preserve">Illustrative generic shade assigned to this colour name for display. This is NOT a sourced or certified club-brand HEX value.</t>
      </text>
    </comment>
    <comment authorId="0" ref="M525">
      <text>
        <t xml:space="preserve">Illustrative generic shade assigned to this colour name for display. This is NOT a sourced or certified club-brand HEX value.</t>
      </text>
    </comment>
    <comment authorId="0" ref="L459">
      <text>
        <t xml:space="preserve">Illustrative generic shade assigned to this colour name for display. This is NOT a sourced or certified club-brand HEX value.</t>
      </text>
    </comment>
    <comment authorId="0" ref="M459">
      <text>
        <t xml:space="preserve">Illustrative generic shade assigned to this colour name for display. This is NOT a sourced or certified club-brand HEX value.</t>
      </text>
    </comment>
    <comment authorId="0" ref="L393">
      <text>
        <t xml:space="preserve">Illustrative generic shade assigned to this colour name for display. This is NOT a sourced or certified club-brand HEX value.</t>
      </text>
    </comment>
    <comment authorId="0" ref="M393">
      <text>
        <t xml:space="preserve">Illustrative generic shade assigned to this colour name for display. This is NOT a sourced or certified club-brand HEX value.</t>
      </text>
    </comment>
    <comment authorId="0" ref="L327">
      <text>
        <t xml:space="preserve">Illustrative generic shade assigned to this colour name for display. This is NOT a sourced or certified club-brand HEX value.</t>
      </text>
    </comment>
    <comment authorId="0" ref="M327">
      <text>
        <t xml:space="preserve">Illustrative generic shade assigned to this colour name for display. This is NOT a sourced or certified club-brand HEX value.</t>
      </text>
    </comment>
    <comment authorId="0" ref="L261">
      <text>
        <t xml:space="preserve">Illustrative generic shade assigned to this colour name for display. This is NOT a sourced or certified club-brand HEX value.</t>
      </text>
    </comment>
    <comment authorId="0" ref="M261">
      <text>
        <t xml:space="preserve">Illustrative generic shade assigned to this colour name for display. This is NOT a sourced or certified club-brand HEX value.</t>
      </text>
    </comment>
    <comment authorId="0" ref="L195">
      <text>
        <t xml:space="preserve">Illustrative generic shade assigned to this colour name for display. This is NOT a sourced or certified club-brand HEX value.</t>
      </text>
    </comment>
    <comment authorId="0" ref="M195">
      <text>
        <t xml:space="preserve">Illustrative generic shade assigned to this colour name for display. This is NOT a sourced or certified club-brand HEX value.</t>
      </text>
    </comment>
    <comment authorId="0" ref="L129">
      <text>
        <t xml:space="preserve">Illustrative generic shade assigned to this colour name for display. This is NOT a sourced or certified club-brand HEX value.</t>
      </text>
    </comment>
    <comment authorId="0" ref="M129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L724">
      <text>
        <t xml:space="preserve">Illustrative generic shade assigned to this colour name for display. This is NOT a sourced or certified club-brand HEX value.</t>
      </text>
    </comment>
    <comment authorId="0" ref="M724">
      <text>
        <t xml:space="preserve">Illustrative generic shade assigned to this colour name for display. This is NOT a sourced or certified club-brand HEX value.</t>
      </text>
    </comment>
    <comment authorId="0" ref="L658">
      <text>
        <t xml:space="preserve">Illustrative generic shade assigned to this colour name for display. This is NOT a sourced or certified club-brand HEX value.</t>
      </text>
    </comment>
    <comment authorId="0" ref="M658">
      <text>
        <t xml:space="preserve">Illustrative generic shade assigned to this colour name for display. This is NOT a sourced or certified club-brand HEX value.</t>
      </text>
    </comment>
    <comment authorId="0" ref="L592">
      <text>
        <t xml:space="preserve">Illustrative generic shade assigned to this colour name for display. This is NOT a sourced or certified club-brand HEX value.</t>
      </text>
    </comment>
    <comment authorId="0" ref="M592">
      <text>
        <t xml:space="preserve">Illustrative generic shade assigned to this colour name for display. This is NOT a sourced or certified club-brand HEX value.</t>
      </text>
    </comment>
    <comment authorId="0" ref="L526">
      <text>
        <t xml:space="preserve">Illustrative generic shade assigned to this colour name for display. This is NOT a sourced or certified club-brand HEX value.</t>
      </text>
    </comment>
    <comment authorId="0" ref="M526">
      <text>
        <t xml:space="preserve">Illustrative generic shade assigned to this colour name for display. This is NOT a sourced or certified club-brand HEX value.</t>
      </text>
    </comment>
    <comment authorId="0" ref="L328">
      <text>
        <t xml:space="preserve">Illustrative generic shade assigned to this colour name for display. This is NOT a sourced or certified club-brand HEX value.</t>
      </text>
    </comment>
    <comment authorId="0" ref="M328">
      <text>
        <t xml:space="preserve">Illustrative generic shade assigned to this colour name for display. This is NOT a sourced or certified club-brand HEX value.</t>
      </text>
    </comment>
    <comment authorId="0" ref="L262">
      <text>
        <t xml:space="preserve">Illustrative generic shade assigned to this colour name for display. This is NOT a sourced or certified club-brand HEX value.</t>
      </text>
    </comment>
    <comment authorId="0" ref="M262">
      <text>
        <t xml:space="preserve">Illustrative generic shade assigned to this colour name for display. This is NOT a sourced or certified club-brand HEX value.</t>
      </text>
    </comment>
    <comment authorId="0" ref="L196">
      <text>
        <t xml:space="preserve">Illustrative generic shade assigned to this colour name for display. This is NOT a sourced or certified club-brand HEX value.</t>
      </text>
    </comment>
    <comment authorId="0" ref="M196">
      <text>
        <t xml:space="preserve">Illustrative generic shade assigned to this colour name for display. This is NOT a sourced or certified club-brand HEX value.</t>
      </text>
    </comment>
    <comment authorId="0" ref="L130">
      <text>
        <t xml:space="preserve">Illustrative generic shade assigned to this colour name for display. This is NOT a sourced or certified club-brand HEX value.</t>
      </text>
    </comment>
    <comment authorId="0" ref="M130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L725">
      <text>
        <t xml:space="preserve">Illustrative generic shade assigned to this colour name for display. This is NOT a sourced or certified club-brand HEX value.</t>
      </text>
    </comment>
    <comment authorId="0" ref="M725">
      <text>
        <t xml:space="preserve">Illustrative generic shade assigned to this colour name for display. This is NOT a sourced or certified club-brand HEX value.</t>
      </text>
    </comment>
    <comment authorId="0" ref="L659">
      <text>
        <t xml:space="preserve">Illustrative generic shade assigned to this colour name for display. This is NOT a sourced or certified club-brand HEX value.</t>
      </text>
    </comment>
    <comment authorId="0" ref="M659">
      <text>
        <t xml:space="preserve">Illustrative generic shade assigned to this colour name for display. This is NOT a sourced or certified club-brand HEX value.</t>
      </text>
    </comment>
    <comment authorId="0" ref="L527">
      <text>
        <t xml:space="preserve">Illustrative generic shade assigned to this colour name for display. This is NOT a sourced or certified club-brand HEX value.</t>
      </text>
    </comment>
    <comment authorId="0" ref="M527">
      <text>
        <t xml:space="preserve">Illustrative generic shade assigned to this colour name for display. This is NOT a sourced or certified club-brand HEX value.</t>
      </text>
    </comment>
    <comment authorId="0" ref="L395">
      <text>
        <t xml:space="preserve">Illustrative generic shade assigned to this colour name for display. This is NOT a sourced or certified club-brand HEX value.</t>
      </text>
    </comment>
    <comment authorId="0" ref="M395">
      <text>
        <t xml:space="preserve">Illustrative generic shade assigned to this colour name for display. This is NOT a sourced or certified club-brand HEX value.</t>
      </text>
    </comment>
    <comment authorId="0" ref="L329">
      <text>
        <t xml:space="preserve">Illustrative generic shade assigned to this colour name for display. This is NOT a sourced or certified club-brand HEX value.</t>
      </text>
    </comment>
    <comment authorId="0" ref="M329">
      <text>
        <t xml:space="preserve">Illustrative generic shade assigned to this colour name for display. This is NOT a sourced or certified club-brand HEX value.</t>
      </text>
    </comment>
    <comment authorId="0" ref="L263">
      <text>
        <t xml:space="preserve">Illustrative generic shade assigned to this colour name for display. This is NOT a sourced or certified club-brand HEX value.</t>
      </text>
    </comment>
    <comment authorId="0" ref="M263">
      <text>
        <t xml:space="preserve">Illustrative generic shade assigned to this colour name for display. This is NOT a sourced or certified club-brand HEX value.</t>
      </text>
    </comment>
    <comment authorId="0" ref="L197">
      <text>
        <t xml:space="preserve">Illustrative generic shade assigned to this colour name for display. This is NOT a sourced or certified club-brand HEX value.</t>
      </text>
    </comment>
    <comment authorId="0" ref="M197">
      <text>
        <t xml:space="preserve">Illustrative generic shade assigned to this colour name for display. This is NOT a sourced or certified club-brand HEX value.</t>
      </text>
    </comment>
    <comment authorId="0" ref="L131">
      <text>
        <t xml:space="preserve">Illustrative generic shade assigned to this colour name for display. This is NOT a sourced or certified club-brand HEX value.</t>
      </text>
    </comment>
    <comment authorId="0" ref="M131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L726">
      <text>
        <t xml:space="preserve">Illustrative generic shade assigned to this colour name for display. This is NOT a sourced or certified club-brand HEX value.</t>
      </text>
    </comment>
    <comment authorId="0" ref="M726">
      <text>
        <t xml:space="preserve">Illustrative generic shade assigned to this colour name for display. This is NOT a sourced or certified club-brand HEX value.</t>
      </text>
    </comment>
    <comment authorId="0" ref="L660">
      <text>
        <t xml:space="preserve">Illustrative generic shade assigned to this colour name for display. This is NOT a sourced or certified club-brand HEX value.</t>
      </text>
    </comment>
    <comment authorId="0" ref="M660">
      <text>
        <t xml:space="preserve">Illustrative generic shade assigned to this colour name for display. This is NOT a sourced or certified club-brand HEX value.</t>
      </text>
    </comment>
    <comment authorId="0" ref="L594">
      <text>
        <t xml:space="preserve">Illustrative generic shade assigned to this colour name for display. This is NOT a sourced or certified club-brand HEX value.</t>
      </text>
    </comment>
    <comment authorId="0" ref="M594">
      <text>
        <t xml:space="preserve">Illustrative generic shade assigned to this colour name for display. This is NOT a sourced or certified club-brand HEX value.</t>
      </text>
    </comment>
    <comment authorId="0" ref="L528">
      <text>
        <t xml:space="preserve">Illustrative generic shade assigned to this colour name for display. This is NOT a sourced or certified club-brand HEX value.</t>
      </text>
    </comment>
    <comment authorId="0" ref="M528">
      <text>
        <t xml:space="preserve">Illustrative generic shade assigned to this colour name for display. This is NOT a sourced or certified club-brand HEX value.</t>
      </text>
    </comment>
    <comment authorId="0" ref="L330">
      <text>
        <t xml:space="preserve">Illustrative generic shade assigned to this colour name for display. This is NOT a sourced or certified club-brand HEX value.</t>
      </text>
    </comment>
    <comment authorId="0" ref="M330">
      <text>
        <t xml:space="preserve">Illustrative generic shade assigned to this colour name for display. This is NOT a sourced or certified club-brand HEX value.</t>
      </text>
    </comment>
    <comment authorId="0" ref="L264">
      <text>
        <t xml:space="preserve">Illustrative generic shade assigned to this colour name for display. This is NOT a sourced or certified club-brand HEX value.</t>
      </text>
    </comment>
    <comment authorId="0" ref="M264">
      <text>
        <t xml:space="preserve">Illustrative generic shade assigned to this colour name for display. This is NOT a sourced or certified club-brand HEX value.</t>
      </text>
    </comment>
    <comment authorId="0" ref="L198">
      <text>
        <t xml:space="preserve">Illustrative generic shade assigned to this colour name for display. This is NOT a sourced or certified club-brand HEX value.</t>
      </text>
    </comment>
    <comment authorId="0" ref="M198">
      <text>
        <t xml:space="preserve">Illustrative generic shade assigned to this colour name for display. This is NOT a sourced or certified club-brand HEX value.</t>
      </text>
    </comment>
    <comment authorId="0" ref="L132">
      <text>
        <t xml:space="preserve">Illustrative generic shade assigned to this colour name for display. This is NOT a sourced or certified club-brand HEX value.</t>
      </text>
    </comment>
    <comment authorId="0" ref="M132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L727">
      <text>
        <t xml:space="preserve">Illustrative generic shade assigned to this colour name for display. This is NOT a sourced or certified club-brand HEX value.</t>
      </text>
    </comment>
    <comment authorId="0" ref="M727">
      <text>
        <t xml:space="preserve">Illustrative generic shade assigned to this colour name for display. This is NOT a sourced or certified club-brand HEX value.</t>
      </text>
    </comment>
    <comment authorId="0" ref="L661">
      <text>
        <t xml:space="preserve">Illustrative generic shade assigned to this colour name for display. This is NOT a sourced or certified club-brand HEX value.</t>
      </text>
    </comment>
    <comment authorId="0" ref="M661">
      <text>
        <t xml:space="preserve">Illustrative generic shade assigned to this colour name for display. This is NOT a sourced or certified club-brand HEX value.</t>
      </text>
    </comment>
    <comment authorId="0" ref="L595">
      <text>
        <t xml:space="preserve">Illustrative generic shade assigned to this colour name for display. This is NOT a sourced or certified club-brand HEX value.</t>
      </text>
    </comment>
    <comment authorId="0" ref="M595">
      <text>
        <t xml:space="preserve">Illustrative generic shade assigned to this colour name for display. This is NOT a sourced or certified club-brand HEX value.</t>
      </text>
    </comment>
    <comment authorId="0" ref="L397">
      <text>
        <t xml:space="preserve">Illustrative generic shade assigned to this colour name for display. This is NOT a sourced or certified club-brand HEX value.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2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75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M75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85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M85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80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81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M81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82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M82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0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M100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101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M101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85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M85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02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103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M103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104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M104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105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M105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89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M89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106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M106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90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90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91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M91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75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M75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92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M92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93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M93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94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M94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78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M78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95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M95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96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M96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80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M80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97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M97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81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M81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82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M82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99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M99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2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42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3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96">
      <text>
        <t xml:space="preserve">Illustrative generic shade assigned to this colour name for display. This is NOT a sourced or certified club-brand HEX value.</t>
      </text>
    </comment>
    <comment authorId="0" ref="M96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L138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M138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126">
      <text>
        <t xml:space="preserve">Illustrative generic shade assigned to this colour name for display. This is NOT a sourced or certified club-brand HEX value.</t>
      </text>
    </comment>
    <comment authorId="0" ref="M126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110">
      <text>
        <t xml:space="preserve">Illustrative generic shade assigned to this colour name for display. This is NOT a sourced or certified club-brand HEX value.</t>
      </text>
    </comment>
    <comment authorId="0" ref="M110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106">
      <text>
        <t xml:space="preserve">Illustrative generic shade assigned to this colour name for display. This is NOT a sourced or certified club-brand HEX value.</t>
      </text>
    </comment>
    <comment authorId="0" ref="M106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123">
      <text>
        <t xml:space="preserve">Illustrative generic shade assigned to this colour name for display. This is NOT a sourced or certified club-brand HEX value.</t>
      </text>
    </comment>
    <comment authorId="0" ref="M123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115">
      <text>
        <t xml:space="preserve">Illustrative generic shade assigned to this colour name for display. This is NOT a sourced or certified club-brand HEX value.</t>
      </text>
    </comment>
    <comment authorId="0" ref="M115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111">
      <text>
        <t xml:space="preserve">Illustrative generic shade assigned to this colour name for display. This is NOT a sourced or certified club-brand HEX value.</t>
      </text>
    </comment>
    <comment authorId="0" ref="M111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99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M99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8">
      <text>
        <t xml:space="preserve">Illustrative generic shade assigned to this colour name for display. This is NOT a sourced or certified club-brand HEX value.</t>
      </text>
    </comment>
    <comment authorId="0" ref="M108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100">
      <text>
        <t xml:space="preserve">Illustrative generic shade assigned to this colour name for display. This is NOT a sourced or certified club-brand HEX value.</t>
      </text>
    </comment>
    <comment authorId="0" ref="M100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125">
      <text>
        <t xml:space="preserve">Illustrative generic shade assigned to this colour name for display. This is NOT a sourced or certified club-brand HEX value.</t>
      </text>
    </comment>
    <comment authorId="0" ref="M125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117">
      <text>
        <t xml:space="preserve">Illustrative generic shade assigned to this colour name for display. This is NOT a sourced or certified club-brand HEX value.</t>
      </text>
    </comment>
    <comment authorId="0" ref="M117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101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M101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L126">
      <text>
        <t xml:space="preserve">Illustrative generic shade assigned to this colour name for display. This is NOT a sourced or certified club-brand HEX value.</t>
      </text>
    </comment>
    <comment authorId="0" ref="M126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118">
      <text>
        <t xml:space="preserve">Illustrative generic shade assigned to this colour name for display. This is NOT a sourced or certified club-brand HEX value.</t>
      </text>
    </comment>
    <comment authorId="0" ref="M118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43">
      <text>
        <t xml:space="preserve">Illustrative generic shade assigned to this colour name for display. This is NOT a sourced or certified club-brand HEX value.</t>
      </text>
    </comment>
    <comment authorId="0" ref="M143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135">
      <text>
        <t xml:space="preserve">Illustrative generic shade assigned to this colour name for display. This is NOT a sourced or certified club-brand HEX value.</t>
      </text>
    </comment>
    <comment authorId="0" ref="L102">
      <text>
        <t xml:space="preserve">Illustrative generic shade assigned to this colour name for display. This is NOT a sourced or certified club-brand HEX value.</t>
      </text>
    </comment>
    <comment authorId="0" ref="M135">
      <text>
        <t xml:space="preserve">Illustrative generic shade assigned to this colour name for display. This is NOT a sourced or certified club-brand HEX value.</t>
      </text>
    </comment>
    <comment authorId="0" ref="M102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94">
      <text>
        <t xml:space="preserve">Illustrative generic shade assigned to this colour name for display. This is NOT a sourced or certified club-brand HEX value.</t>
      </text>
    </comment>
    <comment authorId="0" ref="M94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119">
      <text>
        <t xml:space="preserve">Illustrative generic shade assigned to this colour name for display. This is NOT a sourced or certified club-brand HEX value.</t>
      </text>
    </comment>
    <comment authorId="0" ref="M119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103">
      <text>
        <t xml:space="preserve">Illustrative generic shade assigned to this colour name for display. This is NOT a sourced or certified club-brand HEX value.</t>
      </text>
    </comment>
    <comment authorId="0" ref="M103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104">
      <text>
        <t xml:space="preserve">Illustrative generic shade assigned to this colour name for display. This is NOT a sourced or certified club-brand HEX value.</t>
      </text>
    </comment>
    <comment authorId="0" ref="M104">
      <text>
        <t xml:space="preserve">Illustrative generic shade assigned to this colour name for display. This is NOT a sourced or certified club-brand HEX value.</t>
      </text>
    </comment>
    <comment authorId="0" ref="L129">
      <text>
        <t xml:space="preserve">Illustrative generic shade assigned to this colour name for display. This is NOT a sourced or certified club-brand HEX value.</t>
      </text>
    </comment>
    <comment authorId="0" ref="M129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121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M121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113">
      <text>
        <t xml:space="preserve">Illustrative generic shade assigned to this colour name for display. This is NOT a sourced or certified club-brand HEX value.</t>
      </text>
    </comment>
    <comment authorId="0" ref="M113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L130">
      <text>
        <t xml:space="preserve">Illustrative generic shade assigned to this colour name for display. This is NOT a sourced or certified club-brand HEX value.</t>
      </text>
    </comment>
    <comment authorId="0" ref="M130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122">
      <text>
        <t xml:space="preserve">Illustrative generic shade assigned to this colour name for display. This is NOT a sourced or certified club-brand HEX value.</t>
      </text>
    </comment>
    <comment authorId="0" ref="M122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147">
      <text>
        <t xml:space="preserve">Illustrative generic shade assigned to this colour name for display. This is NOT a sourced or certified club-brand HEX value.</t>
      </text>
    </comment>
    <comment authorId="0" ref="M147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139">
      <text>
        <t xml:space="preserve">Illustrative generic shade assigned to this colour name for display. This is NOT a sourced or certified club-brand HEX value.</t>
      </text>
    </comment>
    <comment authorId="0" ref="M139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123">
      <text>
        <t xml:space="preserve">Illustrative generic shade assigned to this colour name for display. This is NOT a sourced or certified club-brand HEX value.</t>
      </text>
    </comment>
    <comment authorId="0" ref="L90">
      <text>
        <t xml:space="preserve">Illustrative generic shade assigned to this colour name for display. This is NOT a sourced or certified club-brand HEX value.</t>
      </text>
    </comment>
    <comment authorId="0" ref="M123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90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132">
      <text>
        <t xml:space="preserve">Illustrative generic shade assigned to this colour name for display. This is NOT a sourced or certified club-brand HEX value.</t>
      </text>
    </comment>
    <comment authorId="0" ref="M132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124">
      <text>
        <t xml:space="preserve">Illustrative generic shade assigned to this colour name for display. This is NOT a sourced or certified club-brand HEX value.</t>
      </text>
    </comment>
    <comment authorId="0" ref="M124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3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100">
      <text>
        <t xml:space="preserve">Illustrative generic shade assigned to this colour name for display. This is NOT a sourced or certified club-brand HEX value.</t>
      </text>
    </comment>
    <comment authorId="0" ref="L67">
      <text>
        <t xml:space="preserve">Illustrative generic shade assigned to this colour name for display. This is NOT a sourced or certified club-brand HEX value.</t>
      </text>
    </comment>
    <comment authorId="0" ref="M100">
      <text>
        <t xml:space="preserve">Illustrative generic shade assigned to this colour name for display. This is NOT a sourced or certified club-brand HEX value.</t>
      </text>
    </comment>
    <comment authorId="0" ref="L34">
      <text>
        <t xml:space="preserve">Illustrative generic shade assigned to this colour name for display. This is NOT a sourced or certified club-brand HEX value.</t>
      </text>
    </comment>
    <comment authorId="0" ref="M67">
      <text>
        <t xml:space="preserve">Illustrative generic shade assigned to this colour name for display. This is NOT a sourced or certified club-brand HEX value.</t>
      </text>
    </comment>
    <comment authorId="0" ref="M34">
      <text>
        <t xml:space="preserve">Illustrative generic shade assigned to this colour name for display. This is NOT a sourced or certified club-brand HEX value.</t>
      </text>
    </comment>
    <comment authorId="0" ref="L84">
      <text>
        <t xml:space="preserve">Illustrative generic shade assigned to this colour name for display. This is NOT a sourced or certified club-brand HEX value.</t>
      </text>
    </comment>
    <comment authorId="0" ref="L51">
      <text>
        <t xml:space="preserve">Illustrative generic shade assigned to this colour name for display. This is NOT a sourced or certified club-brand HEX value.</t>
      </text>
    </comment>
    <comment authorId="0" ref="M84">
      <text>
        <t xml:space="preserve">Illustrative generic shade assigned to this colour name for display. This is NOT a sourced or certified club-brand HEX value.</t>
      </text>
    </comment>
    <comment authorId="0" ref="L18">
      <text>
        <t xml:space="preserve">Illustrative generic shade assigned to this colour name for display. This is NOT a sourced or certified club-brand HEX value.</t>
      </text>
    </comment>
    <comment authorId="0" ref="M51">
      <text>
        <t xml:space="preserve">Illustrative generic shade assigned to this colour name for display. This is NOT a sourced or certified club-brand HEX value.</t>
      </text>
    </comment>
    <comment authorId="0" ref="M18">
      <text>
        <t xml:space="preserve">Illustrative generic shade assigned to this colour name for display. This is NOT a sourced or certified club-brand HEX value.</t>
      </text>
    </comment>
    <comment authorId="0" ref="L101">
      <text>
        <t xml:space="preserve">Illustrative generic shade assigned to this colour name for display. This is NOT a sourced or certified club-brand HEX value.</t>
      </text>
    </comment>
    <comment authorId="0" ref="L68">
      <text>
        <t xml:space="preserve">Illustrative generic shade assigned to this colour name for display. This is NOT a sourced or certified club-brand HEX value.</t>
      </text>
    </comment>
    <comment authorId="0" ref="M101">
      <text>
        <t xml:space="preserve">Illustrative generic shade assigned to this colour name for display. This is NOT a sourced or certified club-brand HEX value.</t>
      </text>
    </comment>
    <comment authorId="0" ref="L35">
      <text>
        <t xml:space="preserve">Illustrative generic shade assigned to this colour name for display. This is NOT a sourced or certified club-brand HEX value.</t>
      </text>
    </comment>
    <comment authorId="0" ref="M68">
      <text>
        <t xml:space="preserve">Illustrative generic shade assigned to this colour name for display. This is NOT a sourced or certified club-brand HEX value.</t>
      </text>
    </comment>
    <comment authorId="0" ref="M35">
      <text>
        <t xml:space="preserve">Illustrative generic shade assigned to this colour name for display. This is NOT a sourced or certified club-brand HEX value.</t>
      </text>
    </comment>
    <comment authorId="0" ref="L85">
      <text>
        <t xml:space="preserve">Illustrative generic shade assigned to this colour name for display. This is NOT a sourced or certified club-brand HEX value.</t>
      </text>
    </comment>
    <comment authorId="0" ref="L52">
      <text>
        <t xml:space="preserve">Illustrative generic shade assigned to this colour name for display. This is NOT a sourced or certified club-brand HEX value.</t>
      </text>
    </comment>
    <comment authorId="0" ref="M85">
      <text>
        <t xml:space="preserve">Illustrative generic shade assigned to this colour name for display. This is NOT a sourced or certified club-brand HEX value.</t>
      </text>
    </comment>
    <comment authorId="0" ref="L19">
      <text>
        <t xml:space="preserve">Illustrative generic shade assigned to this colour name for display. This is NOT a sourced or certified club-brand HEX value.</t>
      </text>
    </comment>
    <comment authorId="0" ref="M52">
      <text>
        <t xml:space="preserve">Illustrative generic shade assigned to this colour name for display. This is NOT a sourced or certified club-brand HEX value.</t>
      </text>
    </comment>
    <comment authorId="0" ref="M19">
      <text>
        <t xml:space="preserve">Illustrative generic shade assigned to this colour name for display. This is NOT a sourced or certified club-brand HEX value.</t>
      </text>
    </comment>
    <comment authorId="0" ref="L102">
      <text>
        <t xml:space="preserve">Illustrative generic shade assigned to this colour name for display. This is NOT a sourced or certified club-brand HEX value.</t>
      </text>
    </comment>
    <comment authorId="0" ref="L69">
      <text>
        <t xml:space="preserve">Illustrative generic shade assigned to this colour name for display. This is NOT a sourced or certified club-brand HEX value.</t>
      </text>
    </comment>
    <comment authorId="0" ref="M102">
      <text>
        <t xml:space="preserve">Illustrative generic shade assigned to this colour name for display. This is NOT a sourced or certified club-brand HEX value.</t>
      </text>
    </comment>
    <comment authorId="0" ref="L36">
      <text>
        <t xml:space="preserve">Illustrative generic shade assigned to this colour name for display. This is NOT a sourced or certified club-brand HEX value.</t>
      </text>
    </comment>
    <comment authorId="0" ref="M69">
      <text>
        <t xml:space="preserve">Illustrative generic shade assigned to this colour name for display. This is NOT a sourced or certified club-brand HEX value.</t>
      </text>
    </comment>
    <comment authorId="0" ref="M36">
      <text>
        <t xml:space="preserve">Illustrative generic shade assigned to this colour name for display. This is NOT a sourced or certified club-brand HEX value.</t>
      </text>
    </comment>
    <comment authorId="0" ref="L86">
      <text>
        <t xml:space="preserve">Illustrative generic shade assigned to this colour name for display. This is NOT a sourced or certified club-brand HEX value.</t>
      </text>
    </comment>
    <comment authorId="0" ref="L53">
      <text>
        <t xml:space="preserve">Illustrative generic shade assigned to this colour name for display. This is NOT a sourced or certified club-brand HEX value.</t>
      </text>
    </comment>
    <comment authorId="0" ref="M86">
      <text>
        <t xml:space="preserve">Illustrative generic shade assigned to this colour name for display. This is NOT a sourced or certified club-brand HEX value.</t>
      </text>
    </comment>
    <comment authorId="0" ref="L20">
      <text>
        <t xml:space="preserve">Illustrative generic shade assigned to this colour name for display. This is NOT a sourced or certified club-brand HEX value.</t>
      </text>
    </comment>
    <comment authorId="0" ref="M53">
      <text>
        <t xml:space="preserve">Illustrative generic shade assigned to this colour name for display. This is NOT a sourced or certified club-brand HEX value.</t>
      </text>
    </comment>
    <comment authorId="0" ref="M20">
      <text>
        <t xml:space="preserve">Illustrative generic shade assigned to this colour name for display. This is NOT a sourced or certified club-brand HEX value.</t>
      </text>
    </comment>
    <comment authorId="0" ref="L103">
      <text>
        <t xml:space="preserve">Illustrative generic shade assigned to this colour name for display. This is NOT a sourced or certified club-brand HEX value.</t>
      </text>
    </comment>
    <comment authorId="0" ref="L70">
      <text>
        <t xml:space="preserve">Illustrative generic shade assigned to this colour name for display. This is NOT a sourced or certified club-brand HEX value.</t>
      </text>
    </comment>
    <comment authorId="0" ref="M103">
      <text>
        <t xml:space="preserve">Illustrative generic shade assigned to this colour name for display. This is NOT a sourced or certified club-brand HEX value.</t>
      </text>
    </comment>
    <comment authorId="0" ref="L37">
      <text>
        <t xml:space="preserve">Illustrative generic shade assigned to this colour name for display. This is NOT a sourced or certified club-brand HEX value.</t>
      </text>
    </comment>
    <comment authorId="0" ref="M70">
      <text>
        <t xml:space="preserve">Illustrative generic shade assigned to this colour name for display. This is NOT a sourced or certified club-brand HEX value.</t>
      </text>
    </comment>
    <comment authorId="0" ref="M37">
      <text>
        <t xml:space="preserve">Illustrative generic shade assigned to this colour name for display. This is NOT a sourced or certified club-brand HEX value.</t>
      </text>
    </comment>
    <comment authorId="0" ref="L87">
      <text>
        <t xml:space="preserve">Illustrative generic shade assigned to this colour name for display. This is NOT a sourced or certified club-brand HEX value.</t>
      </text>
    </comment>
    <comment authorId="0" ref="L54">
      <text>
        <t xml:space="preserve">Illustrative generic shade assigned to this colour name for display. This is NOT a sourced or certified club-brand HEX value.</t>
      </text>
    </comment>
    <comment authorId="0" ref="M87">
      <text>
        <t xml:space="preserve">Illustrative generic shade assigned to this colour name for display. This is NOT a sourced or certified club-brand HEX value.</t>
      </text>
    </comment>
    <comment authorId="0" ref="L21">
      <text>
        <t xml:space="preserve">Illustrative generic shade assigned to this colour name for display. This is NOT a sourced or certified club-brand HEX value.</t>
      </text>
    </comment>
    <comment authorId="0" ref="M54">
      <text>
        <t xml:space="preserve">Illustrative generic shade assigned to this colour name for display. This is NOT a sourced or certified club-brand HEX value.</t>
      </text>
    </comment>
    <comment authorId="0" ref="M21">
      <text>
        <t xml:space="preserve">Illustrative generic shade assigned to this colour name for display. This is NOT a sourced or certified club-brand HEX value.</t>
      </text>
    </comment>
    <comment authorId="0" ref="L104">
      <text>
        <t xml:space="preserve">Illustrative generic shade assigned to this colour name for display. This is NOT a sourced or certified club-brand HEX value.</t>
      </text>
    </comment>
    <comment authorId="0" ref="L71">
      <text>
        <t xml:space="preserve">Illustrative generic shade assigned to this colour name for display. This is NOT a sourced or certified club-brand HEX value.</t>
      </text>
    </comment>
    <comment authorId="0" ref="M104">
      <text>
        <t xml:space="preserve">Illustrative generic shade assigned to this colour name for display. This is NOT a sourced or certified club-brand HEX value.</t>
      </text>
    </comment>
    <comment authorId="0" ref="L38">
      <text>
        <t xml:space="preserve">Illustrative generic shade assigned to this colour name for display. This is NOT a sourced or certified club-brand HEX value.</t>
      </text>
    </comment>
    <comment authorId="0" ref="M71">
      <text>
        <t xml:space="preserve">Illustrative generic shade assigned to this colour name for display. This is NOT a sourced or certified club-brand HEX value.</t>
      </text>
    </comment>
    <comment authorId="0" ref="M38">
      <text>
        <t xml:space="preserve">Illustrative generic shade assigned to this colour name for display. This is NOT a sourced or certified club-brand HEX value.</t>
      </text>
    </comment>
    <comment authorId="0" ref="L88">
      <text>
        <t xml:space="preserve">Illustrative generic shade assigned to this colour name for display. This is NOT a sourced or certified club-brand HEX value.</t>
      </text>
    </comment>
    <comment authorId="0" ref="L55">
      <text>
        <t xml:space="preserve">Illustrative generic shade assigned to this colour name for display. This is NOT a sourced or certified club-brand HEX value.</t>
      </text>
    </comment>
    <comment authorId="0" ref="M88">
      <text>
        <t xml:space="preserve">Illustrative generic shade assigned to this colour name for display. This is NOT a sourced or certified club-brand HEX value.</t>
      </text>
    </comment>
    <comment authorId="0" ref="L22">
      <text>
        <t xml:space="preserve">Illustrative generic shade assigned to this colour name for display. This is NOT a sourced or certified club-brand HEX value.</t>
      </text>
    </comment>
    <comment authorId="0" ref="M55">
      <text>
        <t xml:space="preserve">Illustrative generic shade assigned to this colour name for display. This is NOT a sourced or certified club-brand HEX value.</t>
      </text>
    </comment>
    <comment authorId="0" ref="M22">
      <text>
        <t xml:space="preserve">Illustrative generic shade assigned to this colour name for display. This is NOT a sourced or certified club-brand HEX value.</t>
      </text>
    </comment>
    <comment authorId="0" ref="L105">
      <text>
        <t xml:space="preserve">Illustrative generic shade assigned to this colour name for display. This is NOT a sourced or certified club-brand HEX value.</t>
      </text>
    </comment>
    <comment authorId="0" ref="L72">
      <text>
        <t xml:space="preserve">Illustrative generic shade assigned to this colour name for display. This is NOT a sourced or certified club-brand HEX value.</t>
      </text>
    </comment>
    <comment authorId="0" ref="M105">
      <text>
        <t xml:space="preserve">Illustrative generic shade assigned to this colour name for display. This is NOT a sourced or certified club-brand HEX value.</t>
      </text>
    </comment>
    <comment authorId="0" ref="L39">
      <text>
        <t xml:space="preserve">Illustrative generic shade assigned to this colour name for display. This is NOT a sourced or certified club-brand HEX value.</t>
      </text>
    </comment>
    <comment authorId="0" ref="M72">
      <text>
        <t xml:space="preserve">Illustrative generic shade assigned to this colour name for display. This is NOT a sourced or certified club-brand HEX value.</t>
      </text>
    </comment>
    <comment authorId="0" ref="M39">
      <text>
        <t xml:space="preserve">Illustrative generic shade assigned to this colour name for display. This is NOT a sourced or certified club-brand HEX value.</t>
      </text>
    </comment>
    <comment authorId="0" ref="L89">
      <text>
        <t xml:space="preserve">Illustrative generic shade assigned to this colour name for display. This is NOT a sourced or certified club-brand HEX value.</t>
      </text>
    </comment>
    <comment authorId="0" ref="L56">
      <text>
        <t xml:space="preserve">Illustrative generic shade assigned to this colour name for display. This is NOT a sourced or certified club-brand HEX value.</t>
      </text>
    </comment>
    <comment authorId="0" ref="M89">
      <text>
        <t xml:space="preserve">Illustrative generic shade assigned to this colour name for display. This is NOT a sourced or certified club-brand HEX value.</t>
      </text>
    </comment>
    <comment authorId="0" ref="L23">
      <text>
        <t xml:space="preserve">Illustrative generic shade assigned to this colour name for display. This is NOT a sourced or certified club-brand HEX value.</t>
      </text>
    </comment>
    <comment authorId="0" ref="M56">
      <text>
        <t xml:space="preserve">Illustrative generic shade assigned to this colour name for display. This is NOT a sourced or certified club-brand HEX value.</t>
      </text>
    </comment>
    <comment authorId="0" ref="M23">
      <text>
        <t xml:space="preserve">Illustrative generic shade assigned to this colour name for display. This is NOT a sourced or certified club-brand HEX value.</t>
      </text>
    </comment>
    <comment authorId="0" ref="L106">
      <text>
        <t xml:space="preserve">Illustrative generic shade assigned to this colour name for display. This is NOT a sourced or certified club-brand HEX value.</t>
      </text>
    </comment>
    <comment authorId="0" ref="L73">
      <text>
        <t xml:space="preserve">Illustrative generic shade assigned to this colour name for display. This is NOT a sourced or certified club-brand HEX value.</t>
      </text>
    </comment>
    <comment authorId="0" ref="M106">
      <text>
        <t xml:space="preserve">Illustrative generic shade assigned to this colour name for display. This is NOT a sourced or certified club-brand HEX value.</t>
      </text>
    </comment>
    <comment authorId="0" ref="L40">
      <text>
        <t xml:space="preserve">Illustrative generic shade assigned to this colour name for display. This is NOT a sourced or certified club-brand HEX value.</t>
      </text>
    </comment>
    <comment authorId="0" ref="M73">
      <text>
        <t xml:space="preserve">Illustrative generic shade assigned to this colour name for display. This is NOT a sourced or certified club-brand HEX value.</t>
      </text>
    </comment>
    <comment authorId="0" ref="L7">
      <text>
        <t xml:space="preserve">Illustrative generic shade assigned to this colour name for display. This is NOT a sourced or certified club-brand HEX value.</t>
      </text>
    </comment>
    <comment authorId="0" ref="M40">
      <text>
        <t xml:space="preserve">Illustrative generic shade assigned to this colour name for display. This is NOT a sourced or certified club-brand HEX value.</t>
      </text>
    </comment>
    <comment authorId="0" ref="M7">
      <text>
        <t xml:space="preserve">Illustrative generic shade assigned to this colour name for display. This is NOT a sourced or certified club-brand HEX value.</t>
      </text>
    </comment>
    <comment authorId="0" ref="L90">
      <text>
        <t xml:space="preserve">Illustrative generic shade assigned to this colour name for display. This is NOT a sourced or certified club-brand HEX value.</t>
      </text>
    </comment>
    <comment authorId="0" ref="L57">
      <text>
        <t xml:space="preserve">Illustrative generic shade assigned to this colour name for display. This is NOT a sourced or certified club-brand HEX value.</t>
      </text>
    </comment>
    <comment authorId="0" ref="M90">
      <text>
        <t xml:space="preserve">Illustrative generic shade assigned to this colour name for display. This is NOT a sourced or certified club-brand HEX value.</t>
      </text>
    </comment>
    <comment authorId="0" ref="L24">
      <text>
        <t xml:space="preserve">Illustrative generic shade assigned to this colour name for display. This is NOT a sourced or certified club-brand HEX value.</t>
      </text>
    </comment>
    <comment authorId="0" ref="M57">
      <text>
        <t xml:space="preserve">Illustrative generic shade assigned to this colour name for display. This is NOT a sourced or certified club-brand HEX value.</t>
      </text>
    </comment>
    <comment authorId="0" ref="M24">
      <text>
        <t xml:space="preserve">Illustrative generic shade assigned to this colour name for display. This is NOT a sourced or certified club-brand HEX value.</t>
      </text>
    </comment>
    <comment authorId="0" ref="L107">
      <text>
        <t xml:space="preserve">Illustrative generic shade assigned to this colour name for display. This is NOT a sourced or certified club-brand HEX value.</t>
      </text>
    </comment>
    <comment authorId="0" ref="L74">
      <text>
        <t xml:space="preserve">Illustrative generic shade assigned to this colour name for display. This is NOT a sourced or certified club-brand HEX value.</t>
      </text>
    </comment>
    <comment authorId="0" ref="M107">
      <text>
        <t xml:space="preserve">Illustrative generic shade assigned to this colour name for display. This is NOT a sourced or certified club-brand HEX value.</t>
      </text>
    </comment>
    <comment authorId="0" ref="L41">
      <text>
        <t xml:space="preserve">Illustrative generic shade assigned to this colour name for display. This is NOT a sourced or certified club-brand HEX value.</t>
      </text>
    </comment>
    <comment authorId="0" ref="M74">
      <text>
        <t xml:space="preserve">Illustrative generic shade assigned to this colour name for display. This is NOT a sourced or certified club-brand HEX value.</t>
      </text>
    </comment>
    <comment authorId="0" ref="L8">
      <text>
        <t xml:space="preserve">Illustrative generic shade assigned to this colour name for display. This is NOT a sourced or certified club-brand HEX value.</t>
      </text>
    </comment>
    <comment authorId="0" ref="M41">
      <text>
        <t xml:space="preserve">Illustrative generic shade assigned to this colour name for display. This is NOT a sourced or certified club-brand HEX value.</t>
      </text>
    </comment>
    <comment authorId="0" ref="M8">
      <text>
        <t xml:space="preserve">Illustrative generic shade assigned to this colour name for display. This is NOT a sourced or certified club-brand HEX value.</t>
      </text>
    </comment>
    <comment authorId="0" ref="L91">
      <text>
        <t xml:space="preserve">Illustrative generic shade assigned to this colour name for display. This is NOT a sourced or certified club-brand HEX value.</t>
      </text>
    </comment>
    <comment authorId="0" ref="L58">
      <text>
        <t xml:space="preserve">Illustrative generic shade assigned to this colour name for display. This is NOT a sourced or certified club-brand HEX value.</t>
      </text>
    </comment>
    <comment authorId="0" ref="M91">
      <text>
        <t xml:space="preserve">Illustrative generic shade assigned to this colour name for display. This is NOT a sourced or certified club-brand HEX value.</t>
      </text>
    </comment>
    <comment authorId="0" ref="L25">
      <text>
        <t xml:space="preserve">Illustrative generic shade assigned to this colour name for display. This is NOT a sourced or certified club-brand HEX value.</t>
      </text>
    </comment>
    <comment authorId="0" ref="M58">
      <text>
        <t xml:space="preserve">Illustrative generic shade assigned to this colour name for display. This is NOT a sourced or certified club-brand HEX value.</t>
      </text>
    </comment>
    <comment authorId="0" ref="M25">
      <text>
        <t xml:space="preserve">Illustrative generic shade assigned to this colour name for display. This is NOT a sourced or certified club-brand HEX value.</t>
      </text>
    </comment>
    <comment authorId="0" ref="L108">
      <text>
        <t xml:space="preserve">Illustrative generic shade assigned to this colour name for display. This is NOT a sourced or certified club-brand HEX value.</t>
      </text>
    </comment>
    <comment authorId="0" ref="L75">
      <text>
        <t xml:space="preserve">Illustrative generic shade assigned to this colour name for display. This is NOT a sourced or certified club-brand HEX value.</t>
      </text>
    </comment>
    <comment authorId="0" ref="M108">
      <text>
        <t xml:space="preserve">Illustrative generic shade assigned to this colour name for display. This is NOT a sourced or certified club-brand HEX value.</t>
      </text>
    </comment>
    <comment authorId="0" ref="L42">
      <text>
        <t xml:space="preserve">Illustrative generic shade assigned to this colour name for display. This is NOT a sourced or certified club-brand HEX value.</t>
      </text>
    </comment>
    <comment authorId="0" ref="M75">
      <text>
        <t xml:space="preserve">Illustrative generic shade assigned to this colour name for display. This is NOT a sourced or certified club-brand HEX value.</t>
      </text>
    </comment>
    <comment authorId="0" ref="L9">
      <text>
        <t xml:space="preserve">Illustrative generic shade assigned to this colour name for display. This is NOT a sourced or certified club-brand HEX value.</t>
      </text>
    </comment>
    <comment authorId="0" ref="M42">
      <text>
        <t xml:space="preserve">Illustrative generic shade assigned to this colour name for display. This is NOT a sourced or certified club-brand HEX value.</t>
      </text>
    </comment>
    <comment authorId="0" ref="M9">
      <text>
        <t xml:space="preserve">Illustrative generic shade assigned to this colour name for display. This is NOT a sourced or certified club-brand HEX value.</t>
      </text>
    </comment>
    <comment authorId="0" ref="L92">
      <text>
        <t xml:space="preserve">Illustrative generic shade assigned to this colour name for display. This is NOT a sourced or certified club-brand HEX value.</t>
      </text>
    </comment>
    <comment authorId="0" ref="L59">
      <text>
        <t xml:space="preserve">Illustrative generic shade assigned to this colour name for display. This is NOT a sourced or certified club-brand HEX value.</t>
      </text>
    </comment>
    <comment authorId="0" ref="L26">
      <text>
        <t xml:space="preserve">Illustrative generic shade assigned to this colour name for display. This is NOT a sourced or certified club-brand HEX value.</t>
      </text>
    </comment>
    <comment authorId="0" ref="M59">
      <text>
        <t xml:space="preserve">Illustrative generic shade assigned to this colour name for display. This is NOT a sourced or certified club-brand HEX value.</t>
      </text>
    </comment>
    <comment authorId="0" ref="M26">
      <text>
        <t xml:space="preserve">Illustrative generic shade assigned to this colour name for display. This is NOT a sourced or certified club-brand HEX value.</t>
      </text>
    </comment>
    <comment authorId="0" ref="L109">
      <text>
        <t xml:space="preserve">Illustrative generic shade assigned to this colour name for display. This is NOT a sourced or certified club-brand HEX value.</t>
      </text>
    </comment>
    <comment authorId="0" ref="L76">
      <text>
        <t xml:space="preserve">Illustrative generic shade assigned to this colour name for display. This is NOT a sourced or certified club-brand HEX value.</t>
      </text>
    </comment>
    <comment authorId="0" ref="M109">
      <text>
        <t xml:space="preserve">Illustrative generic shade assigned to this colour name for display. This is NOT a sourced or certified club-brand HEX value.</t>
      </text>
    </comment>
    <comment authorId="0" ref="L43">
      <text>
        <t xml:space="preserve">Illustrative generic shade assigned to this colour name for display. This is NOT a sourced or certified club-brand HEX value.</t>
      </text>
    </comment>
    <comment authorId="0" ref="M76">
      <text>
        <t xml:space="preserve">Illustrative generic shade assigned to this colour name for display. This is NOT a sourced or certified club-brand HEX value.</t>
      </text>
    </comment>
    <comment authorId="0" ref="L10">
      <text>
        <t xml:space="preserve">Illustrative generic shade assigned to this colour name for display. This is NOT a sourced or certified club-brand HEX value.</t>
      </text>
    </comment>
    <comment authorId="0" ref="M43">
      <text>
        <t xml:space="preserve">Illustrative generic shade assigned to this colour name for display. This is NOT a sourced or certified club-brand HEX value.</t>
      </text>
    </comment>
    <comment authorId="0" ref="M10">
      <text>
        <t xml:space="preserve">Illustrative generic shade assigned to this colour name for display. This is NOT a sourced or certified club-brand HEX value.</t>
      </text>
    </comment>
    <comment authorId="0" ref="L93">
      <text>
        <t xml:space="preserve">Illustrative generic shade assigned to this colour name for display. This is NOT a sourced or certified club-brand HEX value.</t>
      </text>
    </comment>
    <comment authorId="0" ref="L60">
      <text>
        <t xml:space="preserve">Illustrative generic shade assigned to this colour name for display. This is NOT a sourced or certified club-brand HEX value.</t>
      </text>
    </comment>
    <comment authorId="0" ref="M93">
      <text>
        <t xml:space="preserve">Illustrative generic shade assigned to this colour name for display. This is NOT a sourced or certified club-brand HEX value.</t>
      </text>
    </comment>
    <comment authorId="0" ref="L27">
      <text>
        <t xml:space="preserve">Illustrative generic shade assigned to this colour name for display. This is NOT a sourced or certified club-brand HEX value.</t>
      </text>
    </comment>
    <comment authorId="0" ref="M60">
      <text>
        <t xml:space="preserve">Illustrative generic shade assigned to this colour name for display. This is NOT a sourced or certified club-brand HEX value.</t>
      </text>
    </comment>
    <comment authorId="0" ref="M27">
      <text>
        <t xml:space="preserve">Illustrative generic shade assigned to this colour name for display. This is NOT a sourced or certified club-brand HEX value.</t>
      </text>
    </comment>
    <comment authorId="0" ref="L110">
      <text>
        <t xml:space="preserve">Illustrative generic shade assigned to this colour name for display. This is NOT a sourced or certified club-brand HEX value.</t>
      </text>
    </comment>
    <comment authorId="0" ref="L77">
      <text>
        <t xml:space="preserve">Illustrative generic shade assigned to this colour name for display. This is NOT a sourced or certified club-brand HEX value.</t>
      </text>
    </comment>
    <comment authorId="0" ref="M110">
      <text>
        <t xml:space="preserve">Illustrative generic shade assigned to this colour name for display. This is NOT a sourced or certified club-brand HEX value.</t>
      </text>
    </comment>
    <comment authorId="0" ref="L44">
      <text>
        <t xml:space="preserve">Illustrative generic shade assigned to this colour name for display. This is NOT a sourced or certified club-brand HEX value.</t>
      </text>
    </comment>
    <comment authorId="0" ref="M77">
      <text>
        <t xml:space="preserve">Illustrative generic shade assigned to this colour name for display. This is NOT a sourced or certified club-brand HEX value.</t>
      </text>
    </comment>
    <comment authorId="0" ref="L11">
      <text>
        <t xml:space="preserve">Illustrative generic shade assigned to this colour name for display. This is NOT a sourced or certified club-brand HEX value.</t>
      </text>
    </comment>
    <comment authorId="0" ref="M44">
      <text>
        <t xml:space="preserve">Illustrative generic shade assigned to this colour name for display. This is NOT a sourced or certified club-brand HEX value.</t>
      </text>
    </comment>
    <comment authorId="0" ref="M11">
      <text>
        <t xml:space="preserve">Illustrative generic shade assigned to this colour name for display. This is NOT a sourced or certified club-brand HEX value.</t>
      </text>
    </comment>
    <comment authorId="0" ref="L94">
      <text>
        <t xml:space="preserve">Illustrative generic shade assigned to this colour name for display. This is NOT a sourced or certified club-brand HEX value.</t>
      </text>
    </comment>
    <comment authorId="0" ref="L61">
      <text>
        <t xml:space="preserve">Illustrative generic shade assigned to this colour name for display. This is NOT a sourced or certified club-brand HEX value.</t>
      </text>
    </comment>
    <comment authorId="0" ref="M94">
      <text>
        <t xml:space="preserve">Illustrative generic shade assigned to this colour name for display. This is NOT a sourced or certified club-brand HEX value.</t>
      </text>
    </comment>
    <comment authorId="0" ref="L28">
      <text>
        <t xml:space="preserve">Illustrative generic shade assigned to this colour name for display. This is NOT a sourced or certified club-brand HEX value.</t>
      </text>
    </comment>
    <comment authorId="0" ref="M61">
      <text>
        <t xml:space="preserve">Illustrative generic shade assigned to this colour name for display. This is NOT a sourced or certified club-brand HEX value.</t>
      </text>
    </comment>
    <comment authorId="0" ref="M28">
      <text>
        <t xml:space="preserve">Illustrative generic shade assigned to this colour name for display. This is NOT a sourced or certified club-brand HEX value.</t>
      </text>
    </comment>
    <comment authorId="0" ref="L111">
      <text>
        <t xml:space="preserve">Illustrative generic shade assigned to this colour name for display. This is NOT a sourced or certified club-brand HEX value.</t>
      </text>
    </comment>
    <comment authorId="0" ref="L78">
      <text>
        <t xml:space="preserve">Illustrative generic shade assigned to this colour name for display. This is NOT a sourced or certified club-brand HEX value.</t>
      </text>
    </comment>
    <comment authorId="0" ref="M111">
      <text>
        <t xml:space="preserve">Illustrative generic shade assigned to this colour name for display. This is NOT a sourced or certified club-brand HEX value.</t>
      </text>
    </comment>
    <comment authorId="0" ref="L45">
      <text>
        <t xml:space="preserve">Illustrative generic shade assigned to this colour name for display. This is NOT a sourced or certified club-brand HEX value.</t>
      </text>
    </comment>
    <comment authorId="0" ref="M78">
      <text>
        <t xml:space="preserve">Illustrative generic shade assigned to this colour name for display. This is NOT a sourced or certified club-brand HEX value.</t>
      </text>
    </comment>
    <comment authorId="0" ref="L12">
      <text>
        <t xml:space="preserve">Illustrative generic shade assigned to this colour name for display. This is NOT a sourced or certified club-brand HEX value.</t>
      </text>
    </comment>
    <comment authorId="0" ref="M45">
      <text>
        <t xml:space="preserve">Illustrative generic shade assigned to this colour name for display. This is NOT a sourced or certified club-brand HEX value.</t>
      </text>
    </comment>
    <comment authorId="0" ref="M12">
      <text>
        <t xml:space="preserve">Illustrative generic shade assigned to this colour name for display. This is NOT a sourced or certified club-brand HEX value.</t>
      </text>
    </comment>
    <comment authorId="0" ref="L95">
      <text>
        <t xml:space="preserve">Illustrative generic shade assigned to this colour name for display. This is NOT a sourced or certified club-brand HEX value.</t>
      </text>
    </comment>
    <comment authorId="0" ref="L62">
      <text>
        <t xml:space="preserve">Illustrative generic shade assigned to this colour name for display. This is NOT a sourced or certified club-brand HEX value.</t>
      </text>
    </comment>
    <comment authorId="0" ref="M95">
      <text>
        <t xml:space="preserve">Illustrative generic shade assigned to this colour name for display. This is NOT a sourced or certified club-brand HEX value.</t>
      </text>
    </comment>
    <comment authorId="0" ref="L29">
      <text>
        <t xml:space="preserve">Illustrative generic shade assigned to this colour name for display. This is NOT a sourced or certified club-brand HEX value.</t>
      </text>
    </comment>
    <comment authorId="0" ref="M62">
      <text>
        <t xml:space="preserve">Illustrative generic shade assigned to this colour name for display. This is NOT a sourced or certified club-brand HEX value.</t>
      </text>
    </comment>
    <comment authorId="0" ref="M29">
      <text>
        <t xml:space="preserve">Illustrative generic shade assigned to this colour name for display. This is NOT a sourced or certified club-brand HEX value.</t>
      </text>
    </comment>
    <comment authorId="0" ref="L112">
      <text>
        <t xml:space="preserve">Illustrative generic shade assigned to this colour name for display. This is NOT a sourced or certified club-brand HEX value.</t>
      </text>
    </comment>
    <comment authorId="0" ref="L79">
      <text>
        <t xml:space="preserve">Illustrative generic shade assigned to this colour name for display. This is NOT a sourced or certified club-brand HEX value.</t>
      </text>
    </comment>
    <comment authorId="0" ref="M112">
      <text>
        <t xml:space="preserve">Illustrative generic shade assigned to this colour name for display. This is NOT a sourced or certified club-brand HEX value.</t>
      </text>
    </comment>
    <comment authorId="0" ref="L46">
      <text>
        <t xml:space="preserve">Illustrative generic shade assigned to this colour name for display. This is NOT a sourced or certified club-brand HEX value.</t>
      </text>
    </comment>
    <comment authorId="0" ref="M79">
      <text>
        <t xml:space="preserve">Illustrative generic shade assigned to this colour name for display. This is NOT a sourced or certified club-brand HEX value.</t>
      </text>
    </comment>
    <comment authorId="0" ref="L13">
      <text>
        <t xml:space="preserve">Illustrative generic shade assigned to this colour name for display. This is NOT a sourced or certified club-brand HEX value.</t>
      </text>
    </comment>
    <comment authorId="0" ref="M46">
      <text>
        <t xml:space="preserve">Illustrative generic shade assigned to this colour name for display. This is NOT a sourced or certified club-brand HEX value.</t>
      </text>
    </comment>
    <comment authorId="0" ref="M13">
      <text>
        <t xml:space="preserve">Illustrative generic shade assigned to this colour name for display. This is NOT a sourced or certified club-brand HEX value.</t>
      </text>
    </comment>
    <comment authorId="0" ref="L96">
      <text>
        <t xml:space="preserve">Illustrative generic shade assigned to this colour name for display. This is NOT a sourced or certified club-brand HEX value.</t>
      </text>
    </comment>
    <comment authorId="0" ref="L63">
      <text>
        <t xml:space="preserve">Illustrative generic shade assigned to this colour name for display. This is NOT a sourced or certified club-brand HEX value.</t>
      </text>
    </comment>
    <comment authorId="0" ref="M96">
      <text>
        <t xml:space="preserve">Illustrative generic shade assigned to this colour name for display. This is NOT a sourced or certified club-brand HEX value.</t>
      </text>
    </comment>
    <comment authorId="0" ref="L30">
      <text>
        <t xml:space="preserve">Illustrative generic shade assigned to this colour name for display. This is NOT a sourced or certified club-brand HEX value.</t>
      </text>
    </comment>
    <comment authorId="0" ref="M63">
      <text>
        <t xml:space="preserve">Illustrative generic shade assigned to this colour name for display. This is NOT a sourced or certified club-brand HEX value.</t>
      </text>
    </comment>
    <comment authorId="0" ref="M30">
      <text>
        <t xml:space="preserve">Illustrative generic shade assigned to this colour name for display. This is NOT a sourced or certified club-brand HEX value.</t>
      </text>
    </comment>
    <comment authorId="0" ref="L113">
      <text>
        <t xml:space="preserve">Illustrative generic shade assigned to this colour name for display. This is NOT a sourced or certified club-brand HEX value.</t>
      </text>
    </comment>
    <comment authorId="0" ref="L80">
      <text>
        <t xml:space="preserve">Illustrative generic shade assigned to this colour name for display. This is NOT a sourced or certified club-brand HEX value.</t>
      </text>
    </comment>
    <comment authorId="0" ref="M113">
      <text>
        <t xml:space="preserve">Illustrative generic shade assigned to this colour name for display. This is NOT a sourced or certified club-brand HEX value.</t>
      </text>
    </comment>
    <comment authorId="0" ref="L47">
      <text>
        <t xml:space="preserve">Illustrative generic shade assigned to this colour name for display. This is NOT a sourced or certified club-brand HEX value.</t>
      </text>
    </comment>
    <comment authorId="0" ref="M80">
      <text>
        <t xml:space="preserve">Illustrative generic shade assigned to this colour name for display. This is NOT a sourced or certified club-brand HEX value.</t>
      </text>
    </comment>
    <comment authorId="0" ref="L14">
      <text>
        <t xml:space="preserve">Illustrative generic shade assigned to this colour name for display. This is NOT a sourced or certified club-brand HEX value.</t>
      </text>
    </comment>
    <comment authorId="0" ref="M47">
      <text>
        <t xml:space="preserve">Illustrative generic shade assigned to this colour name for display. This is NOT a sourced or certified club-brand HEX value.</t>
      </text>
    </comment>
    <comment authorId="0" ref="M14">
      <text>
        <t xml:space="preserve">Illustrative generic shade assigned to this colour name for display. This is NOT a sourced or certified club-brand HEX value.</t>
      </text>
    </comment>
    <comment authorId="0" ref="L97">
      <text>
        <t xml:space="preserve">Illustrative generic shade assigned to this colour name for display. This is NOT a sourced or certified club-brand HEX value.</t>
      </text>
    </comment>
    <comment authorId="0" ref="L64">
      <text>
        <t xml:space="preserve">Illustrative generic shade assigned to this colour name for display. This is NOT a sourced or certified club-brand HEX value.</t>
      </text>
    </comment>
    <comment authorId="0" ref="M97">
      <text>
        <t xml:space="preserve">Illustrative generic shade assigned to this colour name for display. This is NOT a sourced or certified club-brand HEX value.</t>
      </text>
    </comment>
    <comment authorId="0" ref="L31">
      <text>
        <t xml:space="preserve">Illustrative generic shade assigned to this colour name for display. This is NOT a sourced or certified club-brand HEX value.</t>
      </text>
    </comment>
    <comment authorId="0" ref="M64">
      <text>
        <t xml:space="preserve">Illustrative generic shade assigned to this colour name for display. This is NOT a sourced or certified club-brand HEX value.</t>
      </text>
    </comment>
    <comment authorId="0" ref="M31">
      <text>
        <t xml:space="preserve">Illustrative generic shade assigned to this colour name for display. This is NOT a sourced or certified club-brand HEX value.</t>
      </text>
    </comment>
    <comment authorId="0" ref="L114">
      <text>
        <t xml:space="preserve">Illustrative generic shade assigned to this colour name for display. This is NOT a sourced or certified club-brand HEX value.</t>
      </text>
    </comment>
    <comment authorId="0" ref="L81">
      <text>
        <t xml:space="preserve">Illustrative generic shade assigned to this colour name for display. This is NOT a sourced or certified club-brand HEX value.</t>
      </text>
    </comment>
    <comment authorId="0" ref="M114">
      <text>
        <t xml:space="preserve">Illustrative generic shade assigned to this colour name for display. This is NOT a sourced or certified club-brand HEX value.</t>
      </text>
    </comment>
    <comment authorId="0" ref="L48">
      <text>
        <t xml:space="preserve">Illustrative generic shade assigned to this colour name for display. This is NOT a sourced or certified club-brand HEX value.</t>
      </text>
    </comment>
    <comment authorId="0" ref="M81">
      <text>
        <t xml:space="preserve">Illustrative generic shade assigned to this colour name for display. This is NOT a sourced or certified club-brand HEX value.</t>
      </text>
    </comment>
    <comment authorId="0" ref="L15">
      <text>
        <t xml:space="preserve">Illustrative generic shade assigned to this colour name for display. This is NOT a sourced or certified club-brand HEX value.</t>
      </text>
    </comment>
    <comment authorId="0" ref="M48">
      <text>
        <t xml:space="preserve">Illustrative generic shade assigned to this colour name for display. This is NOT a sourced or certified club-brand HEX value.</t>
      </text>
    </comment>
    <comment authorId="0" ref="M15">
      <text>
        <t xml:space="preserve">Illustrative generic shade assigned to this colour name for display. This is NOT a sourced or certified club-brand HEX value.</t>
      </text>
    </comment>
    <comment authorId="0" ref="L98">
      <text>
        <t xml:space="preserve">Illustrative generic shade assigned to this colour name for display. This is NOT a sourced or certified club-brand HEX value.</t>
      </text>
    </comment>
    <comment authorId="0" ref="L65">
      <text>
        <t xml:space="preserve">Illustrative generic shade assigned to this colour name for display. This is NOT a sourced or certified club-brand HEX value.</t>
      </text>
    </comment>
    <comment authorId="0" ref="M98">
      <text>
        <t xml:space="preserve">Illustrative generic shade assigned to this colour name for display. This is NOT a sourced or certified club-brand HEX value.</t>
      </text>
    </comment>
    <comment authorId="0" ref="L32">
      <text>
        <t xml:space="preserve">Illustrative generic shade assigned to this colour name for display. This is NOT a sourced or certified club-brand HEX value.</t>
      </text>
    </comment>
    <comment authorId="0" ref="M65">
      <text>
        <t xml:space="preserve">Illustrative generic shade assigned to this colour name for display. This is NOT a sourced or certified club-brand HEX value.</t>
      </text>
    </comment>
    <comment authorId="0" ref="M32">
      <text>
        <t xml:space="preserve">Illustrative generic shade assigned to this colour name for display. This is NOT a sourced or certified club-brand HEX value.</t>
      </text>
    </comment>
    <comment authorId="0" ref="L82">
      <text>
        <t xml:space="preserve">Illustrative generic shade assigned to this colour name for display. This is NOT a sourced or certified club-brand HEX value.</t>
      </text>
    </comment>
    <comment authorId="0" ref="L49">
      <text>
        <t xml:space="preserve">Illustrative generic shade assigned to this colour name for display. This is NOT a sourced or certified club-brand HEX value.</t>
      </text>
    </comment>
    <comment authorId="0" ref="M82">
      <text>
        <t xml:space="preserve">Illustrative generic shade assigned to this colour name for display. This is NOT a sourced or certified club-brand HEX value.</t>
      </text>
    </comment>
    <comment authorId="0" ref="L16">
      <text>
        <t xml:space="preserve">Illustrative generic shade assigned to this colour name for display. This is NOT a sourced or certified club-brand HEX value.</t>
      </text>
    </comment>
    <comment authorId="0" ref="M49">
      <text>
        <t xml:space="preserve">Illustrative generic shade assigned to this colour name for display. This is NOT a sourced or certified club-brand HEX value.</t>
      </text>
    </comment>
    <comment authorId="0" ref="M16">
      <text>
        <t xml:space="preserve">Illustrative generic shade assigned to this colour name for display. This is NOT a sourced or certified club-brand HEX value.</t>
      </text>
    </comment>
    <comment authorId="0" ref="L99">
      <text>
        <t xml:space="preserve">Illustrative generic shade assigned to this colour name for display. This is NOT a sourced or certified club-brand HEX value.</t>
      </text>
    </comment>
    <comment authorId="0" ref="L66">
      <text>
        <t xml:space="preserve">Illustrative generic shade assigned to this colour name for display. This is NOT a sourced or certified club-brand HEX value.</t>
      </text>
    </comment>
    <comment authorId="0" ref="M99">
      <text>
        <t xml:space="preserve">Illustrative generic shade assigned to this colour name for display. This is NOT a sourced or certified club-brand HEX value.</t>
      </text>
    </comment>
    <comment authorId="0" ref="L33">
      <text>
        <t xml:space="preserve">Illustrative generic shade assigned to this colour name for display. This is NOT a sourced or certified club-brand HEX value.</t>
      </text>
    </comment>
    <comment authorId="0" ref="M66">
      <text>
        <t xml:space="preserve">Illustrative generic shade assigned to this colour name for display. This is NOT a sourced or certified club-brand HEX value.</t>
      </text>
    </comment>
    <comment authorId="0" ref="M33">
      <text>
        <t xml:space="preserve">Illustrative generic shade assigned to this colour name for display. This is NOT a sourced or certified club-brand HEX value.</t>
      </text>
    </comment>
    <comment authorId="0" ref="L83">
      <text>
        <t xml:space="preserve">Illustrative generic shade assigned to this colour name for display. This is NOT a sourced or certified club-brand HEX value.</t>
      </text>
    </comment>
    <comment authorId="0" ref="L50">
      <text>
        <t xml:space="preserve">Illustrative generic shade assigned to this colour name for display. This is NOT a sourced or certified club-brand HEX value.</t>
      </text>
    </comment>
    <comment authorId="0" ref="M83">
      <text>
        <t xml:space="preserve">Illustrative generic shade assigned to this colour name for display. This is NOT a sourced or certified club-brand HEX value.</t>
      </text>
    </comment>
    <comment authorId="0" ref="L17">
      <text>
        <t xml:space="preserve">Illustrative generic shade assigned to this colour name for display. This is NOT a sourced or certified club-brand HEX value.</t>
      </text>
    </comment>
    <comment authorId="0" ref="M50">
      <text>
        <t xml:space="preserve">Illustrative generic shade assigned to this colour name for display. This is NOT a sourced or certified club-brand HEX value.</t>
      </text>
    </comment>
    <comment authorId="0" ref="M17">
      <text>
        <t xml:space="preserve">Illustrative generic shade assigned to this colour name for display. This is NOT a sourced or certified club-brand HEX value.</t>
      </text>
    </comment>
  </commentList>
</comments>
</file>

<file path=xl/sharedStrings.xml><?xml version="1.0" encoding="utf-8"?>
<sst xmlns="http://schemas.openxmlformats.org/spreadsheetml/2006/main" count="32386" uniqueCount="2133">
  <si>
    <t>FOOTBALL TEAMS | 2026/27</t>
  </si>
  <si>
    <t>Men's football  /  Eight domestic league systems + three UEFA competitions  /  Checked 11 September 2026</t>
  </si>
  <si>
    <t>START HERE  |  All Teams is the complete filterable list. Country tabs contain domestic teams only; UEFA has the three league phases.</t>
  </si>
  <si>
    <t>TEAM-COMPETITION ENTRIES</t>
  </si>
  <si>
    <t>DOMESTIC ENTRIES</t>
  </si>
  <si>
    <t>CLUB COLOURS | COVERAGE &amp; GUIDE</t>
  </si>
  <si>
    <t>UEFA ENTRIES</t>
  </si>
  <si>
    <t>COMPETITIONS</t>
  </si>
  <si>
    <t>Reference colour enrichment of the original workbook. No external account connection or jersey images are required.</t>
  </si>
  <si>
    <t>Open Club Colours  |  Filter Coverage for gaps, and Evidence basis for historical or inferred palettes.</t>
  </si>
  <si>
    <t>DISTINCT TEAMS</t>
  </si>
  <si>
    <t>BOTH COLOURS</t>
  </si>
  <si>
    <t>PRIMARY ONLY</t>
  </si>
  <si>
    <t>NEEDS VERIFICATION</t>
  </si>
  <si>
    <t>Counts are competition memberships, not unique clubs: a club may appear domestically and in UEFA. Reserve sides remain separate teams.</t>
  </si>
  <si>
    <t>DOMESTIC COVERAGE</t>
  </si>
  <si>
    <t>UEFA LEAGUE PHASE</t>
  </si>
  <si>
    <t>Country / league system</t>
  </si>
  <si>
    <t>Tier 1</t>
  </si>
  <si>
    <t>Tier 2</t>
  </si>
  <si>
    <t>Tier 3</t>
  </si>
  <si>
    <t>Total</t>
  </si>
  <si>
    <t>Competition</t>
  </si>
  <si>
    <t>Teams</t>
  </si>
  <si>
    <t>England</t>
  </si>
  <si>
    <t>CLUB COLOURS | REFERENCE DIRECTORY</t>
  </si>
  <si>
    <t>735 distinct original team names  |  Colour names + illustrative swatches  |  Not a current-kit or certified brand-colour database</t>
  </si>
  <si>
    <t>Open Colour Guide for coverage, definitions and limitations.  |  Open Overview for the original competition scope.</t>
  </si>
  <si>
    <t>Coverage means that fields are populated, not that every palette is official or current. Read the evidence basis before using a pair in production.</t>
  </si>
  <si>
    <t>Team</t>
  </si>
  <si>
    <t>DISTINCT-TEAM COVERAGE BY ORIGINAL LEAGUE SYSTEM</t>
  </si>
  <si>
    <t>Country / system</t>
  </si>
  <si>
    <t>Champions League</t>
  </si>
  <si>
    <t>Primary colour</t>
  </si>
  <si>
    <t>Both</t>
  </si>
  <si>
    <t>Primary only</t>
  </si>
  <si>
    <t>Missing</t>
  </si>
  <si>
    <t>Pair coverage</t>
  </si>
  <si>
    <t>Secondary colour</t>
  </si>
  <si>
    <t>Spain</t>
  </si>
  <si>
    <t>Primary HEX
(illustrative)</t>
  </si>
  <si>
    <t>Secondary HEX
(illustrative)</t>
  </si>
  <si>
    <t>Coverage</t>
  </si>
  <si>
    <t>Evidence basis</t>
  </si>
  <si>
    <t>Colour source ID</t>
  </si>
  <si>
    <t>Colour source URL</t>
  </si>
  <si>
    <t>Reference year</t>
  </si>
  <si>
    <t>Colour notes</t>
  </si>
  <si>
    <t>AFC Wimbledon</t>
  </si>
  <si>
    <t>Europa League</t>
  </si>
  <si>
    <t>Royal blue</t>
  </si>
  <si>
    <t>Italy</t>
  </si>
  <si>
    <t>Yellow</t>
  </si>
  <si>
    <t>#2458CE</t>
  </si>
  <si>
    <t>#FFD633</t>
  </si>
  <si>
    <t>Both colours</t>
  </si>
  <si>
    <t>Club colours reference</t>
  </si>
  <si>
    <t>C007</t>
  </si>
  <si>
    <t>Conference League</t>
  </si>
  <si>
    <t>https://en.wikipedia.org/wiki/AFC_Wimbledon</t>
  </si>
  <si>
    <t>Germany</t>
  </si>
  <si>
    <t>Arsenal</t>
  </si>
  <si>
    <t>TOTAL UEFA</t>
  </si>
  <si>
    <t>Red</t>
  </si>
  <si>
    <t>White</t>
  </si>
  <si>
    <t>#D32F2F</t>
  </si>
  <si>
    <t>France</t>
  </si>
  <si>
    <t>#FFFFFF</t>
  </si>
  <si>
    <t>Historical kit reference</t>
  </si>
  <si>
    <t>C192</t>
  </si>
  <si>
    <t>https://www.rsssf.org/colours/england.html</t>
  </si>
  <si>
    <t>Romania</t>
  </si>
  <si>
    <t>ALL TEAMS | TEAM DIRECTORY</t>
  </si>
  <si>
    <t>2006</t>
  </si>
  <si>
    <t>Historical reference dated 2006. Traditional home-kit reference; not a 2026/27 kit check.</t>
  </si>
  <si>
    <t>Aston Villa</t>
  </si>
  <si>
    <t>Claret</t>
  </si>
  <si>
    <t>CLUB COLOURS | REFERENCE DATA</t>
  </si>
  <si>
    <t>Sky blue</t>
  </si>
  <si>
    <t>#7F1734</t>
  </si>
  <si>
    <t>Open Competitions to check expected versus listed team counts for every league.</t>
  </si>
  <si>
    <t>#87CEEB</t>
  </si>
  <si>
    <t>Greece</t>
  </si>
  <si>
    <t>2026/27 except Finland 2026  |  Domestic + UEFA memberships  |  League phase only for UEFA  |  Checked 11 Sep 2026</t>
  </si>
  <si>
    <t>Generic display shades, not official brand HEX values. Historical and inferred palettes are labelled.</t>
  </si>
  <si>
    <t>Return to Overview  |  Filters are in row 6. Sources and scope notes are included in this workbook.</t>
  </si>
  <si>
    <t>Barnsley</t>
  </si>
  <si>
    <t>Open Club Colours for a compact colour-only directory and approximate HEX codes.</t>
  </si>
  <si>
    <t>Finland</t>
  </si>
  <si>
    <t>Birmingham City</t>
  </si>
  <si>
    <t>Other UEFA associations</t>
  </si>
  <si>
    <t>Tier</t>
  </si>
  <si>
    <t>Blue</t>
  </si>
  <si>
    <t>Group / phase</t>
  </si>
  <si>
    <t>Season</t>
  </si>
  <si>
    <t>Open Sources for the source register. Every team row also contains its source URL.</t>
  </si>
  <si>
    <t>Scope</t>
  </si>
  <si>
    <t>#1565C0</t>
  </si>
  <si>
    <t>TOTAL DOMESTIC</t>
  </si>
  <si>
    <t>Team type</t>
  </si>
  <si>
    <t>TOTAL</t>
  </si>
  <si>
    <t>SCOPE AND READING NOTES</t>
  </si>
  <si>
    <t>Blackburn Rovers</t>
  </si>
  <si>
    <t>SEASONS</t>
  </si>
  <si>
    <t>2026/27 for all competitions except Finland's domestic leagues, which use the 2026 calendar-year season.</t>
  </si>
  <si>
    <t>Notes</t>
  </si>
  <si>
    <t>UEFA</t>
  </si>
  <si>
    <t>METHOD, SCOPE AND LIMITATIONS</t>
  </si>
  <si>
    <t>Only the 36 league-phase entrants per competition are listed. Clubs eliminated in qualifying are excluded. UEFA rows cover all associations, not only the eight domestic countries.</t>
  </si>
  <si>
    <t>Source ID</t>
  </si>
  <si>
    <t>Identity and kit references</t>
  </si>
  <si>
    <t>Source URL</t>
  </si>
  <si>
    <t>The intended fields describe club identity colours. Where a source instead documents a traditional home-kit pair, that distinction is explicit in Evidence basis. No away-jersey colours have been substituted silently.</t>
  </si>
  <si>
    <t>THIRD TIERS</t>
  </si>
  <si>
    <t>Colour order</t>
  </si>
  <si>
    <t>Primary and secondary are display fields, not a certified ranking by the club. Co-primary pairs may be equally important. Known third colours and accent-only cases are recorded in Colour notes.</t>
  </si>
  <si>
    <t>Every regional group is included. Group labels are opening-phase allocations; later play-off or continuation splits are not counted as separate leagues. Reserve teams are explicitly labelled.</t>
  </si>
  <si>
    <t>Colour coverage</t>
  </si>
  <si>
    <t>Blackpool</t>
  </si>
  <si>
    <t>HEX and swatches</t>
  </si>
  <si>
    <t>Colour evidence basis</t>
  </si>
  <si>
    <t>COUNTRY FIELD</t>
  </si>
  <si>
    <t>The HEX codes and cell fills are generic, illustrative shades for the colour names. They are not official club-brand values and must not be used as production branding specifications.</t>
  </si>
  <si>
    <t>Country means domestic league system or UEFA association, not necessarily geographic location. Cardiff City, Swansea City and Wrexham are under England; FC Andorra is under Spain; Monaco is under France.</t>
  </si>
  <si>
    <t>Tangerine</t>
  </si>
  <si>
    <t>Historical / inferred</t>
  </si>
  <si>
    <t>Historical references retain their source dates and require checking before current-kit use. Reserve-team colours are marked as inherited where only the parent-club palette was sourced.</t>
  </si>
  <si>
    <t>SEASON-SPECIFIC NOTES</t>
  </si>
  <si>
    <t>Unconfirmed fields</t>
  </si>
  <si>
    <t>France's third tier is Ligue 3 (formerly National). Greece's Super League 2 is a unified division. Finland's second and third tiers are Ykkösliiga and Ykkönen.</t>
  </si>
  <si>
    <t>A blank pair means no sufficiently clear source was established in this pass. "Not specified" means a primary colour was sourced but no defensible secondary was established. Neither means the club has no colours.</t>
  </si>
  <si>
    <t>Original roster retained</t>
  </si>
  <si>
    <t>SNAPSHOT CAUTION</t>
  </si>
  <si>
    <t>The 779 original membership rows and 735 distinct team names are retained. This is a colour-enrichment pass, not a new audit of league membership. Any roster issue encountered is noted rather than silently changing the list.</t>
  </si>
  <si>
    <t>#F28500</t>
  </si>
  <si>
    <t>Jersey images and access</t>
  </si>
  <si>
    <t>Home and away jersey images are omitted, as requested. No Firecrawl or other new account connection was used. Source links are ordinary public references.</t>
  </si>
  <si>
    <t>Greek Gamma Ethniki rows are published entrants before the season starts. This is a static snapshot checked on 11 September 2026, not a live feed. Source register labels official and secondary references.</t>
  </si>
  <si>
    <t>Review date / freshness</t>
  </si>
  <si>
    <t>Research was reviewed on 11 September 2026. That date is not a claim that every historical palette remains the current kit, nor that a source has certified the generic display shades.</t>
  </si>
  <si>
    <t>EVIDENCE BASIS | DISTINCT TEAMS</t>
  </si>
  <si>
    <t>Premier League</t>
  </si>
  <si>
    <t>ILLUSTRATIVE DISPLAY PALETTE</t>
  </si>
  <si>
    <t>NEW | CLUB COLOUR REFERENCES</t>
  </si>
  <si>
    <t>Club colour plus documented accent</t>
  </si>
  <si>
    <t>Bolton Wanderers</t>
  </si>
  <si>
    <t>Single division</t>
  </si>
  <si>
    <t>Colour names are now appended to All Teams, every country tab and UEFA. The dedicated Club Colours tab provides a compact directory, sources and illustrative HEX values.</t>
  </si>
  <si>
    <t>2026/27</t>
  </si>
  <si>
    <t>Domestic</t>
  </si>
  <si>
    <t>Navy blue</t>
  </si>
  <si>
    <t>First team</t>
  </si>
  <si>
    <t>S01</t>
  </si>
  <si>
    <t>#172B4D</t>
  </si>
  <si>
    <t>Amaranth</t>
  </si>
  <si>
    <t>https://www.premierleague.com/en/clubs</t>
  </si>
  <si>
    <t>C023</t>
  </si>
  <si>
    <t>https://en.wikipedia.org/wiki/Bolton_Wanderers_F.C.</t>
  </si>
  <si>
    <t>#A52A50</t>
  </si>
  <si>
    <t>Amber</t>
  </si>
  <si>
    <t>Red is an additional trim colour.</t>
  </si>
  <si>
    <t>Bournemouth</t>
  </si>
  <si>
    <t>#FFBF00</t>
  </si>
  <si>
    <t>Colour nickname reference</t>
  </si>
  <si>
    <t>Black</t>
  </si>
  <si>
    <t>#111111</t>
  </si>
  <si>
    <t>Historical club-colours reference</t>
  </si>
  <si>
    <t>C028</t>
  </si>
  <si>
    <t>https://en.wikipedia.org/wiki/AFC_Bournemouth</t>
  </si>
  <si>
    <t>Bradford City</t>
  </si>
  <si>
    <t>Brown</t>
  </si>
  <si>
    <t>Not all palettes are current or official. Historical references and parent-team inferences are labelled; missing values are left unguessed. Generic swatches are not official club-brand colours.</t>
  </si>
  <si>
    <t>#795548</t>
  </si>
  <si>
    <t>Official club reference</t>
  </si>
  <si>
    <t>Open Club Colours: colour-only directory, filters, sources and illustrative HEX codes</t>
  </si>
  <si>
    <t>Open Colour Guide: coverage by country, evidence types and limitations</t>
  </si>
  <si>
    <t>Burgundy</t>
  </si>
  <si>
    <t>Open Colour Sources: source dates, publishers and reference register</t>
  </si>
  <si>
    <t>#800020</t>
  </si>
  <si>
    <t>Official home-kit reference</t>
  </si>
  <si>
    <t>Cherry red</t>
  </si>
  <si>
    <t>Brentford</t>
  </si>
  <si>
    <t>#B5123B</t>
  </si>
  <si>
    <t>C029</t>
  </si>
  <si>
    <t>Official league reference</t>
  </si>
  <si>
    <t>https://en.wikipedia.org/wiki/Brentford_F.C.</t>
  </si>
  <si>
    <t>Black is an additional traditional kit colour.</t>
  </si>
  <si>
    <t>Parent-club palette (inferred)</t>
  </si>
  <si>
    <t>Brighton and Hove Albion</t>
  </si>
  <si>
    <t>Crimson</t>
  </si>
  <si>
    <t>#DC143C</t>
  </si>
  <si>
    <t>Third-party palette reference</t>
  </si>
  <si>
    <t>Garnet</t>
  </si>
  <si>
    <t>#733635</t>
  </si>
  <si>
    <t>Bristol City</t>
  </si>
  <si>
    <t>Traditional kit reference</t>
  </si>
  <si>
    <t>Gold</t>
  </si>
  <si>
    <t>#D4AF37</t>
  </si>
  <si>
    <t>Unresolved</t>
  </si>
  <si>
    <t>Green</t>
  </si>
  <si>
    <t>#15803D</t>
  </si>
  <si>
    <t>Grey</t>
  </si>
  <si>
    <t>#808080</t>
  </si>
  <si>
    <t>Maroon</t>
  </si>
  <si>
    <t>#800000</t>
  </si>
  <si>
    <t>Mauve</t>
  </si>
  <si>
    <t>#B784B7</t>
  </si>
  <si>
    <t>Bromley</t>
  </si>
  <si>
    <t>Old gold</t>
  </si>
  <si>
    <t>#CFB53B</t>
  </si>
  <si>
    <t>Orange</t>
  </si>
  <si>
    <t>#F28C28</t>
  </si>
  <si>
    <t>Pink</t>
  </si>
  <si>
    <t>#F4A6C1</t>
  </si>
  <si>
    <t>C030</t>
  </si>
  <si>
    <t>https://teamcolorcodes.com/bromley-f-c-color-codes/</t>
  </si>
  <si>
    <t>Traditional white/black pair selected from the published logo palette, which also includes tan and red; not a 2026/27 kit check.</t>
  </si>
  <si>
    <t>Burnley</t>
  </si>
  <si>
    <t>Violet</t>
  </si>
  <si>
    <t>#7F3FBF</t>
  </si>
  <si>
    <t>Burton Albion</t>
  </si>
  <si>
    <t>C031</t>
  </si>
  <si>
    <t>https://en.wikipedia.org/wiki/Burton_Albion_F.C.</t>
  </si>
  <si>
    <t>Cambridge United</t>
  </si>
  <si>
    <t>C032</t>
  </si>
  <si>
    <t>https://en.wikipedia.org/wiki/Cambridge_United_F.C.</t>
  </si>
  <si>
    <t>Cardiff City</t>
  </si>
  <si>
    <t>Chelsea</t>
  </si>
  <si>
    <t>Charlton Athletic</t>
  </si>
  <si>
    <t>Coventry City</t>
  </si>
  <si>
    <t>https://en.wikipedia.org/wiki/Coventry_City_F.C.</t>
  </si>
  <si>
    <t>White is a traditional accent; sky blue is the defining colour.</t>
  </si>
  <si>
    <t>Crystal Palace</t>
  </si>
  <si>
    <t>C052</t>
  </si>
  <si>
    <t>COMPETITIONS | COVERAGE CHECK</t>
  </si>
  <si>
    <t>Everton</t>
  </si>
  <si>
    <t>Derby County</t>
  </si>
  <si>
    <t>27 competitions  |  Expected membership compared with rows in All Teams  |  Group counts include all regional divisions</t>
  </si>
  <si>
    <t>Doncaster Rovers</t>
  </si>
  <si>
    <t>Fulham</t>
  </si>
  <si>
    <t>Groups</t>
  </si>
  <si>
    <t>Expected teams</t>
  </si>
  <si>
    <t>Listed teams</t>
  </si>
  <si>
    <t>Check</t>
  </si>
  <si>
    <t>Hull City</t>
  </si>
  <si>
    <t>Huddersfield Town</t>
  </si>
  <si>
    <t>Ipswich Town</t>
  </si>
  <si>
    <t>Leeds United</t>
  </si>
  <si>
    <t>EFL Championship</t>
  </si>
  <si>
    <t>Historical reference dated 2006. Traditional home-kit reference; not a 2026/27 kit check. Yellow is an additional colour.</t>
  </si>
  <si>
    <t>Leicester City</t>
  </si>
  <si>
    <t>S02</t>
  </si>
  <si>
    <t>Leyton Orient</t>
  </si>
  <si>
    <t>https://www.efl.com/news/2026/august/22/sky-bet-championship-results--table---stats/</t>
  </si>
  <si>
    <t>EFL League One</t>
  </si>
  <si>
    <t>Lincoln City</t>
  </si>
  <si>
    <t>S03</t>
  </si>
  <si>
    <t>https://www.efl.com/competitions/efl-league-one/</t>
  </si>
  <si>
    <t>Liverpool</t>
  </si>
  <si>
    <t>LaLiga</t>
  </si>
  <si>
    <t>C144</t>
  </si>
  <si>
    <t>https://en.wikipedia.org/wiki/Liverpool_F.C.</t>
  </si>
  <si>
    <t>White is a historical secondary/accent colour; the usual home strip is all red.</t>
  </si>
  <si>
    <t>Luton Town</t>
  </si>
  <si>
    <t>S04</t>
  </si>
  <si>
    <t>https://www.laliga.com/en-GB/laliga-easports/clubs</t>
  </si>
  <si>
    <t>C148</t>
  </si>
  <si>
    <t>https://en.wikipedia.org/wiki/Luton_Town_F.C.</t>
  </si>
  <si>
    <t>Segunda División</t>
  </si>
  <si>
    <t>White is an additional club colour.</t>
  </si>
  <si>
    <t>Manchester City</t>
  </si>
  <si>
    <t>S05</t>
  </si>
  <si>
    <t>https://www.laliga.com/en-GB/laliga-hypermotion/clubs</t>
  </si>
  <si>
    <t>ENGLAND | TEAM DIRECTORY</t>
  </si>
  <si>
    <t>Primera Federación</t>
  </si>
  <si>
    <t>Manchester United</t>
  </si>
  <si>
    <t>Men's domestic football  |  Season 2026/27  |  Top three tiers, all regional groups  |  Checked 11 Sep 2026</t>
  </si>
  <si>
    <t>Historical reference dated 2006. Traditional home-kit reference; not a 2026/27 kit check. Black is an additional colour.</t>
  </si>
  <si>
    <t>Both regional groups included. This is the third tier, not Segunda Federacion.</t>
  </si>
  <si>
    <t>Mansfield Town</t>
  </si>
  <si>
    <t>S06</t>
  </si>
  <si>
    <t>https://rfef.es/es/noticias/aprobados-los-grupos-de-primera-federacion-para-la-temporada-202627</t>
  </si>
  <si>
    <t>Serie A</t>
  </si>
  <si>
    <t>Middlesbrough</t>
  </si>
  <si>
    <t>S07</t>
  </si>
  <si>
    <t>https://sport.virgilio.it/calcio/squadre/</t>
  </si>
  <si>
    <t>Millwall</t>
  </si>
  <si>
    <t>Serie B</t>
  </si>
  <si>
    <t>Serie C</t>
  </si>
  <si>
    <t>MK Dons</t>
  </si>
  <si>
    <t>Newcastle United</t>
  </si>
  <si>
    <t>All three regional groups included.</t>
  </si>
  <si>
    <t>S08</t>
  </si>
  <si>
    <t>https://it.blastingnews.com/calcio/2026/07/ultimora-serie-c-svelati-i-gironi-ufficiali-2026-27-004083523.html</t>
  </si>
  <si>
    <t>Bundesliga</t>
  </si>
  <si>
    <t>Nottingham Forest</t>
  </si>
  <si>
    <t>S09</t>
  </si>
  <si>
    <t>https://en.wikipedia.org/wiki/2026%E2%80%9327_Bundesliga</t>
  </si>
  <si>
    <t>Norwich City</t>
  </si>
  <si>
    <t>2. Bundesliga</t>
  </si>
  <si>
    <t>S10</t>
  </si>
  <si>
    <t>https://www.bundesliga.com/de/2bundesliga/tabelle?view=full</t>
  </si>
  <si>
    <t>3. Liga</t>
  </si>
  <si>
    <t>Sunderland</t>
  </si>
  <si>
    <t>Notts County</t>
  </si>
  <si>
    <t>Licensed field; TSV Havelse replaces TSV 1860 Munich.</t>
  </si>
  <si>
    <t>S11</t>
  </si>
  <si>
    <t>https://www.dfb.de/news/teilnehmerfeld-der-3-liga-steht-fest-havelse-rueckt-fuer-1860-nach</t>
  </si>
  <si>
    <t>Oxford United</t>
  </si>
  <si>
    <t>Ligue 1</t>
  </si>
  <si>
    <t>Tottenham Hotspur</t>
  </si>
  <si>
    <t>C130</t>
  </si>
  <si>
    <t>https://www.football-stadiums.co.uk/articles/football-club-kit-colours/</t>
  </si>
  <si>
    <t>S12</t>
  </si>
  <si>
    <t>https://ligue1.com/en/articles/l1_article_5292-the-2026-27-ligue-1-mc-donald-s-calendar-is-released</t>
  </si>
  <si>
    <t>Peterborough United</t>
  </si>
  <si>
    <t>Ligue 2</t>
  </si>
  <si>
    <t>Plymouth Argyle</t>
  </si>
  <si>
    <t>S13</t>
  </si>
  <si>
    <t>https://en.wikipedia.org/wiki/2026%E2%80%9327_Ligue_2</t>
  </si>
  <si>
    <t>Ligue 3</t>
  </si>
  <si>
    <t>Portsmouth</t>
  </si>
  <si>
    <t>Formerly Championnat National; renamed Ligue 3 for 2026/27.</t>
  </si>
  <si>
    <t>S14</t>
  </si>
  <si>
    <t>https://www.fff.fr/article/17022-le-calendrier-2026-2027-est-servi.html</t>
  </si>
  <si>
    <t>Historical reference dated 2006. Traditional home-kit reference; not a 2026/27 kit check. Red is an additional colour.</t>
  </si>
  <si>
    <t>Preston North End</t>
  </si>
  <si>
    <t>SuperLiga</t>
  </si>
  <si>
    <t>S16</t>
  </si>
  <si>
    <t>https://lpf.ro/liga-1</t>
  </si>
  <si>
    <t>Queens Park Rangers</t>
  </si>
  <si>
    <t>Liga II</t>
  </si>
  <si>
    <t>S17</t>
  </si>
  <si>
    <t>https://www.frf.ro/competitii/competitii-masculin/liga-2-casa-pariurilor/au-fost-stabilite-meciurile-sezonului-regular-2026-2027-din-liga-2-casa-pariurilor/</t>
  </si>
  <si>
    <t>Liga III</t>
  </si>
  <si>
    <t>All eight regional series included; 12 entrants per series.</t>
  </si>
  <si>
    <t>S20</t>
  </si>
  <si>
    <t>Reading</t>
  </si>
  <si>
    <t>https://www.frf.ro/recomandate/s-a-tras-la-sorti-programul-seriilor-din-superscore-liga-3-editia-2026-2027/</t>
  </si>
  <si>
    <t>Super League</t>
  </si>
  <si>
    <t>S21</t>
  </si>
  <si>
    <t>https://www.slgr.gr/en/teams/</t>
  </si>
  <si>
    <t>Sheffield United</t>
  </si>
  <si>
    <t>Super League 2</t>
  </si>
  <si>
    <t>Unified division in 2026/27; not the previous two-group format.</t>
  </si>
  <si>
    <t>S22</t>
  </si>
  <si>
    <t>https://en.wikipedia.org/wiki/2026%E2%80%9327_Super_League_Greece_2</t>
  </si>
  <si>
    <t>Sheffield Wednesday</t>
  </si>
  <si>
    <t>Gamma Ethniki</t>
  </si>
  <si>
    <t>Published pre-season entrants: all ten groups; opening matches are scheduled after the snapshot date.</t>
  </si>
  <si>
    <t>Welsh club in the English league system.</t>
  </si>
  <si>
    <t>S23</t>
  </si>
  <si>
    <t>https://en.wikipedia.org/wiki/2026%E2%80%9327_Gamma_Ethniki</t>
  </si>
  <si>
    <t>Southampton</t>
  </si>
  <si>
    <t>Veikkausliiga</t>
  </si>
  <si>
    <t>2026</t>
  </si>
  <si>
    <t>S28</t>
  </si>
  <si>
    <t>https://www.veikkausliiga.com/tilastot/joukkueet/</t>
  </si>
  <si>
    <t>Stevenage</t>
  </si>
  <si>
    <t>Ykkösliiga</t>
  </si>
  <si>
    <t>S29</t>
  </si>
  <si>
    <t>https://www.transfermarkt.co.uk/ykkonen/startseite/wettbewerb/FI2</t>
  </si>
  <si>
    <t>C221</t>
  </si>
  <si>
    <t>https://en.wikipedia.org/wiki/Stevenage_F.C.</t>
  </si>
  <si>
    <t>Ykkönen</t>
  </si>
  <si>
    <t>Stockport County</t>
  </si>
  <si>
    <t>Ykkonen is the third tier; all regular-season participants included once.</t>
  </si>
  <si>
    <t>S30</t>
  </si>
  <si>
    <t>https://www.palloliitto.fi/ajankohtaista/ykkosen-jatkosarjojen-ohjelma-kaudelle-2026-julkaistu</t>
  </si>
  <si>
    <t>UEFA Champions League</t>
  </si>
  <si>
    <t>-</t>
  </si>
  <si>
    <t>League phase only; qualifying-only entrants excluded.</t>
  </si>
  <si>
    <t>Stoke City</t>
  </si>
  <si>
    <t>S32</t>
  </si>
  <si>
    <t>https://www.uefa.com/uefachampionsleague/news/02a6-20d57cfcd03e-407c22a7f465-1000--2026-27-champions-league-teams-dates-draws-format-final/</t>
  </si>
  <si>
    <t>UEFA Europa League</t>
  </si>
  <si>
    <t>S33</t>
  </si>
  <si>
    <t>https://www.uefa.com/uefaeuropaleague/clubs/</t>
  </si>
  <si>
    <t>UEFA Conference League</t>
  </si>
  <si>
    <t>S34</t>
  </si>
  <si>
    <t>https://www.uefa.com/uefaconferenceleague/news/02a8-21737138dae7-37bfb18d9aa7-1000--2026-27-conference-league-who-has-qualified-for-the-league-/</t>
  </si>
  <si>
    <t>Swansea City</t>
  </si>
  <si>
    <t>Watford</t>
  </si>
  <si>
    <t>West Bromwich Albion</t>
  </si>
  <si>
    <t>C259</t>
  </si>
  <si>
    <t>https://en.wikipedia.org/wiki/West_Bromwich_Albion_F.C.</t>
  </si>
  <si>
    <t>West Ham United</t>
  </si>
  <si>
    <t>Wigan Athletic</t>
  </si>
  <si>
    <t>Wolverhampton Wanderers</t>
  </si>
  <si>
    <t>Wrexham</t>
  </si>
  <si>
    <t>C260</t>
  </si>
  <si>
    <t>https://en.wikipedia.org/wiki/Wrexham_A.F.C.</t>
  </si>
  <si>
    <t>Wycombe Wanderers</t>
  </si>
  <si>
    <t>AD Ceuta</t>
  </si>
  <si>
    <t>SPAIN | TEAM DIRECTORY</t>
  </si>
  <si>
    <t>C005</t>
  </si>
  <si>
    <t>https://www.rtvce.es/articulo/deportes/tradicion-innovacion-nuevas-equipaciones-ad-ceuta/20260727200148101725.html</t>
  </si>
  <si>
    <t>Red is an additional accent; the quoted manufacturer statement identifies the black/white club palette.</t>
  </si>
  <si>
    <t>Albacete</t>
  </si>
  <si>
    <t>Athletic Club</t>
  </si>
  <si>
    <t>C010</t>
  </si>
  <si>
    <t>https://fr.wikipedia.org/wiki/Albacete_Balompi%C3%A9</t>
  </si>
  <si>
    <t>Black is a third colour.</t>
  </si>
  <si>
    <t>Alcorcón</t>
  </si>
  <si>
    <t>https://www.rsssf.org/colours/spain.html</t>
  </si>
  <si>
    <t>C200</t>
  </si>
  <si>
    <t>Historical reference dated 2008. Traditional palette from a 2008 home-kit reference; not a current-season kit check. Black is an additional colour.</t>
  </si>
  <si>
    <t>Atlético de Madrid</t>
  </si>
  <si>
    <t>2008</t>
  </si>
  <si>
    <t>Historical reference dated 2008. Traditional palette from a 2008 home-kit reference; not a current-season kit check.</t>
  </si>
  <si>
    <t>Algeciras</t>
  </si>
  <si>
    <t>Historical reference dated 2008. Traditional palette from a 2008 home-kit reference; not a current-season kit check. Blue is an additional colour.</t>
  </si>
  <si>
    <t>Barcelona</t>
  </si>
  <si>
    <t>Almería</t>
  </si>
  <si>
    <t>Celta Vigo</t>
  </si>
  <si>
    <t>Antequera</t>
  </si>
  <si>
    <t>Deportivo Alavés</t>
  </si>
  <si>
    <t>Arenas Club</t>
  </si>
  <si>
    <t>C015</t>
  </si>
  <si>
    <t>https://fr.wikipedia.org/wiki/Arenas_Club_de_Getxo</t>
  </si>
  <si>
    <t>Deportivo La Coruña</t>
  </si>
  <si>
    <t>Elche</t>
  </si>
  <si>
    <t>Athletic Club B</t>
  </si>
  <si>
    <t>Espanyol</t>
  </si>
  <si>
    <t>Uses the parent-club identity colours of Athletic Club; reserve-specific palette not independently confirmed. Parent source is a historical reference dated 2008.</t>
  </si>
  <si>
    <t>Getafe</t>
  </si>
  <si>
    <t>Atlético Madrileño</t>
  </si>
  <si>
    <t>Uses the parent-club identity colours of Atlético de Madrid; reserve-specific palette not independently confirmed. Parent source is a historical reference dated 2008.</t>
  </si>
  <si>
    <t>Barakaldo</t>
  </si>
  <si>
    <t>Levante</t>
  </si>
  <si>
    <t>Burgos</t>
  </si>
  <si>
    <t>Málaga</t>
  </si>
  <si>
    <t>Cacereño</t>
  </si>
  <si>
    <t>Osasuna</t>
  </si>
  <si>
    <t>Cartagena</t>
  </si>
  <si>
    <t>https://fr.wikipedia.org/wiki/Club_Atl%C3%A9tico_Osasuna</t>
  </si>
  <si>
    <t>Castellón</t>
  </si>
  <si>
    <t>Racing Santander</t>
  </si>
  <si>
    <t>CE Europa</t>
  </si>
  <si>
    <t>Rayo Vallecano</t>
  </si>
  <si>
    <t>C041</t>
  </si>
  <si>
    <t>https://fr.wikipedia.org/wiki/Club_Esportiu_Europa</t>
  </si>
  <si>
    <t>Celta Fortuna</t>
  </si>
  <si>
    <t>Real Betis</t>
  </si>
  <si>
    <t>Uses the parent-club identity colours of Celta Vigo; reserve-specific palette not independently confirmed. Parent source is a historical reference dated 2008.</t>
  </si>
  <si>
    <t>Coria</t>
  </si>
  <si>
    <t>Real Madrid</t>
  </si>
  <si>
    <t>Needs verification</t>
  </si>
  <si>
    <t>No sufficiently clear colour source was established in this research pass. Values are left blank rather than guessed.</t>
  </si>
  <si>
    <t>Real Sociedad</t>
  </si>
  <si>
    <t>Cultural Leonesa</t>
  </si>
  <si>
    <t>C064</t>
  </si>
  <si>
    <t>https://fr.wikipedia.org/wiki/Cultural_y_Deportiva_Leonesa</t>
  </si>
  <si>
    <t>Sevilla</t>
  </si>
  <si>
    <t>Cádiz</t>
  </si>
  <si>
    <t>Valencia</t>
  </si>
  <si>
    <t>Córdoba</t>
  </si>
  <si>
    <t>Villarreal</t>
  </si>
  <si>
    <t>Deportivo Fabril</t>
  </si>
  <si>
    <t>Uses the parent-club identity colours of Deportivo La Coruña; reserve-specific palette not independently confirmed. Parent source is a historical reference dated 2008.</t>
  </si>
  <si>
    <t>Eibar</t>
  </si>
  <si>
    <t>Eldense</t>
  </si>
  <si>
    <t>C073</t>
  </si>
  <si>
    <t>https://es.wikipedia.org/wiki/Club_Deportivo_Eldense</t>
  </si>
  <si>
    <t>Extremadura</t>
  </si>
  <si>
    <t>C076</t>
  </si>
  <si>
    <t>Reserve team</t>
  </si>
  <si>
    <t>https://es.wikipedia.org/wiki/Club_Deportivo_Extremadura</t>
  </si>
  <si>
    <t>Traditional home palette of the current CD Extremadura, not the defunct Extremadura UD.</t>
  </si>
  <si>
    <t>FC Andorra</t>
  </si>
  <si>
    <t>C078</t>
  </si>
  <si>
    <t>https://es.wikipedia.org/wiki/Futbol_Club_Andorra</t>
  </si>
  <si>
    <t>Red is a third defining club colour; the club is known as the tricolours.</t>
  </si>
  <si>
    <t>Gimnàstic de Tarragona</t>
  </si>
  <si>
    <t>Girona</t>
  </si>
  <si>
    <t>Andorran club in the Spanish league system.</t>
  </si>
  <si>
    <t>Granada</t>
  </si>
  <si>
    <t>Huesca</t>
  </si>
  <si>
    <t>Hércules</t>
  </si>
  <si>
    <t>Juventud de Torremolinos</t>
  </si>
  <si>
    <t>Las Palmas</t>
  </si>
  <si>
    <t>Leganés</t>
  </si>
  <si>
    <t>Mallorca</t>
  </si>
  <si>
    <t>Lugo</t>
  </si>
  <si>
    <t>Real Oviedo</t>
  </si>
  <si>
    <t>https://fr.wikipedia.org/wiki/Real_Oviedo</t>
  </si>
  <si>
    <t>Mirandés</t>
  </si>
  <si>
    <t>Yellow is a third colour.</t>
  </si>
  <si>
    <t>Real Sociedad B</t>
  </si>
  <si>
    <t>Mérida</t>
  </si>
  <si>
    <t>Uses the parent-club identity colours of Real Sociedad; reserve-specific palette not independently confirmed. Parent source is a historical reference dated 2008.</t>
  </si>
  <si>
    <t>Real Valladolid</t>
  </si>
  <si>
    <t>C161</t>
  </si>
  <si>
    <t>Ponferradina</t>
  </si>
  <si>
    <t>Sabadell</t>
  </si>
  <si>
    <t>Pontevedra</t>
  </si>
  <si>
    <t>Sporting Gijón</t>
  </si>
  <si>
    <t>Racing Ferrol</t>
  </si>
  <si>
    <t>Tenerife</t>
  </si>
  <si>
    <t>Rayo Majadahonda</t>
  </si>
  <si>
    <t>Group 1</t>
  </si>
  <si>
    <t>Real Avilés Industrial</t>
  </si>
  <si>
    <t>Real Jaén</t>
  </si>
  <si>
    <t>Not specified</t>
  </si>
  <si>
    <t>C184</t>
  </si>
  <si>
    <t>https://fr.wikipedia.org/wiki/Real_Ja%C3%A9n_Club_de_F%C3%BAtbol</t>
  </si>
  <si>
    <t>Only one defining identity colour is documented in the reference.</t>
  </si>
  <si>
    <t>Real Madrid Castilla</t>
  </si>
  <si>
    <t>Uses the parent-club identity colours of Real Madrid; reserve-specific palette not independently confirmed. Parent source is a historical reference dated 2008.</t>
  </si>
  <si>
    <t>Real Murcia</t>
  </si>
  <si>
    <t>C185</t>
  </si>
  <si>
    <t>Real Unión</t>
  </si>
  <si>
    <t>Real Zaragoza</t>
  </si>
  <si>
    <t>Teruel</t>
  </si>
  <si>
    <t>C228</t>
  </si>
  <si>
    <t>https://fr.wikipedia.org/wiki/Club_Deportivo_Teruel</t>
  </si>
  <si>
    <t>UD Ibiza</t>
  </si>
  <si>
    <t>C238</t>
  </si>
  <si>
    <t>https://fr.wikipedia.org/wiki/Uni%C3%B3n_Deportiva_Ibiza</t>
  </si>
  <si>
    <t>The reference describes the traditional home shirt and shorts, not an official secondary brand colour.</t>
  </si>
  <si>
    <t>UD Logroñés</t>
  </si>
  <si>
    <t>C239</t>
  </si>
  <si>
    <t>https://fr.wikipedia.org/wiki/Uni%C3%B3n_Deportiva_Logro%C3%B1%C3%A9s</t>
  </si>
  <si>
    <t>UD Ourense</t>
  </si>
  <si>
    <t>UE Sant Andreu</t>
  </si>
  <si>
    <t>Unionistas de Salamanca</t>
  </si>
  <si>
    <t>C242</t>
  </si>
  <si>
    <t>https://fr.wikipedia.org/wiki/Unionistas_de_Salamanca_Club_de_F%C3%BAtbol</t>
  </si>
  <si>
    <t>Villarreal B</t>
  </si>
  <si>
    <t>Uses the parent-club identity colours of Villarreal; reserve-specific palette not independently confirmed. Parent source is a historical reference dated 2008.</t>
  </si>
  <si>
    <t>Zamora</t>
  </si>
  <si>
    <t>Águilas</t>
  </si>
  <si>
    <t>C009</t>
  </si>
  <si>
    <t>https://es.wikipedia.org/wiki/%C3%81guilas_F%C3%BAtbol_Club</t>
  </si>
  <si>
    <t>AlbinoLeffe</t>
  </si>
  <si>
    <t>C011</t>
  </si>
  <si>
    <t>https://it.wikipedia.org/wiki/Unione_Calcio_AlbinoLeffe</t>
  </si>
  <si>
    <t>Alcione Milano</t>
  </si>
  <si>
    <t>C012</t>
  </si>
  <si>
    <t>https://it.wikipedia.org/wiki/Alcione_Milano_Societ%C3%A0_Sportiva</t>
  </si>
  <si>
    <t>Group 2</t>
  </si>
  <si>
    <t>Arezzo</t>
  </si>
  <si>
    <t>C016</t>
  </si>
  <si>
    <t>https://it.wikipedia.org/wiki/Societ%C3%A0_Sportiva_Arezzo</t>
  </si>
  <si>
    <t>The source names one defining colour; secondary colour requires verification.</t>
  </si>
  <si>
    <t>Arzignano Valchiampo</t>
  </si>
  <si>
    <t>C017</t>
  </si>
  <si>
    <t>https://it.wikipedia.org/wiki/Football_Club_Arzignano_Valchiampo</t>
  </si>
  <si>
    <t>Ascoli</t>
  </si>
  <si>
    <t>C196</t>
  </si>
  <si>
    <t>https://www.rsssf.org/colours/italy.html</t>
  </si>
  <si>
    <t>2000</t>
  </si>
  <si>
    <t>Historical reference dated 2000. Traditional palette from a 2000 home-kit reference; not a current-season kit check.</t>
  </si>
  <si>
    <t>Atalanta</t>
  </si>
  <si>
    <t>Atalanta U23</t>
  </si>
  <si>
    <t>Uses the parent-club identity colours of Atalanta; reserve-specific palette not independently confirmed. Parent source is a historical reference dated 2000.</t>
  </si>
  <si>
    <t>Audace Cerignola</t>
  </si>
  <si>
    <t>C019</t>
  </si>
  <si>
    <t>https://it.wikipedia.org/wiki/Societ%C3%A0_Sportiva_Audace_Cerignola</t>
  </si>
  <si>
    <t>Avellino</t>
  </si>
  <si>
    <t>Bari</t>
  </si>
  <si>
    <t>Barletta</t>
  </si>
  <si>
    <t>C020</t>
  </si>
  <si>
    <t>https://it.wikipedia.org/wiki/Barletta_1922</t>
  </si>
  <si>
    <t>Benevento</t>
  </si>
  <si>
    <t>C021</t>
  </si>
  <si>
    <t>https://it.wikipedia.org/wiki/Benevento_Calcio</t>
  </si>
  <si>
    <t>Bologna</t>
  </si>
  <si>
    <t>Cagliari</t>
  </si>
  <si>
    <t>Campobasso</t>
  </si>
  <si>
    <t>C033</t>
  </si>
  <si>
    <t>https://it.wikipedia.org/wiki/Campobasso_Football_Club</t>
  </si>
  <si>
    <t>Carpi</t>
  </si>
  <si>
    <t>C035</t>
  </si>
  <si>
    <t>https://it.wikipedia.org/wiki/Carpi_Football_Club_1909</t>
  </si>
  <si>
    <t>Carrarese</t>
  </si>
  <si>
    <t>C036</t>
  </si>
  <si>
    <t>https://it.wikipedia.org/wiki/Carrarese_Calcio_1908</t>
  </si>
  <si>
    <t>Casarano</t>
  </si>
  <si>
    <t>C037</t>
  </si>
  <si>
    <t>https://it.wikipedia.org/wiki/Casarano_Calcio</t>
  </si>
  <si>
    <t>Casertana</t>
  </si>
  <si>
    <t>Catania</t>
  </si>
  <si>
    <t>C038</t>
  </si>
  <si>
    <t>https://it.wikipedia.org/wiki/Catania_Football_Club</t>
  </si>
  <si>
    <t>Catanzaro</t>
  </si>
  <si>
    <t>C039</t>
  </si>
  <si>
    <t>https://it.wikipedia.org/wiki/Unione_Sportiva_Catanzaro_1929</t>
  </si>
  <si>
    <t>Cavese</t>
  </si>
  <si>
    <t>C040</t>
  </si>
  <si>
    <t>https://it.wikipedia.org/wiki/Cavese_1919</t>
  </si>
  <si>
    <t>ITALY | TEAM DIRECTORY</t>
  </si>
  <si>
    <t>Cesena</t>
  </si>
  <si>
    <t>Cittadella</t>
  </si>
  <si>
    <t>C047</t>
  </si>
  <si>
    <t>https://it.wikipedia.org/wiki/Associazione_Sportiva_Cittadella</t>
  </si>
  <si>
    <t>Como</t>
  </si>
  <si>
    <t>Cosenza</t>
  </si>
  <si>
    <t>Cremonese</t>
  </si>
  <si>
    <t>Crotone</t>
  </si>
  <si>
    <t>C053</t>
  </si>
  <si>
    <t>https://it.wikipedia.org/wiki/Football_Club_Crotone</t>
  </si>
  <si>
    <t>Desenzano</t>
  </si>
  <si>
    <t>C065</t>
  </si>
  <si>
    <t>https://www.calciodesenzano.it/2026/08/18/desenzano-f-c-presentata-la-nuova-maglia-away-2026-2027/</t>
  </si>
  <si>
    <t>Club describes its blue/white identity in the 2026/27 kit announcement; lighter blue shades also occur.</t>
  </si>
  <si>
    <t>Dolomiti Bellunesi</t>
  </si>
  <si>
    <t>C069</t>
  </si>
  <si>
    <t>https://it.wikipedia.org/wiki/Dolomiti_Bellunesi_(squadra_di_calcio)</t>
  </si>
  <si>
    <t>Palette adopted in the 2024 rebrand; black is a third colour.</t>
  </si>
  <si>
    <t>Empoli</t>
  </si>
  <si>
    <t>C074</t>
  </si>
  <si>
    <t>https://it.wikipedia.org/wiki/Empoli_Football_Club</t>
  </si>
  <si>
    <t>Blue is the defining colour; white is a documented badge/lettering accent.</t>
  </si>
  <si>
    <t>Fiorentina</t>
  </si>
  <si>
    <t>Foggia</t>
  </si>
  <si>
    <t>Folgore Caratese</t>
  </si>
  <si>
    <t>C094</t>
  </si>
  <si>
    <t>https://it.wikipedia.org/wiki/Unione_Sportiva_Folgore_Caratese</t>
  </si>
  <si>
    <t>The merged club adopted blue for home and garnet for away from its constituent clubs; blue is the principal colour.</t>
  </si>
  <si>
    <t>Forlì</t>
  </si>
  <si>
    <t>C095</t>
  </si>
  <si>
    <t>https://it.wikipedia.org/wiki/Forl%C3%AC_Football_Club</t>
  </si>
  <si>
    <t>Frosinone</t>
  </si>
  <si>
    <t>C096</t>
  </si>
  <si>
    <t>https://it.wikipedia.org/wiki/Frosinone_Calcio</t>
  </si>
  <si>
    <t>Genoa</t>
  </si>
  <si>
    <t>Inter</t>
  </si>
  <si>
    <t>Giana Erminio</t>
  </si>
  <si>
    <t>C097</t>
  </si>
  <si>
    <t>https://it.wikipedia.org/wiki/Associazione_Sportiva_Giana_Erminio</t>
  </si>
  <si>
    <t>Juventus</t>
  </si>
  <si>
    <t>Black is an additional colour.</t>
  </si>
  <si>
    <t>Giugliano</t>
  </si>
  <si>
    <t>C098</t>
  </si>
  <si>
    <t>https://it.wikipedia.org/wiki/Giugliano_Calcio_1928</t>
  </si>
  <si>
    <t>Lazio</t>
  </si>
  <si>
    <t>Grosseto</t>
  </si>
  <si>
    <t>C100</t>
  </si>
  <si>
    <t>https://it.wikipedia.org/wiki/Unione_Sportiva_Grosseto_1912</t>
  </si>
  <si>
    <t>Gubbio</t>
  </si>
  <si>
    <t>Lecce</t>
  </si>
  <si>
    <t>C101</t>
  </si>
  <si>
    <t>https://it.wikipedia.org/wiki/Associazione_Sportiva_Gubbio_1910</t>
  </si>
  <si>
    <t>Guidonia Montecelio</t>
  </si>
  <si>
    <t>C102</t>
  </si>
  <si>
    <t>https://it.wikipedia.org/wiki/Guidonia_Montecelio_1937_Football_Club</t>
  </si>
  <si>
    <t>Milan</t>
  </si>
  <si>
    <t>Yellow is a third club colour.</t>
  </si>
  <si>
    <t>Hellas Verona</t>
  </si>
  <si>
    <t>Monza</t>
  </si>
  <si>
    <t>Inter U23</t>
  </si>
  <si>
    <t>Napoli</t>
  </si>
  <si>
    <t>Uses the parent-club identity colours of Inter; reserve-specific palette not independently confirmed. Parent source is a historical reference dated 2000.</t>
  </si>
  <si>
    <t>Juve Stabia</t>
  </si>
  <si>
    <t>Parma</t>
  </si>
  <si>
    <t>C124</t>
  </si>
  <si>
    <t>https://it.wikipedia.org/wiki/Societ%C3%A0_Sportiva_Juve_Stabia</t>
  </si>
  <si>
    <t>Historical reference dated 2000. Traditional palette from a 2000 home-kit reference; not a current-season kit check. Black and white are also important historic colours; this pair follows the reference kit.</t>
  </si>
  <si>
    <t>Roma</t>
  </si>
  <si>
    <t>Juventus Next Gen</t>
  </si>
  <si>
    <t>Sassuolo</t>
  </si>
  <si>
    <t>Uses the parent-club identity colours of Juventus; reserve-specific palette not independently confirmed. Parent source is a historical reference dated 2000.</t>
  </si>
  <si>
    <t>Latina</t>
  </si>
  <si>
    <t>C138</t>
  </si>
  <si>
    <t>https://it.wikipedia.org/wiki/Unione_Sportiva_Sassuolo_Calcio</t>
  </si>
  <si>
    <t>https://it.wikipedia.org/wiki/Latina_Calcio_1932</t>
  </si>
  <si>
    <t>Torino</t>
  </si>
  <si>
    <t>Lecco</t>
  </si>
  <si>
    <t>Historical reference dated 2000. Traditional palette from a 2000 home-kit reference; not a current-season kit check. Black is an additional accent colour.</t>
  </si>
  <si>
    <t>Udinese</t>
  </si>
  <si>
    <t>C140</t>
  </si>
  <si>
    <t>https://it.wikipedia.org/wiki/Calcio_Lecco_1912</t>
  </si>
  <si>
    <t>Livorno</t>
  </si>
  <si>
    <t>Venezia</t>
  </si>
  <si>
    <t>Lumezzane</t>
  </si>
  <si>
    <t>C147</t>
  </si>
  <si>
    <t>https://it.wikipedia.org/wiki/Football_Club_Lumezzane</t>
  </si>
  <si>
    <t>Historical reference dated 2000. Traditional palette from a 2000 home-kit reference; not a current-season kit check. Black is an equally important third colour.</t>
  </si>
  <si>
    <t>Mantova</t>
  </si>
  <si>
    <t>C150</t>
  </si>
  <si>
    <t>https://it.wikipedia.org/wiki/Mantova_1911</t>
  </si>
  <si>
    <t>Modena</t>
  </si>
  <si>
    <t>Monopoli</t>
  </si>
  <si>
    <t>C153</t>
  </si>
  <si>
    <t>https://it.wikipedia.org/wiki/Societ%C3%A0_Sportiva_Monopoli_1966</t>
  </si>
  <si>
    <t>Novara</t>
  </si>
  <si>
    <t>C158</t>
  </si>
  <si>
    <t>https://it.wikipedia.org/wiki/Novara_Football_Club</t>
  </si>
  <si>
    <t>White is the secondary colour in the traditional Biancoazzurri palette; blue is the main club colour.</t>
  </si>
  <si>
    <t>Ospitaletto Franciacorta</t>
  </si>
  <si>
    <t>C162</t>
  </si>
  <si>
    <t>https://it.wikipedia.org/wiki/Associazione_Calcio_Ospitaletto</t>
  </si>
  <si>
    <t>Ostiamare</t>
  </si>
  <si>
    <t>GERMANY | TEAM DIRECTORY</t>
  </si>
  <si>
    <t>C163</t>
  </si>
  <si>
    <t>https://it.wikipedia.org/wiki/Associazione_Sportiva_Ostia_Mare_Lido_Calcio</t>
  </si>
  <si>
    <t>Padova</t>
  </si>
  <si>
    <t>Palermo</t>
  </si>
  <si>
    <t>Pergolettese</t>
  </si>
  <si>
    <t>1. FC Köln</t>
  </si>
  <si>
    <t>C170</t>
  </si>
  <si>
    <t>https://it.wikipedia.org/wiki/Unione_Sportiva_Pergolettese_1932</t>
  </si>
  <si>
    <t>Perugia</t>
  </si>
  <si>
    <t>Pescara</t>
  </si>
  <si>
    <t>Pianese</t>
  </si>
  <si>
    <t>https://www.rsssf.org/colours/germany.html</t>
  </si>
  <si>
    <t>C172</t>
  </si>
  <si>
    <t>https://it.wikipedia.org/wiki/Unione_Sportiva_Pianese</t>
  </si>
  <si>
    <t>Historical reference dated 2004. Traditional palette from a 2004 home-kit reference; not a current-season kit check.</t>
  </si>
  <si>
    <t>Bayer Leverkusen</t>
  </si>
  <si>
    <t>Picerno</t>
  </si>
  <si>
    <t>C173</t>
  </si>
  <si>
    <t>https://it.wikipedia.org/wiki/AZ_Picerno</t>
  </si>
  <si>
    <t>Pineto</t>
  </si>
  <si>
    <t>C174</t>
  </si>
  <si>
    <t>https://it.wikipedia.org/wiki/Associazione_Sportiva_Pineto_Calcio</t>
  </si>
  <si>
    <t>Bayern Munich</t>
  </si>
  <si>
    <t>Pisa</t>
  </si>
  <si>
    <t>Potenza</t>
  </si>
  <si>
    <t>Borussia Dortmund</t>
  </si>
  <si>
    <t>C177</t>
  </si>
  <si>
    <t>https://it.wikipedia.org/wiki/Potenza_Calcio</t>
  </si>
  <si>
    <t>Pro Vercelli</t>
  </si>
  <si>
    <t>C179</t>
  </si>
  <si>
    <t>https://it.wikipedia.org/wiki/Football_Club_Pro_Vercelli_1892</t>
  </si>
  <si>
    <t>White is the defining colour; black is the traditional shorts/socks accent.</t>
  </si>
  <si>
    <t>Borussia Mönchengladbach</t>
  </si>
  <si>
    <t>Ravenna</t>
  </si>
  <si>
    <t>Reggiana</t>
  </si>
  <si>
    <t>https://de.wikipedia.org/wiki/Borussia_M%C3%B6nchengladbach</t>
  </si>
  <si>
    <t>Renate</t>
  </si>
  <si>
    <t>Sampdoria</t>
  </si>
  <si>
    <t>Green is an additional club colour.</t>
  </si>
  <si>
    <t>Eintracht Frankfurt</t>
  </si>
  <si>
    <t>C187</t>
  </si>
  <si>
    <t>https://it.wikipedia.org/wiki/Associazione_Calcio_Renate</t>
  </si>
  <si>
    <t>Historical reference dated 2000. Traditional palette from a 2000 home-kit reference; not a current-season kit check. Red and black are also defining colours of the chest band.</t>
  </si>
  <si>
    <t>Südtirol</t>
  </si>
  <si>
    <t>FC Augsburg</t>
  </si>
  <si>
    <t>Salernitana</t>
  </si>
  <si>
    <t>C203</t>
  </si>
  <si>
    <t>https://it.wikipedia.org/wiki/Unione_Sportiva_Salernitana_1919</t>
  </si>
  <si>
    <t>The source names one defining colour; secondary identity colour not established.</t>
  </si>
  <si>
    <t>Sambenedettese</t>
  </si>
  <si>
    <t>https://de.wikipedia.org/wiki/FC_Augsburg</t>
  </si>
  <si>
    <t>C205</t>
  </si>
  <si>
    <t>https://www.lega-pro.com/campionato/squadre/girone-b/sambenedettese/</t>
  </si>
  <si>
    <t>Hamburger SV</t>
  </si>
  <si>
    <t>C206</t>
  </si>
  <si>
    <t>https://de.wikipedia.org/wiki/Hamburger_SV</t>
  </si>
  <si>
    <t>Savoia</t>
  </si>
  <si>
    <t>Black is an additional identity colour. Identity/crest palette differs from the traditional white/red playing kit.</t>
  </si>
  <si>
    <t>Mainz 05</t>
  </si>
  <si>
    <t>C207</t>
  </si>
  <si>
    <t>https://it.wikipedia.org/wiki/Savoia_1908</t>
  </si>
  <si>
    <t>White is the defining colour; black is a traditional shorts/socks accent.</t>
  </si>
  <si>
    <t>Scafatese</t>
  </si>
  <si>
    <t>C210</t>
  </si>
  <si>
    <t>https://it.wikipedia.org/wiki/Scafatese_Calcio_1922</t>
  </si>
  <si>
    <t>https://de.wikipedia.org/wiki/1._FSV_Mainz_05</t>
  </si>
  <si>
    <t>Sorrento</t>
  </si>
  <si>
    <t>C217</t>
  </si>
  <si>
    <t>RB Leipzig</t>
  </si>
  <si>
    <t>https://it.wikipedia.org/wiki/Sorrento_Calcio_1945</t>
  </si>
  <si>
    <t>Spezia</t>
  </si>
  <si>
    <t>C219</t>
  </si>
  <si>
    <t>https://it.wikipedia.org/wiki/Spezia_Calcio</t>
  </si>
  <si>
    <t>https://de.wikipedia.org/wiki/RB_Leipzig</t>
  </si>
  <si>
    <t>SC Freiburg</t>
  </si>
  <si>
    <t>https://it.wikipedia.org/wiki/Fussball_Club_S%C3%BCdtirol</t>
  </si>
  <si>
    <t>C223</t>
  </si>
  <si>
    <t>Team Altamura</t>
  </si>
  <si>
    <t>C227</t>
  </si>
  <si>
    <t>https://it.wikipedia.org/wiki/Team_Altamura</t>
  </si>
  <si>
    <t>Historical reference dated 2004. Traditional palette from a 2004 home-kit reference; not a current-season kit check. Black is an additional club colour.</t>
  </si>
  <si>
    <t>SC Paderborn</t>
  </si>
  <si>
    <t>Vicenza</t>
  </si>
  <si>
    <t>Torres</t>
  </si>
  <si>
    <t>C231</t>
  </si>
  <si>
    <t>https://it.wikipedia.org/wiki/Torres_(calcio)</t>
  </si>
  <si>
    <t>https://de.wikipedia.org/wiki/SC_Paderborn_07</t>
  </si>
  <si>
    <t>Trento</t>
  </si>
  <si>
    <t>C235</t>
  </si>
  <si>
    <t>Schalke 04</t>
  </si>
  <si>
    <t>https://it.wikipedia.org/wiki/Associazione_Calcio_Trento_1921</t>
  </si>
  <si>
    <t>Virtus Entella</t>
  </si>
  <si>
    <t>Treviso</t>
  </si>
  <si>
    <t>SV Elversberg</t>
  </si>
  <si>
    <t>Union Brescia</t>
  </si>
  <si>
    <t>C240</t>
  </si>
  <si>
    <t>https://it.wikipedia.org/wiki/Union_Brescia</t>
  </si>
  <si>
    <t>The source describes the home base as dark blue and the traditional pairing as blue/white.</t>
  </si>
  <si>
    <t>https://it.wikipedia.org/wiki/Virtus_Entella</t>
  </si>
  <si>
    <t>Vado</t>
  </si>
  <si>
    <t>C249</t>
  </si>
  <si>
    <t>https://it.wikipedia.org/wiki/Vado_Football_Club_1913</t>
  </si>
  <si>
    <t>https://de.wikipedia.org/wiki/SV_Elversberg</t>
  </si>
  <si>
    <t>Group A</t>
  </si>
  <si>
    <t>TSG Hoffenheim</t>
  </si>
  <si>
    <t>C254</t>
  </si>
  <si>
    <t>https://de.wikipedia.org/wiki/TSG_1899_Hoffenheim</t>
  </si>
  <si>
    <t>Vis Pesaro</t>
  </si>
  <si>
    <t>Union Berlin</t>
  </si>
  <si>
    <t>C255</t>
  </si>
  <si>
    <t>https://it.wikipedia.org/wiki/Vis_Pesaro_dal_1898</t>
  </si>
  <si>
    <t>1. FC Heidenheim</t>
  </si>
  <si>
    <t>C001</t>
  </si>
  <si>
    <t>https://de.wikipedia.org/wiki/1._FC_Heidenheim</t>
  </si>
  <si>
    <t>1. FC Kaiserslautern</t>
  </si>
  <si>
    <t>VfB Stuttgart</t>
  </si>
  <si>
    <t>C194</t>
  </si>
  <si>
    <t>2004</t>
  </si>
  <si>
    <t>1. FC Magdeburg</t>
  </si>
  <si>
    <t>Werder Bremen</t>
  </si>
  <si>
    <t>1. FC Nürnberg</t>
  </si>
  <si>
    <t>1. FC Saarbrücken</t>
  </si>
  <si>
    <t>Alemannia Aachen</t>
  </si>
  <si>
    <t>Arminia Bielefeld</t>
  </si>
  <si>
    <t>C025</t>
  </si>
  <si>
    <t>Darmstadt 98</t>
  </si>
  <si>
    <t>Dynamo Dresden</t>
  </si>
  <si>
    <t>Eintracht Braunschweig</t>
  </si>
  <si>
    <t>Energie Cottbus</t>
  </si>
  <si>
    <t>C075</t>
  </si>
  <si>
    <t>https://de.wikipedia.org/wiki/Energie_Cottbus</t>
  </si>
  <si>
    <t>C080</t>
  </si>
  <si>
    <t>FC Ingolstadt</t>
  </si>
  <si>
    <t>C085</t>
  </si>
  <si>
    <t>https://de.wikipedia.org/wiki/FC_Ingolstadt_04</t>
  </si>
  <si>
    <t>FC St. Pauli</t>
  </si>
  <si>
    <t>Fortuna Düsseldorf</t>
  </si>
  <si>
    <t>Fortuna Köln</t>
  </si>
  <si>
    <t>Greuther Fürth</t>
  </si>
  <si>
    <t>C104</t>
  </si>
  <si>
    <t>Hannover 96</t>
  </si>
  <si>
    <t>C105</t>
  </si>
  <si>
    <t>https://de.wikipedia.org/wiki/Hannover_96</t>
  </si>
  <si>
    <t>Green is an additional club colour; identity palette differs from the red home shirt.</t>
  </si>
  <si>
    <t>Hansa Rostock</t>
  </si>
  <si>
    <t>C106</t>
  </si>
  <si>
    <t>https://de.wikipedia.org/wiki/Hansa_Rostock</t>
  </si>
  <si>
    <t>Hertha BSC</t>
  </si>
  <si>
    <t>Holstein Kiel</t>
  </si>
  <si>
    <t>Historical reference dated 2004. Traditional palette from a 2004 home-kit reference; not a current-season kit check. Red is an additional club colour.</t>
  </si>
  <si>
    <t>Jahn Regensburg</t>
  </si>
  <si>
    <t>C119</t>
  </si>
  <si>
    <t>https://de.wikipedia.org/wiki/SSV_Jahn_Regensburg</t>
  </si>
  <si>
    <t>Karlsruher SC</t>
  </si>
  <si>
    <t>C149</t>
  </si>
  <si>
    <t>MSV Duisburg</t>
  </si>
  <si>
    <t>Preußen Münster</t>
  </si>
  <si>
    <t>C178</t>
  </si>
  <si>
    <t>VfL Bochum</t>
  </si>
  <si>
    <t>https://de.wikipedia.org/wiki/Preu%C3%9Fen_M%C3%BCnster</t>
  </si>
  <si>
    <t>VfL Osnabrück</t>
  </si>
  <si>
    <t>C183</t>
  </si>
  <si>
    <t>VfL Wolfsburg</t>
  </si>
  <si>
    <t>Rot-Weiss Essen</t>
  </si>
  <si>
    <t>C208</t>
  </si>
  <si>
    <t>SC Verl</t>
  </si>
  <si>
    <t>Sonnenhof Großaspach</t>
  </si>
  <si>
    <t>C216</t>
  </si>
  <si>
    <t>https://de.wikipedia.org/wiki/SG_Sonnenhof_Gro%C3%9Faspach</t>
  </si>
  <si>
    <t>C224</t>
  </si>
  <si>
    <t>SV Meppen</t>
  </si>
  <si>
    <t>Group B</t>
  </si>
  <si>
    <t>SV Wehen Wiesbaden</t>
  </si>
  <si>
    <t>C225</t>
  </si>
  <si>
    <t>https://de.wikipedia.org/wiki/SV_Wehen_Wiesbaden</t>
  </si>
  <si>
    <t>C236</t>
  </si>
  <si>
    <t>TSG Hoffenheim II</t>
  </si>
  <si>
    <t>Uses the parent-club identity colours of TSG Hoffenheim; reserve-specific palette not independently confirmed.</t>
  </si>
  <si>
    <t>TSV Havelse</t>
  </si>
  <si>
    <t>C237</t>
  </si>
  <si>
    <t>https://de.wikipedia.org/wiki/TSV_Havelse</t>
  </si>
  <si>
    <t>VfB Stuttgart II</t>
  </si>
  <si>
    <t>Uses the parent-club identity colours of VfB Stuttgart; reserve-specific palette not independently confirmed. Parent source is a historical reference dated 2004.</t>
  </si>
  <si>
    <t>Viktoria Köln</t>
  </si>
  <si>
    <t>C251</t>
  </si>
  <si>
    <t>https://de.wikipedia.org/wiki/FC_Viktoria_K%C3%B6ln</t>
  </si>
  <si>
    <t>Red is an additional club colour.</t>
  </si>
  <si>
    <t>Waldhof Mannheim</t>
  </si>
  <si>
    <t>Würzburger Kickers</t>
  </si>
  <si>
    <t>C261</t>
  </si>
  <si>
    <t>https://de.wikipedia.org/wiki/W%C3%BCrzburger_Kickers</t>
  </si>
  <si>
    <t>Amiens</t>
  </si>
  <si>
    <t>C013</t>
  </si>
  <si>
    <t>https://fr.wikipedia.org/wiki/Amiens_Sporting_Club</t>
  </si>
  <si>
    <t>Angers</t>
  </si>
  <si>
    <t>C193</t>
  </si>
  <si>
    <t>https://www.rsssf.org/colours/france.html</t>
  </si>
  <si>
    <t>1995</t>
  </si>
  <si>
    <t>Historical reference dated 1995. Traditional palette from a 1995 home-kit reference; not a current-season kit check.</t>
  </si>
  <si>
    <t>Annecy</t>
  </si>
  <si>
    <t>Aubagne Air Bel</t>
  </si>
  <si>
    <t>C018</t>
  </si>
  <si>
    <t>https://fr.wikipedia.org/wiki/Aubagne_Football_Club</t>
  </si>
  <si>
    <t>Auxerre</t>
  </si>
  <si>
    <t>Bastia</t>
  </si>
  <si>
    <t>Boulogne</t>
  </si>
  <si>
    <t>C026</t>
  </si>
  <si>
    <t>https://fr.wikipedia.org/wiki/Union_sportive_Boulogne_C%C3%B4te_d%27Opale</t>
  </si>
  <si>
    <t>Bourg-en-Bresse Péronnas</t>
  </si>
  <si>
    <t>C027</t>
  </si>
  <si>
    <t>https://fr.wikipedia.org/wiki/Football_Bourg-en-Bresse_P%C3%A9ronnas_01</t>
  </si>
  <si>
    <t>Brest</t>
  </si>
  <si>
    <t>Caen</t>
  </si>
  <si>
    <t>Cannes</t>
  </si>
  <si>
    <t>C034</t>
  </si>
  <si>
    <t>https://fr.wikipedia.org/wiki/Association_sportive_de_Cannes_(football)</t>
  </si>
  <si>
    <t>Clermont</t>
  </si>
  <si>
    <t>C048</t>
  </si>
  <si>
    <t>https://fr.wikipedia.org/wiki/Clermont_Foot_63</t>
  </si>
  <si>
    <t>Concarneau</t>
  </si>
  <si>
    <t>C049</t>
  </si>
  <si>
    <t>https://fr.wikipedia.org/wiki/Union_sportive_concarnoise</t>
  </si>
  <si>
    <t>Dijon</t>
  </si>
  <si>
    <t>C066</t>
  </si>
  <si>
    <t>https://fr.wikipedia.org/wiki/Dijon_Football_C%C3%B4te-d%27Or</t>
  </si>
  <si>
    <t>White is an additional colour; the reference describes red as primary, followed by black and white.</t>
  </si>
  <si>
    <t>Dunkerque</t>
  </si>
  <si>
    <t>Fleury 91</t>
  </si>
  <si>
    <t>C093</t>
  </si>
  <si>
    <t>https://fr.wikipedia.org/wiki/Football_Club_Fleury_91</t>
  </si>
  <si>
    <t>Grenoble</t>
  </si>
  <si>
    <t>C099</t>
  </si>
  <si>
    <t>https://fr.wikipedia.org/wiki/Grenoble_Foot_38</t>
  </si>
  <si>
    <t>Guingamp</t>
  </si>
  <si>
    <t>La Roche Vendée Football</t>
  </si>
  <si>
    <t>C135</t>
  </si>
  <si>
    <t>https://fr.wikipedia.org/wiki/Vend%C3%A9e_Foot_Club_La_Roche-sur-Yon</t>
  </si>
  <si>
    <t>Source uses the newer name Vendee FC La Roche-sur-Yon; original workbook name retained.</t>
  </si>
  <si>
    <t>Laval</t>
  </si>
  <si>
    <t>Le Havre</t>
  </si>
  <si>
    <t>Le Mans</t>
  </si>
  <si>
    <t>Le Puy</t>
  </si>
  <si>
    <t>C139</t>
  </si>
  <si>
    <t>https://fr.wikipedia.org/wiki/Le_Puy_Foot_43_Auvergne</t>
  </si>
  <si>
    <t>Group C</t>
  </si>
  <si>
    <t>Lens</t>
  </si>
  <si>
    <t>Lille</t>
  </si>
  <si>
    <t>Lorient</t>
  </si>
  <si>
    <t>C145</t>
  </si>
  <si>
    <t>https://fr.wikipedia.org/wiki/Football_Club_Lorient</t>
  </si>
  <si>
    <t>Lyon</t>
  </si>
  <si>
    <t>Historical reference dated 1995. Traditional palette from a 1995 home-kit reference; not a current-season kit check. Red is a third defining club colour.</t>
  </si>
  <si>
    <t>Marseille</t>
  </si>
  <si>
    <t>Metz</t>
  </si>
  <si>
    <t>Monaco</t>
  </si>
  <si>
    <t>Montpellier</t>
  </si>
  <si>
    <t>Nancy</t>
  </si>
  <si>
    <t>Nantes</t>
  </si>
  <si>
    <t>Nice</t>
  </si>
  <si>
    <t>C156</t>
  </si>
  <si>
    <t>https://www.ogcnice.com/fr/article/126970/par-amour-de-lart.html</t>
  </si>
  <si>
    <t>2024</t>
  </si>
  <si>
    <t>Orléans</t>
  </si>
  <si>
    <t>Paris 13 Atletico</t>
  </si>
  <si>
    <t>FRANCE | TEAM DIRECTORY</t>
  </si>
  <si>
    <t>C167</t>
  </si>
  <si>
    <t>https://fr.wikipedia.org/wiki/Paris_13_Atletico</t>
  </si>
  <si>
    <t>Paris FC</t>
  </si>
  <si>
    <t>C168</t>
  </si>
  <si>
    <t>https://fr.wikipedia.org/wiki/Paris_Football_Club</t>
  </si>
  <si>
    <t>White is also used; current navy/sky-blue identity distinguished from earlier navy/white kits.</t>
  </si>
  <si>
    <t>Paris Saint-Germain</t>
  </si>
  <si>
    <t>Historical reference dated 1995. Traditional palette from a 1995 home-kit reference; not a current-season kit check. White is an additional club colour.</t>
  </si>
  <si>
    <t>Pau</t>
  </si>
  <si>
    <t>C169</t>
  </si>
  <si>
    <t>https://fr.wikipedia.org/wiki/Pau_Football_Club</t>
  </si>
  <si>
    <t>Quevilly Rouen Métropole</t>
  </si>
  <si>
    <t>C181</t>
  </si>
  <si>
    <t>https://fr.wikipedia.org/wiki/Union_sportive_Quevilly-Rouen_M%C3%A9tropole</t>
  </si>
  <si>
    <t>Red Star</t>
  </si>
  <si>
    <t>Reims</t>
  </si>
  <si>
    <t>Rennes</t>
  </si>
  <si>
    <t>C188</t>
  </si>
  <si>
    <t>https://fr.wikipedia.org/wiki/Stade_rennais_football_club</t>
  </si>
  <si>
    <t>Rodez</t>
  </si>
  <si>
    <t>Rouen</t>
  </si>
  <si>
    <t>Saint-Étienne</t>
  </si>
  <si>
    <t>Sochaux</t>
  </si>
  <si>
    <t>Strasbourg</t>
  </si>
  <si>
    <t>Thionville Lusitanos</t>
  </si>
  <si>
    <t>C229</t>
  </si>
  <si>
    <t>https://fr.wikipedia.org/wiki/Union_sportive_Thionville_Lusitanos</t>
  </si>
  <si>
    <t>Black is also used; post-2021 palette rather than predecessor's yellow/blue.</t>
  </si>
  <si>
    <t>Toulouse</t>
  </si>
  <si>
    <t>Troyes</t>
  </si>
  <si>
    <t>Valenciennes</t>
  </si>
  <si>
    <t>Versailles</t>
  </si>
  <si>
    <t>C250</t>
  </si>
  <si>
    <t>https://fr.wikipedia.org/wiki/Football_Club_Versailles_78</t>
  </si>
  <si>
    <t>Villefranche-Beaujolais</t>
  </si>
  <si>
    <t>C253</t>
  </si>
  <si>
    <t>https://fr.wikipedia.org/wiki/Football_Club_Villefranche_Beaujolais</t>
  </si>
  <si>
    <t>Source specifies navy blue only; no second identity colour independently established.</t>
  </si>
  <si>
    <t>Academica Balș</t>
  </si>
  <si>
    <t>Academica Recea</t>
  </si>
  <si>
    <t>ACS Axi Arena</t>
  </si>
  <si>
    <t>ACS Mediaș</t>
  </si>
  <si>
    <t>C003</t>
  </si>
  <si>
    <t>https://en.wikipedia.org/wiki/ACS_Media%C8%99</t>
  </si>
  <si>
    <t>ACS USV Iași</t>
  </si>
  <si>
    <t>ACSO Filiași</t>
  </si>
  <si>
    <t>Based in Monaco; French league/UEFA association.</t>
  </si>
  <si>
    <t>C004</t>
  </si>
  <si>
    <t>https://en.wikipedia.org/wiki/CSO_Filia%C8%99i</t>
  </si>
  <si>
    <t>The source uses CSO Filiasi; original workbook name retained.</t>
  </si>
  <si>
    <t>Aerostar Bacău</t>
  </si>
  <si>
    <t>C006</t>
  </si>
  <si>
    <t>https://en.wikipedia.org/wiki/CS_Aerostar_Bac%C4%83u</t>
  </si>
  <si>
    <t>AFC Odorheiu Secuiesc</t>
  </si>
  <si>
    <t>Agricola Borcea</t>
  </si>
  <si>
    <t>ASA Târgu Mureș</t>
  </si>
  <si>
    <t>Axiopolis Cernavodă</t>
  </si>
  <si>
    <t>Bihorul Beiuș</t>
  </si>
  <si>
    <t>Bradul Putna</t>
  </si>
  <si>
    <t>Carpați Covasna</t>
  </si>
  <si>
    <t>Ceahlăul Piatra Neamț</t>
  </si>
  <si>
    <t>C042</t>
  </si>
  <si>
    <t>https://en.wikipedia.org/wiki/CSM_Ceahl%C4%83ul_Piatra_Neam%C8%9B</t>
  </si>
  <si>
    <t>Cetatea 1932 Suceava</t>
  </si>
  <si>
    <t>Cetatea Turnu Măgurele</t>
  </si>
  <si>
    <t>CFR Cluj</t>
  </si>
  <si>
    <t>C045</t>
  </si>
  <si>
    <t>https://en.wikipedia.org/wiki/CFR_Cluj</t>
  </si>
  <si>
    <t>Chindia Târgoviște</t>
  </si>
  <si>
    <t>C046</t>
  </si>
  <si>
    <t>https://en.wikipedia.org/wiki/AFC_Chindia_T%C3%A2rgovi%C8%99te</t>
  </si>
  <si>
    <t>CIL Blaj</t>
  </si>
  <si>
    <t>Concordia Chiajna</t>
  </si>
  <si>
    <t>C050</t>
  </si>
  <si>
    <t>https://en.wikipedia.org/wiki/CS_Concordia_Chiajna</t>
  </si>
  <si>
    <t>Green is supported by the documented colour nickname; secondary identity colour not established.</t>
  </si>
  <si>
    <t>Corona Brașov</t>
  </si>
  <si>
    <t>Corvinul Hunedoara</t>
  </si>
  <si>
    <t>C051</t>
  </si>
  <si>
    <t>https://en.wikipedia.org/wiki/CS_Corvinul_Hunedoara</t>
  </si>
  <si>
    <t>Crișul Sântandrei</t>
  </si>
  <si>
    <t>CS Afumați</t>
  </si>
  <si>
    <t>C055</t>
  </si>
  <si>
    <t>https://en.wikipedia.org/wiki/CS_Afuma%C8%9Bi</t>
  </si>
  <si>
    <t>CS Agigea</t>
  </si>
  <si>
    <t>CS Blejoi</t>
  </si>
  <si>
    <t>CS Dinamo București</t>
  </si>
  <si>
    <t>C056</t>
  </si>
  <si>
    <t>https://en.wikipedia.org/wiki/CS_Dinamo_Bucure%C8%99ti_(football)</t>
  </si>
  <si>
    <t>Separate from FC Dinamo; its own club reference was used.</t>
  </si>
  <si>
    <t>CS Drobeta Turnu Severin</t>
  </si>
  <si>
    <t>CS Gheorgheni</t>
  </si>
  <si>
    <t>CS Păulești</t>
  </si>
  <si>
    <t>CS Tunari</t>
  </si>
  <si>
    <t>CSC 1599 Șelimbăr</t>
  </si>
  <si>
    <t>C057</t>
  </si>
  <si>
    <t>https://en.wikipedia.org/wiki/CSC_1599_%C8%98elimb%C4%83r</t>
  </si>
  <si>
    <t>Red is supported by the documented colour nickname; secondary identity colour not established.</t>
  </si>
  <si>
    <t>CSC Dumbrăvița</t>
  </si>
  <si>
    <t>C058</t>
  </si>
  <si>
    <t>https://en.wikipedia.org/wiki/CSC_Dumbr%C4%83vi%C8%9Ba</t>
  </si>
  <si>
    <t>Csikszereda Miercurea Ciuc</t>
  </si>
  <si>
    <t>C059</t>
  </si>
  <si>
    <t>https://en.wikipedia.org/wiki/FK_Cs%C3%ADkszereda_Miercurea_Ciuc</t>
  </si>
  <si>
    <t>CSL Ștefăneștii de Jos</t>
  </si>
  <si>
    <t>CSM Adjud</t>
  </si>
  <si>
    <t>CSM Alexandria</t>
  </si>
  <si>
    <t>CSM Deva</t>
  </si>
  <si>
    <t>CSM Pașcani</t>
  </si>
  <si>
    <t>CSM Reșița</t>
  </si>
  <si>
    <t>C061</t>
  </si>
  <si>
    <t>https://en.wikipedia.org/wiki/CSM_Re%C8%99i%C8%9Ba</t>
  </si>
  <si>
    <t>CSM Râmnicu Sărat</t>
  </si>
  <si>
    <t>CSM Sighetu Marmației</t>
  </si>
  <si>
    <t>CSM Slatina</t>
  </si>
  <si>
    <t>C063</t>
  </si>
  <si>
    <t>https://en.wikipedia.org/wiki/CSM_Slatina_(football)</t>
  </si>
  <si>
    <t>CSM Săcele</t>
  </si>
  <si>
    <t>C062</t>
  </si>
  <si>
    <t>https://en.wikipedia.org/wiki/CSM_S%C4%83cele</t>
  </si>
  <si>
    <t>CSM Târgu Jiu</t>
  </si>
  <si>
    <t>CSM Vaslui</t>
  </si>
  <si>
    <t>CSO Băicoi</t>
  </si>
  <si>
    <t>CSO Plopeni</t>
  </si>
  <si>
    <t>CSU Alba Iulia</t>
  </si>
  <si>
    <t>ROMANIA | TEAM DIRECTORY</t>
  </si>
  <si>
    <t>Dinamo București</t>
  </si>
  <si>
    <t>C067</t>
  </si>
  <si>
    <t>https://ro.wikipedia.org/wiki/FC_Dinamo_Bucure%C8%99ti</t>
  </si>
  <si>
    <t>Dinamo București II</t>
  </si>
  <si>
    <t>Uses the parent-club identity colours of Dinamo București; reserve-specific palette not independently confirmed.</t>
  </si>
  <si>
    <t>Dunărea Călărași</t>
  </si>
  <si>
    <t>C070</t>
  </si>
  <si>
    <t>https://en.wikipedia.org/wiki/FC_Dun%C4%83rea_C%C4%83l%C4%83ra%C8%99i</t>
  </si>
  <si>
    <t>Dunărea Giurgiu</t>
  </si>
  <si>
    <t>Farul Constanța</t>
  </si>
  <si>
    <t>C077</t>
  </si>
  <si>
    <t>https://en.wikipedia.org/wiki/FCV_Farul_Constan%C8%9Ba</t>
  </si>
  <si>
    <t>FC Argeș</t>
  </si>
  <si>
    <t>C079</t>
  </si>
  <si>
    <t>https://ro.wikipedia.org/wiki/FC_Arge%C8%99_Pite%C8%99ti</t>
  </si>
  <si>
    <t>FC Bacău</t>
  </si>
  <si>
    <t>FC Bacău II</t>
  </si>
  <si>
    <t>FC Bihor Oradea</t>
  </si>
  <si>
    <t>C081</t>
  </si>
  <si>
    <t>https://en.wikipedia.org/wiki/FC_Bihor_Oradea_(2022)</t>
  </si>
  <si>
    <t>FC Botoșani</t>
  </si>
  <si>
    <t>C082</t>
  </si>
  <si>
    <t>https://ro.wikipedia.org/wiki/FC_Boto%C8%99ani</t>
  </si>
  <si>
    <t>Blue is an additional club colour, reflected in the tricolour nickname.</t>
  </si>
  <si>
    <t>FC Pucioasa</t>
  </si>
  <si>
    <t>FC Păușești Otăsău</t>
  </si>
  <si>
    <t>FC Voluntari</t>
  </si>
  <si>
    <t>C257</t>
  </si>
  <si>
    <t>https://www.the-sports.org/football-soccer-fc-voluntari-results-identity-equ44644.html</t>
  </si>
  <si>
    <t>Burgundy is documented in the translated club nickname; the same directory also uses the broader term red.</t>
  </si>
  <si>
    <t>FC Voluntari II</t>
  </si>
  <si>
    <t>Uses the parent-club identity colours of FC Voluntari; reserve-specific palette not independently confirmed.</t>
  </si>
  <si>
    <t>FCSB</t>
  </si>
  <si>
    <t>C090</t>
  </si>
  <si>
    <t>https://en.wikipedia.org/wiki/FCSB</t>
  </si>
  <si>
    <t>FCSB II</t>
  </si>
  <si>
    <t>Uses the parent-club identity colours of FCSB; reserve-specific palette not independently confirmed.</t>
  </si>
  <si>
    <t>Flacăra Moreni</t>
  </si>
  <si>
    <t>Ghiroda și Giarmata Vii</t>
  </si>
  <si>
    <t>Gloria Bistrița</t>
  </si>
  <si>
    <t>Gloria Băneasa</t>
  </si>
  <si>
    <t>Hermannstadt</t>
  </si>
  <si>
    <t>C110</t>
  </si>
  <si>
    <t>https://en.wikipedia.org/wiki/FC_Hermannstadt</t>
  </si>
  <si>
    <t>Oțelul Galați</t>
  </si>
  <si>
    <t>ROSTER REVIEW: the source reports dissolution on 1 August 2026. The original workbook membership is retained, not revalidated by this colour update.</t>
  </si>
  <si>
    <t>Inter Ilfov</t>
  </si>
  <si>
    <t>Inter Stars Sibiu</t>
  </si>
  <si>
    <t>https://en.wikipedia.org/wiki/ASC_O%C8%9Belul_Gala%C8%9Bi</t>
  </si>
  <si>
    <t>Blue is a third club colour.</t>
  </si>
  <si>
    <t>Petrolul Ploiești</t>
  </si>
  <si>
    <t>Jiul Petroșani</t>
  </si>
  <si>
    <t>C122</t>
  </si>
  <si>
    <t>https://en.wikipedia.org/wiki/CSM_Jiul_Petro%C8%99ani</t>
  </si>
  <si>
    <t>https://en.wikipedia.org/wiki/FC_Petrolul_Ploie%C8%99ti</t>
  </si>
  <si>
    <t>Rapid București</t>
  </si>
  <si>
    <t>Kids Tâmpa Brașov</t>
  </si>
  <si>
    <t>KSE Târgu Secuiesc</t>
  </si>
  <si>
    <t>https://ro.wikipedia.org/wiki/FC_Rapid_Bucure%C8%99ti</t>
  </si>
  <si>
    <t>C132</t>
  </si>
  <si>
    <t>https://en.wikipedia.org/wiki/KSE_T%C3%A2rgu_Secuiesc</t>
  </si>
  <si>
    <t>Sepsi OSK</t>
  </si>
  <si>
    <t>Lotus Băile Felix</t>
  </si>
  <si>
    <t>https://en.wikipedia.org/wiki/Sepsi_OSK_Sf%C3%A2ntu_Gheorghe</t>
  </si>
  <si>
    <t>Metaloglobus București</t>
  </si>
  <si>
    <t>Universitatea Cluj</t>
  </si>
  <si>
    <t>Metalul Buzău</t>
  </si>
  <si>
    <t>https://ro.wikipedia.org/wiki/FC_Universitatea_Cluj</t>
  </si>
  <si>
    <t>Metalurgistul Cugir</t>
  </si>
  <si>
    <t>Universitatea Craiova</t>
  </si>
  <si>
    <t>Minaur Baia Mare</t>
  </si>
  <si>
    <t>https://en.wikipedia.org/wiki/CS_Universitatea_Craiova</t>
  </si>
  <si>
    <t>Minerul Lupeni</t>
  </si>
  <si>
    <t>UTA Arad</t>
  </si>
  <si>
    <t>C151</t>
  </si>
  <si>
    <t>https://en.wikipedia.org/wiki/ACS_Minerul_Lupeni</t>
  </si>
  <si>
    <t>Muscelul ARO Câmpulung</t>
  </si>
  <si>
    <t>https://ro.wikipedia.org/wiki/FC_UTA_Arad</t>
  </si>
  <si>
    <t>Nera Bogodinț</t>
  </si>
  <si>
    <t>Olimpic Zărnești</t>
  </si>
  <si>
    <t>Oltul Curtișoara</t>
  </si>
  <si>
    <t>Omega Sport</t>
  </si>
  <si>
    <t>Oxigen București</t>
  </si>
  <si>
    <t>C164</t>
  </si>
  <si>
    <t>Oțelul Galați II</t>
  </si>
  <si>
    <t>Uses the parent-club identity colours of Oțelul Galați; reserve-specific palette not independently confirmed.</t>
  </si>
  <si>
    <t>Petrolul Berca</t>
  </si>
  <si>
    <t>Petrolul Hîrtiești</t>
  </si>
  <si>
    <t>C171</t>
  </si>
  <si>
    <t>Politehnica Timișoara</t>
  </si>
  <si>
    <t>Distinct from Dinamo Bucuresti and its reserve team.</t>
  </si>
  <si>
    <t>C176</t>
  </si>
  <si>
    <t>https://en.wikipedia.org/wiki/SSU_Politehnica_Timi%C8%99oara</t>
  </si>
  <si>
    <t>GREECE | TEAM DIRECTORY</t>
  </si>
  <si>
    <t>Politehnica Timișoara II</t>
  </si>
  <si>
    <t>Uses the parent-club identity colours of Politehnica Timișoara; reserve-specific palette not independently confirmed.</t>
  </si>
  <si>
    <t>Portul Constanța</t>
  </si>
  <si>
    <t>Progresul Drăgănești</t>
  </si>
  <si>
    <t>Progresul Fundulea</t>
  </si>
  <si>
    <t>Progresul Mogoșoaia</t>
  </si>
  <si>
    <t>AEK Athens</t>
  </si>
  <si>
    <t>Progresul Pecica</t>
  </si>
  <si>
    <t>Progresul Spartac</t>
  </si>
  <si>
    <t>https://www.rsssf.org/colours/greece.html</t>
  </si>
  <si>
    <t>Historical reference dated 2005. Traditional club-colour reference dated 2005; current-season kit not verified.</t>
  </si>
  <si>
    <t>Aris</t>
  </si>
  <si>
    <t>C182</t>
  </si>
  <si>
    <t>Recolta Gheorghe Doja</t>
  </si>
  <si>
    <t>SC Popești-Leordeni</t>
  </si>
  <si>
    <t>Asteras Tripolis</t>
  </si>
  <si>
    <t>C209</t>
  </si>
  <si>
    <t>https://en.wikipedia.org/wiki/SC_Pope%C8%99ti-Leordeni</t>
  </si>
  <si>
    <t>SCM Râmnicu Vâlcea</t>
  </si>
  <si>
    <t>SCM Zalău</t>
  </si>
  <si>
    <t>Atromitos</t>
  </si>
  <si>
    <t>C211</t>
  </si>
  <si>
    <t>Sepsi OSK II</t>
  </si>
  <si>
    <t>Iraklis</t>
  </si>
  <si>
    <t>Uses the parent-club identity colours of Sepsi OSK; reserve-specific palette not independently confirmed.</t>
  </si>
  <si>
    <t>Sporting Liești</t>
  </si>
  <si>
    <t>Steaua București</t>
  </si>
  <si>
    <t>Kalamata</t>
  </si>
  <si>
    <t>C220</t>
  </si>
  <si>
    <t>https://en.wikipedia.org/wiki/CSA_Steaua_Bucure%C8%99ti_(football)</t>
  </si>
  <si>
    <t>Sănătatea Cluj</t>
  </si>
  <si>
    <t>Kifisia</t>
  </si>
  <si>
    <t>Teleajenul Vălenii de Munte</t>
  </si>
  <si>
    <t>https://en.wikipedia.org/wiki/A.E._Kifisia_F.C.</t>
  </si>
  <si>
    <t>Timișul Șag</t>
  </si>
  <si>
    <t>Levadiakos</t>
  </si>
  <si>
    <t>Transilvania Sport Academy</t>
  </si>
  <si>
    <t>Tricolorul Breaza</t>
  </si>
  <si>
    <t>OFI Crete</t>
  </si>
  <si>
    <t>Unirea Alba Iulia</t>
  </si>
  <si>
    <t>Olympiacos</t>
  </si>
  <si>
    <t>C243</t>
  </si>
  <si>
    <t>https://en.wikipedia.org/wiki/CSM_Unirea_Alba_Iulia</t>
  </si>
  <si>
    <t>Unirea Bascov</t>
  </si>
  <si>
    <t>Unirea Braniștea</t>
  </si>
  <si>
    <t>Panathinaikos</t>
  </si>
  <si>
    <t>Unirea Dej</t>
  </si>
  <si>
    <t>C244</t>
  </si>
  <si>
    <t>https://en.wikipedia.org/wiki/FC_Unirea_Dej</t>
  </si>
  <si>
    <t>Unirea Slobozia</t>
  </si>
  <si>
    <t>Panetolikos</t>
  </si>
  <si>
    <t>C245</t>
  </si>
  <si>
    <t>https://en.wikipedia.org/wiki/AFC_Unirea_Slobozia</t>
  </si>
  <si>
    <t>Unirea Sântana</t>
  </si>
  <si>
    <t>Unirea Tășnad</t>
  </si>
  <si>
    <t>PAOK</t>
  </si>
  <si>
    <t>C246</t>
  </si>
  <si>
    <t>C247</t>
  </si>
  <si>
    <t>Volos</t>
  </si>
  <si>
    <t>Universitatea Craiova II</t>
  </si>
  <si>
    <t>Uses the parent-club identity colours of Universitatea Craiova; reserve-specific palette not independently confirmed.</t>
  </si>
  <si>
    <t>Urban Titu</t>
  </si>
  <si>
    <t>AEL</t>
  </si>
  <si>
    <t>C248</t>
  </si>
  <si>
    <t>Viitorul Arad</t>
  </si>
  <si>
    <t>Viitorul Cluj</t>
  </si>
  <si>
    <t>Viitorul Corbeanca</t>
  </si>
  <si>
    <t>Anagennisi Karditsa</t>
  </si>
  <si>
    <t>Viitorul Onești</t>
  </si>
  <si>
    <t>Voința Crevedia</t>
  </si>
  <si>
    <t>Apollon Kalamaria</t>
  </si>
  <si>
    <t>Vulturii Fărcășești</t>
  </si>
  <si>
    <t>Înainte Modelu</t>
  </si>
  <si>
    <t>Asteras Tripolis B</t>
  </si>
  <si>
    <t>Acharnaikos</t>
  </si>
  <si>
    <t>AE Karitsa</t>
  </si>
  <si>
    <t>AE Neapoli</t>
  </si>
  <si>
    <t>Uses the parent-club identity colours of Asteras Tripolis; reserve-specific palette not independently confirmed. Parent source is a historical reference dated 2005.</t>
  </si>
  <si>
    <t>Athens Kallithea</t>
  </si>
  <si>
    <t>AE Polykastro</t>
  </si>
  <si>
    <t>C195</t>
  </si>
  <si>
    <t>2005</t>
  </si>
  <si>
    <t>AE Thraki</t>
  </si>
  <si>
    <t>Historical reference dated 2005. Traditional club-colour reference dated 2005; current-season kit not verified. Historical pre-rebrand palette; current specific blue shade not established.</t>
  </si>
  <si>
    <t>Hellas Syros</t>
  </si>
  <si>
    <t>AER Afantou</t>
  </si>
  <si>
    <t>https://en.wikipedia.org/wiki/Hellas_Syros_F.C.</t>
  </si>
  <si>
    <t>Agios Nikolaos</t>
  </si>
  <si>
    <t>Distinct club from FCSB.</t>
  </si>
  <si>
    <t>Marko</t>
  </si>
  <si>
    <t>Akrites Sykies</t>
  </si>
  <si>
    <t>Amfiali</t>
  </si>
  <si>
    <t>Anagennisi Arta</t>
  </si>
  <si>
    <t>Nestos Chrysoupoli</t>
  </si>
  <si>
    <t>Anagennisi Schimatari</t>
  </si>
  <si>
    <t>Series 1</t>
  </si>
  <si>
    <t>Historical reference dated 2005. Traditional club-colour reference dated 2005; current-season kit not verified. Red is an additional club colour.</t>
  </si>
  <si>
    <t>Niki Volos</t>
  </si>
  <si>
    <t>S18</t>
  </si>
  <si>
    <t>https://www.flashscore.ro/stiri/fotbal-liga-3-2026-2027-serii-echipe-program/Qkhurfcc/</t>
  </si>
  <si>
    <t>Anthoupoli Larissa</t>
  </si>
  <si>
    <t>AO Levante</t>
  </si>
  <si>
    <t>Olympiacos B</t>
  </si>
  <si>
    <t>AO Plataria</t>
  </si>
  <si>
    <t>Apollon Kalythies</t>
  </si>
  <si>
    <t>Uses the parent-club identity colours of Olympiacos; reserve-specific palette not independently confirmed. Parent source is a historical reference dated 2005.</t>
  </si>
  <si>
    <t>Panionios</t>
  </si>
  <si>
    <t>Apollon Paralimnio</t>
  </si>
  <si>
    <t>Panserraikos</t>
  </si>
  <si>
    <t>Apollon Smyrnis</t>
  </si>
  <si>
    <t>Ardas Kastanies</t>
  </si>
  <si>
    <t>Panthrakikos</t>
  </si>
  <si>
    <t>https://en.wikipedia.org/wiki/Panthrakikos_F.C.</t>
  </si>
  <si>
    <t>Aris Filiates</t>
  </si>
  <si>
    <t>PAOK B</t>
  </si>
  <si>
    <t>AS Vatolakkos</t>
  </si>
  <si>
    <t>Uses the parent-club identity colours of PAOK; reserve-specific palette not independently confirmed. Parent source is a historical reference dated 2005.</t>
  </si>
  <si>
    <t>PAS Pyrgos</t>
  </si>
  <si>
    <t>Asteras Agios Nikolaos</t>
  </si>
  <si>
    <t>Asteras Amaliada</t>
  </si>
  <si>
    <t>Zakynthos</t>
  </si>
  <si>
    <t>Asteras Magoula</t>
  </si>
  <si>
    <t>Asteras Stavros</t>
  </si>
  <si>
    <t>Published entrants; season not started at snapshot.</t>
  </si>
  <si>
    <t>Asteras Vari</t>
  </si>
  <si>
    <t>Asteras Vlachioti</t>
  </si>
  <si>
    <t>Doxa Drama</t>
  </si>
  <si>
    <t>Series 2</t>
  </si>
  <si>
    <t>Atromitos Patras</t>
  </si>
  <si>
    <t>Atsalenios</t>
  </si>
  <si>
    <t>Doxa Neo Sidirochori</t>
  </si>
  <si>
    <t>Chania City</t>
  </si>
  <si>
    <t>Diagoras</t>
  </si>
  <si>
    <t>Kavala</t>
  </si>
  <si>
    <t>Diagoras Agia Paraskevi</t>
  </si>
  <si>
    <t>Digenis Neochori</t>
  </si>
  <si>
    <t>https://fr.wikipedia.org/wiki/AO_Kavala</t>
  </si>
  <si>
    <t>Megas Aetos Orfano</t>
  </si>
  <si>
    <t>Doxa Mascholouri</t>
  </si>
  <si>
    <t>Orfeas Eleftheroupoli</t>
  </si>
  <si>
    <t>Doxa Vyronas</t>
  </si>
  <si>
    <t>PAO Pontioi Nea Amisos</t>
  </si>
  <si>
    <t>Egaleo</t>
  </si>
  <si>
    <t>Historical reference dated 2005. Traditional club-colour reference dated 2005; current-season kit not verified. White is an additional club colour.</t>
  </si>
  <si>
    <t>Xanthi</t>
  </si>
  <si>
    <t>Elassona</t>
  </si>
  <si>
    <t>Eordaikos</t>
  </si>
  <si>
    <t>https://fr.wikipedia.org/wiki/AO_Xanthi</t>
  </si>
  <si>
    <t>Episkopi</t>
  </si>
  <si>
    <t>Ergotelis</t>
  </si>
  <si>
    <t>Ermis Exochi</t>
  </si>
  <si>
    <t>Ermis Kiveri</t>
  </si>
  <si>
    <t>Ethnikos Asteras</t>
  </si>
  <si>
    <t>Ethnikos Neo Keramidi</t>
  </si>
  <si>
    <t>Ethnikos Piraeus</t>
  </si>
  <si>
    <t>Foinikas Polichni</t>
  </si>
  <si>
    <t>Fokikos</t>
  </si>
  <si>
    <t>Giouchtas</t>
  </si>
  <si>
    <t>Iraklis Thermaikos</t>
  </si>
  <si>
    <t>C109</t>
  </si>
  <si>
    <t>Ialysos</t>
  </si>
  <si>
    <t>Ilioupoli</t>
  </si>
  <si>
    <t>Kilkisiakos</t>
  </si>
  <si>
    <t>Ilisiakos</t>
  </si>
  <si>
    <t>Ionikos</t>
  </si>
  <si>
    <t>Makedonikos</t>
  </si>
  <si>
    <t>Iraklis Larissa</t>
  </si>
  <si>
    <t>MPAM FC</t>
  </si>
  <si>
    <t>Series 3</t>
  </si>
  <si>
    <t>Iraklis Xylokastro</t>
  </si>
  <si>
    <t>PAO Kristoni</t>
  </si>
  <si>
    <t>Karystos</t>
  </si>
  <si>
    <t>PAS Panedessaikos 2024</t>
  </si>
  <si>
    <t>Kastoria 1980</t>
  </si>
  <si>
    <t>Poseidon Nea Michaniona</t>
  </si>
  <si>
    <t>Katsantonis Agrafa</t>
  </si>
  <si>
    <t>C128</t>
  </si>
  <si>
    <t>Group 3</t>
  </si>
  <si>
    <t>C129</t>
  </si>
  <si>
    <t>Kifissos Kato Tithorea</t>
  </si>
  <si>
    <t>Lamia</t>
  </si>
  <si>
    <t>Lefkimmi</t>
  </si>
  <si>
    <t>Makedonikos Siatista</t>
  </si>
  <si>
    <t>Megas Alexandros Florina</t>
  </si>
  <si>
    <t>Naousa</t>
  </si>
  <si>
    <t>Loutraki</t>
  </si>
  <si>
    <t>PAS Giannina</t>
  </si>
  <si>
    <t>Thyella Katsikas</t>
  </si>
  <si>
    <t>Veria</t>
  </si>
  <si>
    <t>Group 4</t>
  </si>
  <si>
    <t>Miltiadis Pyrgos Trifylia</t>
  </si>
  <si>
    <t>Mykonos</t>
  </si>
  <si>
    <t>Series 4</t>
  </si>
  <si>
    <t>Nea Artaki</t>
  </si>
  <si>
    <t>Nea Ionia</t>
  </si>
  <si>
    <t>Pierikos</t>
  </si>
  <si>
    <t>OF Agios Matthaios</t>
  </si>
  <si>
    <t>Rigas Feraios Velestino</t>
  </si>
  <si>
    <t>Sarakinos Volos</t>
  </si>
  <si>
    <t>Trikala</t>
  </si>
  <si>
    <t>Olympiakos Chersonisos</t>
  </si>
  <si>
    <t>Group 5</t>
  </si>
  <si>
    <t>Pallixouriakos</t>
  </si>
  <si>
    <t>Panachaiki</t>
  </si>
  <si>
    <t>Panagriniakos</t>
  </si>
  <si>
    <t>Panakrotiriakos</t>
  </si>
  <si>
    <t>Panargiakos</t>
  </si>
  <si>
    <t>Panegialios</t>
  </si>
  <si>
    <t>Pannaxiakos</t>
  </si>
  <si>
    <t>Panthouriakos</t>
  </si>
  <si>
    <t>C166</t>
  </si>
  <si>
    <t>Panthyreatikos</t>
  </si>
  <si>
    <t>Tamynaikos Aliveri</t>
  </si>
  <si>
    <t>Thiva</t>
  </si>
  <si>
    <t>Historical reference dated 2005. Traditional club-colour reference dated 2005; current-season kit not verified. Black is an additional club colour.</t>
  </si>
  <si>
    <t>PAO Rouf</t>
  </si>
  <si>
    <t>Group 6</t>
  </si>
  <si>
    <t>PAS Korinthos</t>
  </si>
  <si>
    <t>Series 5</t>
  </si>
  <si>
    <t>S19</t>
  </si>
  <si>
    <t>https://liga2.prosport.ro/liga-3/componenta-seriilor-noului-sezon-de-liga-3-editia-2026-2027-19397075</t>
  </si>
  <si>
    <t>PAS Preveza</t>
  </si>
  <si>
    <t>Pelopas Kiato</t>
  </si>
  <si>
    <t>Platanias</t>
  </si>
  <si>
    <t>Proodeftiki</t>
  </si>
  <si>
    <t>C180</t>
  </si>
  <si>
    <t>https://fr.wikipedia.org/wiki/AO_Proodeftiki</t>
  </si>
  <si>
    <t>Rethymniakos</t>
  </si>
  <si>
    <t>Tilikratis Lefkada</t>
  </si>
  <si>
    <t>Saronikos Anavyssos</t>
  </si>
  <si>
    <t>Group 7</t>
  </si>
  <si>
    <t>S25</t>
  </si>
  <si>
    <t>https://www.epo.gr/el/competition/3/stage/1407/group/2072/matches</t>
  </si>
  <si>
    <t>Telos Agras Gargalianoi</t>
  </si>
  <si>
    <t>Thyella Rafina</t>
  </si>
  <si>
    <t>Tympaki</t>
  </si>
  <si>
    <t>C262</t>
  </si>
  <si>
    <t>Series 6</t>
  </si>
  <si>
    <t>AC Oulu</t>
  </si>
  <si>
    <t>C002</t>
  </si>
  <si>
    <t>https://fi.wikipedia.org/wiki/AC_Oulu</t>
  </si>
  <si>
    <t>EIF</t>
  </si>
  <si>
    <t>C072</t>
  </si>
  <si>
    <t>https://fr.wikipedia.org/wiki/Eken%C3%A4s_IF</t>
  </si>
  <si>
    <t>FC Haka</t>
  </si>
  <si>
    <t>C084</t>
  </si>
  <si>
    <t>https://fi.wikipedia.org/wiki/FC_Haka</t>
  </si>
  <si>
    <t>FC Inter Turku</t>
  </si>
  <si>
    <t>Group 8</t>
  </si>
  <si>
    <t>S24</t>
  </si>
  <si>
    <t>https://www.soccerway.com/greece/gamma-ethniki-group-8/</t>
  </si>
  <si>
    <t>C086</t>
  </si>
  <si>
    <t>https://fi.wikipedia.org/wiki/FC_Inter_Turku</t>
  </si>
  <si>
    <t>FC Inter Turku II</t>
  </si>
  <si>
    <t>Uses the parent-club identity colours of FC Inter Turku; reserve-specific palette not independently confirmed.</t>
  </si>
  <si>
    <t>FC Jazz</t>
  </si>
  <si>
    <t>C087</t>
  </si>
  <si>
    <t>https://de.wikipedia.org/wiki/FC_Jazz_Pori</t>
  </si>
  <si>
    <t>FC Lahti</t>
  </si>
  <si>
    <t>C136</t>
  </si>
  <si>
    <t>https://www.fclahti.fi/brandi-visio-ja-arvot/</t>
  </si>
  <si>
    <t>Red is an accent colour, rather than the second main brand colour.</t>
  </si>
  <si>
    <t>FF Jaro</t>
  </si>
  <si>
    <t>C092</t>
  </si>
  <si>
    <t>https://fi.wikipedia.org/wiki/FF_Jaro</t>
  </si>
  <si>
    <t>HJK</t>
  </si>
  <si>
    <t>C111</t>
  </si>
  <si>
    <t>https://fi.wikipedia.org/wiki/Helsingin_Jalkapalloklubi</t>
  </si>
  <si>
    <t>HJK Klubi 04</t>
  </si>
  <si>
    <t>Uses the parent-club identity colours of HJK; reserve-specific palette not independently confirmed.</t>
  </si>
  <si>
    <t>IF Gnistan</t>
  </si>
  <si>
    <t>C113</t>
  </si>
  <si>
    <t>https://fi.wikipedia.org/wiki/IF_Gnistan</t>
  </si>
  <si>
    <t>IFK Mariehamn</t>
  </si>
  <si>
    <t>C114</t>
  </si>
  <si>
    <t>https://fi.wikipedia.org/wiki/IFK_Mariehamn</t>
  </si>
  <si>
    <t>Ilves</t>
  </si>
  <si>
    <t>C115</t>
  </si>
  <si>
    <t>https://ilvesfutisliiga.fi/ukk/</t>
  </si>
  <si>
    <t>Club policy states yellow and green for all teams, including the men's first team.</t>
  </si>
  <si>
    <t>JIPPO</t>
  </si>
  <si>
    <t>C121</t>
  </si>
  <si>
    <t>https://fi.wikipedia.org/wiki/JIPPO</t>
  </si>
  <si>
    <t>Series 7</t>
  </si>
  <si>
    <t>JJK</t>
  </si>
  <si>
    <t>C123</t>
  </si>
  <si>
    <t>https://www.the-sports.org/football-soccer-jyvaskylan-jalkapalloklubi-results-identity-equ11260.html</t>
  </si>
  <si>
    <t>JäPS</t>
  </si>
  <si>
    <t>C120</t>
  </si>
  <si>
    <t>https://fi.wikipedia.org/wiki/J%C3%A4rvenp%C3%A4%C3%A4n_Palloseura</t>
  </si>
  <si>
    <t>Group 9</t>
  </si>
  <si>
    <t>KPV</t>
  </si>
  <si>
    <t>C131</t>
  </si>
  <si>
    <t>https://fr.wikipedia.org/wiki/Kokkolan_Palloveikot</t>
  </si>
  <si>
    <t>KTP</t>
  </si>
  <si>
    <t>C133</t>
  </si>
  <si>
    <t>https://www.the-sports.org/football-soccer-ktp-kotka-results-identity-equ10274.html</t>
  </si>
  <si>
    <t>KuPS</t>
  </si>
  <si>
    <t>C134</t>
  </si>
  <si>
    <t>https://fi.wikipedia.org/wiki/Kuopion_Palloseura</t>
  </si>
  <si>
    <t>KuPS Akatemia</t>
  </si>
  <si>
    <t>Uses the parent-club identity colours of KuPS; reserve-specific palette not independently confirmed.</t>
  </si>
  <si>
    <t>KäPa</t>
  </si>
  <si>
    <t>C126</t>
  </si>
  <si>
    <t>https://www.the-sports.org/football-soccer-kapylan-pallo-results-identity-equ22792.html</t>
  </si>
  <si>
    <t>Published club-colour reference, not a current-season playing-kit check.</t>
  </si>
  <si>
    <t>MP</t>
  </si>
  <si>
    <t>C154</t>
  </si>
  <si>
    <t>https://mikkelinpalloilijat.fi/yhteystiedot/historia/</t>
  </si>
  <si>
    <t>OLS</t>
  </si>
  <si>
    <t>C159</t>
  </si>
  <si>
    <t>https://www.the-sports.org/football-soccer-ols-oulu-results-identity-equ49839.html</t>
  </si>
  <si>
    <t>Historical OLS club identity; the modern AC Oulu/OLS playing-kit relationship is not independently verified here.</t>
  </si>
  <si>
    <t>PK-35</t>
  </si>
  <si>
    <t>C175</t>
  </si>
  <si>
    <t>https://edustus.pk-35.fi/miehet-edustus/90-vuotista-seuraa-muistettiin-juhlapelissa-on-tama-iso-juttu/</t>
  </si>
  <si>
    <t>2025</t>
  </si>
  <si>
    <t>PKKU</t>
  </si>
  <si>
    <t>RoPS</t>
  </si>
  <si>
    <t>C190</t>
  </si>
  <si>
    <t>https://www.the-sports.org/football-soccer-rovaniemi-rops-results-identity-equ7363.html</t>
  </si>
  <si>
    <t>Group 10</t>
  </si>
  <si>
    <t>SalPa</t>
  </si>
  <si>
    <t>Series 8</t>
  </si>
  <si>
    <t>S26</t>
  </si>
  <si>
    <t>https://www.epo.gr/el/competition/3/stage/1407/group/2075/matches</t>
  </si>
  <si>
    <t>C204</t>
  </si>
  <si>
    <t>https://fi.wikipedia.org/wiki/Salon_Palloilijat</t>
  </si>
  <si>
    <t>SJK</t>
  </si>
  <si>
    <t>C213</t>
  </si>
  <si>
    <t>https://fi.wikipedia.org/wiki/Sein%C3%A4joen_Jalkapallokerho</t>
  </si>
  <si>
    <t>SJK Akatemia</t>
  </si>
  <si>
    <t>Uses the parent-club identity colours of SJK; reserve-specific palette not independently confirmed.</t>
  </si>
  <si>
    <t>Tampere United</t>
  </si>
  <si>
    <t>C226</t>
  </si>
  <si>
    <t>https://fr.wikipedia.org/wiki/Tampere_United</t>
  </si>
  <si>
    <t>TPS</t>
  </si>
  <si>
    <t>C232</t>
  </si>
  <si>
    <t>https://fi.wikipedia.org/wiki/Turun_Palloseura_(jalkapallo)</t>
  </si>
  <si>
    <t>TPV</t>
  </si>
  <si>
    <t>C233</t>
  </si>
  <si>
    <t>https://fi.wikipedia.org/wiki/Tampereen_Pallo-Veikot</t>
  </si>
  <si>
    <t>White is also part of the traditional home kit.</t>
  </si>
  <si>
    <t>VJS</t>
  </si>
  <si>
    <t>C256</t>
  </si>
  <si>
    <t>https://vjs.fi/etusivu/seuravaatteet/</t>
  </si>
  <si>
    <t>Official guide specifies white home shirt/socks and black shorts. Red is a prominent training/identity accent; these two fields use the documented home-kit pair, not a formally ranked brand palette.</t>
  </si>
  <si>
    <t>VPS</t>
  </si>
  <si>
    <t>C258</t>
  </si>
  <si>
    <t>https://fi.wikipedia.org/wiki/Vaasan_Palloseura</t>
  </si>
  <si>
    <t>Bodø/Glimt</t>
  </si>
  <si>
    <t>Norway</t>
  </si>
  <si>
    <t>C022</t>
  </si>
  <si>
    <t>https://www.the-sports.org/football-soccer-fk-bodoglimt-results-identity-equ1291.html</t>
  </si>
  <si>
    <t>Brann</t>
  </si>
  <si>
    <t>C198</t>
  </si>
  <si>
    <t>https://www.rsssf.org/colours/norway.html</t>
  </si>
  <si>
    <t>Historical reference dated 2000. Traditional home palette; source dated 2000.</t>
  </si>
  <si>
    <t>Lillestrøm</t>
  </si>
  <si>
    <t>Viking</t>
  </si>
  <si>
    <t>Anderlecht</t>
  </si>
  <si>
    <t>Belgium</t>
  </si>
  <si>
    <t>C191</t>
  </si>
  <si>
    <t>https://www.rsssf.org/colours/belgium.html</t>
  </si>
  <si>
    <t>2001</t>
  </si>
  <si>
    <t>Historical reference dated 2001. Traditional club palette; source dated 2001.</t>
  </si>
  <si>
    <t>Club Brugge</t>
  </si>
  <si>
    <t>Gent</t>
  </si>
  <si>
    <t>Sint-Truidense</t>
  </si>
  <si>
    <t>Union Saint-Gilloise</t>
  </si>
  <si>
    <t>C241</t>
  </si>
  <si>
    <t>https://fr.wikipedia.org/wiki/Royale_Union_saint-gilloise</t>
  </si>
  <si>
    <t>Beşiktaş</t>
  </si>
  <si>
    <t>Türkiye</t>
  </si>
  <si>
    <t>C201</t>
  </si>
  <si>
    <t>https://www.rsssf.org/colours/turkey.html</t>
  </si>
  <si>
    <t>Traditional club palette; not a current-season kit check.</t>
  </si>
  <si>
    <t>Fenerbahçe</t>
  </si>
  <si>
    <t>Galatasaray</t>
  </si>
  <si>
    <t>Trabzonspor</t>
  </si>
  <si>
    <t>C234</t>
  </si>
  <si>
    <t>https://en.wikipedia.org/wiki/Trabzonspor</t>
  </si>
  <si>
    <t>Ajax</t>
  </si>
  <si>
    <t>Netherlands</t>
  </si>
  <si>
    <t>C197</t>
  </si>
  <si>
    <t>https://www.rsssf.org/colours/netherlands.html</t>
  </si>
  <si>
    <t>Historical reference dated 2001. Traditional home palette; source dated 2001.</t>
  </si>
  <si>
    <t>AZ Alkmaar</t>
  </si>
  <si>
    <t>FC Twente</t>
  </si>
  <si>
    <t>C089</t>
  </si>
  <si>
    <t>https://de.wikipedia.org/wiki/FC_Twente_Enschede</t>
  </si>
  <si>
    <t>Only red is explicitly documented as the defining club colour.</t>
  </si>
  <si>
    <t>Feyenoord</t>
  </si>
  <si>
    <t>Historical reference dated 2001. Traditional home palette; source dated 2001. Black is an additional colour.</t>
  </si>
  <si>
    <t>NEC Nijmegen</t>
  </si>
  <si>
    <t>C155</t>
  </si>
  <si>
    <t>https://fr.wikipedia.org/wiki/NEC_Nim%C3%A8gue</t>
  </si>
  <si>
    <t>Black is an equally important third club colour; primary/secondary are display order, not an official ranking.</t>
  </si>
  <si>
    <t>PSV Eindhoven</t>
  </si>
  <si>
    <t>LASK</t>
  </si>
  <si>
    <t>Austria</t>
  </si>
  <si>
    <t>C137</t>
  </si>
  <si>
    <t>https://de.wikipedia.org/wiki/LASK</t>
  </si>
  <si>
    <t>Red is a third identity/accent colour.</t>
  </si>
  <si>
    <t>Red Bull Salzburg</t>
  </si>
  <si>
    <t>C186</t>
  </si>
  <si>
    <t>https://de.wikipedia.org/wiki/FC_Red_Bull_Salzburg</t>
  </si>
  <si>
    <t>Sturm Graz</t>
  </si>
  <si>
    <t>C222</t>
  </si>
  <si>
    <t>https://fr.wikipedia.org/wiki/SK_Sturm_Graz</t>
  </si>
  <si>
    <t>Benfica</t>
  </si>
  <si>
    <t>Portugal</t>
  </si>
  <si>
    <t>C199</t>
  </si>
  <si>
    <t>https://www.rsssf.org/colours/portugal.html</t>
  </si>
  <si>
    <t>Braga</t>
  </si>
  <si>
    <t>Porto</t>
  </si>
  <si>
    <t>Sporting CP</t>
  </si>
  <si>
    <t>Torreense</t>
  </si>
  <si>
    <t>Sabah</t>
  </si>
  <si>
    <t>Azerbaijan</t>
  </si>
  <si>
    <t>C202</t>
  </si>
  <si>
    <t>https://en.wikipedia.org/wiki/Sabah_FK_(Azerbaijan)</t>
  </si>
  <si>
    <t>Uses the modern black/pink identity, not the earlier blue/white.</t>
  </si>
  <si>
    <t>Shakhtar Donetsk</t>
  </si>
  <si>
    <t>Ukraine</t>
  </si>
  <si>
    <t>C212</t>
  </si>
  <si>
    <t>https://fr.wikipedia.org/wiki/Chakhtar_Donetsk</t>
  </si>
  <si>
    <t>Jablonec</t>
  </si>
  <si>
    <t>Czechia</t>
  </si>
  <si>
    <t>C117</t>
  </si>
  <si>
    <t>https://fr.wikipedia.org/wiki/FK_Jablonec</t>
  </si>
  <si>
    <t>Slavia Prague</t>
  </si>
  <si>
    <t>C214</t>
  </si>
  <si>
    <t>https://fr.wikipedia.org/wiki/SK_Slavia_Prague</t>
  </si>
  <si>
    <t>Sparta Prague</t>
  </si>
  <si>
    <t>C218</t>
  </si>
  <si>
    <t>https://fr.wikipedia.org/wiki/AC_Sparta_Prague</t>
  </si>
  <si>
    <t>The traditional shirt palette is shown; the club emblem instead uses blue, yellow and red.</t>
  </si>
  <si>
    <t>Viktoria Plzeň</t>
  </si>
  <si>
    <t>C252</t>
  </si>
  <si>
    <t>https://fr.wikipedia.org/wiki/FC_Viktoria_Plze%C5%88</t>
  </si>
  <si>
    <t>Slovan Bratislava</t>
  </si>
  <si>
    <t>Slovakia</t>
  </si>
  <si>
    <t>C215</t>
  </si>
  <si>
    <t>https://fr.wikipedia.org/wiki/%C5%A0K_Slovan_Bratislava</t>
  </si>
  <si>
    <t>Ararat-Armenia</t>
  </si>
  <si>
    <t>Armenia</t>
  </si>
  <si>
    <t>C014</t>
  </si>
  <si>
    <t>https://fr.wikipedia.org/wiki/FC_Ararat-Armenia</t>
  </si>
  <si>
    <t>Celje</t>
  </si>
  <si>
    <t>Slovenia</t>
  </si>
  <si>
    <t>C043</t>
  </si>
  <si>
    <t>https://fr.wikipedia.org/wiki/NK_Celje</t>
  </si>
  <si>
    <t>Celtic</t>
  </si>
  <si>
    <t>Scotland</t>
  </si>
  <si>
    <t>C044</t>
  </si>
  <si>
    <t>https://fr.wikipedia.org/wiki/Celtic_Football_Club</t>
  </si>
  <si>
    <t>Heart of Midlothian</t>
  </si>
  <si>
    <t>C108</t>
  </si>
  <si>
    <t>https://fr.wikipedia.org/wiki/Heart_of_Midlothian_Football_Club</t>
  </si>
  <si>
    <t>Dinamo Zagreb</t>
  </si>
  <si>
    <t>Croatia</t>
  </si>
  <si>
    <t>C068</t>
  </si>
  <si>
    <t>https://fr.wikipedia.org/wiki/GNK_Dinamo_Zagreb</t>
  </si>
  <si>
    <t>Hajduk Split</t>
  </si>
  <si>
    <t>C103</t>
  </si>
  <si>
    <t>https://fr.wikipedia.org/wiki/HNK_Hajduk_Split</t>
  </si>
  <si>
    <t>Red is also represented in the traditional alternate strip and crest.</t>
  </si>
  <si>
    <t>Ferencváros</t>
  </si>
  <si>
    <t>Hungary</t>
  </si>
  <si>
    <t>C091</t>
  </si>
  <si>
    <t>https://fr.wikipedia.org/wiki/Ferencv%C3%A1ros_TC_(football)</t>
  </si>
  <si>
    <t>Hapoel Be'er Sheva</t>
  </si>
  <si>
    <t>Israel</t>
  </si>
  <si>
    <t>C107</t>
  </si>
  <si>
    <t>https://fr.wikipedia.org/wiki/Hapo%C3%ABl_Beer-Sheva</t>
  </si>
  <si>
    <t>Jagiellonia Białystok</t>
  </si>
  <si>
    <t>Poland</t>
  </si>
  <si>
    <t>C118</t>
  </si>
  <si>
    <t>https://fr.wikipedia.org/wiki/Jagiellonia_Bia%C5%82ystok</t>
  </si>
  <si>
    <t>Black is a third club colour.</t>
  </si>
  <si>
    <t>Lech Poznań</t>
  </si>
  <si>
    <t>FINLAND | TEAM DIRECTORY</t>
  </si>
  <si>
    <t>C141</t>
  </si>
  <si>
    <t>https://fr.wikipedia.org/wiki/Lech_Pozna%C5%84</t>
  </si>
  <si>
    <t>CSKA Sofia</t>
  </si>
  <si>
    <t>Men's domestic football  |  Season 2026  |  Top three tiers, all regional groups  |  Checked 11 Sep 2026</t>
  </si>
  <si>
    <t>Bulgaria</t>
  </si>
  <si>
    <t>C060</t>
  </si>
  <si>
    <t>https://fr.wikipedia.org/wiki/PFK_CSKA_Sofia</t>
  </si>
  <si>
    <t>Levski Sofia</t>
  </si>
  <si>
    <t>C142</t>
  </si>
  <si>
    <t>https://fr.wikipedia.org/wiki/PFK_Levski_Sofia</t>
  </si>
  <si>
    <t>UEFA | TEAM DIRECTORY</t>
  </si>
  <si>
    <t>Omonia</t>
  </si>
  <si>
    <t>Cyprus</t>
  </si>
  <si>
    <t>C160</t>
  </si>
  <si>
    <t>https://fr.wikipedia.org/wiki/Om%C3%B3nia_Nicosie</t>
  </si>
  <si>
    <t>2026/27  |  Champions League, Europa League and Conference League  |  League phase only  |  All associations</t>
  </si>
  <si>
    <t>Pafos</t>
  </si>
  <si>
    <t>C165</t>
  </si>
  <si>
    <t>https://en.wikipedia.org/wiki/Pafos_FC</t>
  </si>
  <si>
    <t>Gold is a third club colour.</t>
  </si>
  <si>
    <t>AGF Aarhus</t>
  </si>
  <si>
    <t>Denmark</t>
  </si>
  <si>
    <t>C008</t>
  </si>
  <si>
    <t>https://fr.wikipedia.org/wiki/AGF_Aarhus</t>
  </si>
  <si>
    <t>FC Copenhagen</t>
  </si>
  <si>
    <t>League phase</t>
  </si>
  <si>
    <t>C083</t>
  </si>
  <si>
    <t>https://de.wikipedia.org/wiki/FC_Kopenhagen</t>
  </si>
  <si>
    <t>FC Midtjylland</t>
  </si>
  <si>
    <t>C088</t>
  </si>
  <si>
    <t>https://de.wikipedia.org/wiki/FC_Midtjylland</t>
  </si>
  <si>
    <t>FC Nordsjælland</t>
  </si>
  <si>
    <t>C157</t>
  </si>
  <si>
    <t>https://www.the-sports.org/football-soccer-fc-nordsjaelland-results-identity-equ843.html</t>
  </si>
  <si>
    <t>Borac Banja Luka</t>
  </si>
  <si>
    <t>Bosnia and Herzegovina</t>
  </si>
  <si>
    <t>C024</t>
  </si>
  <si>
    <t>https://fr.wikipedia.org/wiki/FK_Borac_Banja_Luka</t>
  </si>
  <si>
    <t>White is a third colour.</t>
  </si>
  <si>
    <t>Crvena Zvezda</t>
  </si>
  <si>
    <t>Serbia</t>
  </si>
  <si>
    <t>C054</t>
  </si>
  <si>
    <t>https://fr.wikipedia.org/wiki/%C3%89toile_rouge_de_Belgrade_(football)</t>
  </si>
  <si>
    <t>Egnatia</t>
  </si>
  <si>
    <t>Albania</t>
  </si>
  <si>
    <t>C071</t>
  </si>
  <si>
    <t>https://fr.wikipedia.org/wiki/KF_Egnatia_Rrogozhin%C3%AB</t>
  </si>
  <si>
    <t>Iberia Tbilisi</t>
  </si>
  <si>
    <t>Georgia</t>
  </si>
  <si>
    <t>C112</t>
  </si>
  <si>
    <t>https://fr.wikipedia.org/wiki/FC_Iberia_1999</t>
  </si>
  <si>
    <t>Inter Club d'Escaldes</t>
  </si>
  <si>
    <t>Andorra</t>
  </si>
  <si>
    <t>C116</t>
  </si>
  <si>
    <t>https://en.wikipedia.org/wiki/Inter_Club_d%27Escaldes</t>
  </si>
  <si>
    <t>Kairat Almaty</t>
  </si>
  <si>
    <t>Kazakhstan</t>
  </si>
  <si>
    <t>C125</t>
  </si>
  <si>
    <t>https://fr.wikipedia.org/wiki/FK_Ka%C3%AFrat_Almaty</t>
  </si>
  <si>
    <t>Kauno Žalgiris</t>
  </si>
  <si>
    <t>Lithuania</t>
  </si>
  <si>
    <t>C127</t>
  </si>
  <si>
    <t>https://de.wikipedia.org/wiki/FK_Kauno_%C5%BDalgiris</t>
  </si>
  <si>
    <t>Lincoln Red Imps</t>
  </si>
  <si>
    <t>Gibraltar</t>
  </si>
  <si>
    <t>C143</t>
  </si>
  <si>
    <t>https://www.claudionicoletti.eu/tabelle/Clubcode/GIBRALTAR.htm</t>
  </si>
  <si>
    <t>2025/26</t>
  </si>
  <si>
    <t>White is an additional crest colour. This source is preferred over a conflicting red/white-only reference.</t>
  </si>
  <si>
    <t>Lugano</t>
  </si>
  <si>
    <t>Switzerland</t>
  </si>
  <si>
    <t>C146</t>
  </si>
  <si>
    <t>https://de.wikipedia.org/wiki/FC_Lugano</t>
  </si>
  <si>
    <t>Thun</t>
  </si>
  <si>
    <t>C230</t>
  </si>
  <si>
    <t>https://fr.wikipedia.org/wiki/FC_Thoune</t>
  </si>
  <si>
    <t>Mjällby</t>
  </si>
  <si>
    <t>Sweden</t>
  </si>
  <si>
    <t>C152</t>
  </si>
  <si>
    <t>https://fr.wikipedia.org/wiki/Mj%C3%A4llby_AIF</t>
  </si>
  <si>
    <t>Riga FC</t>
  </si>
  <si>
    <t>Latvia</t>
  </si>
  <si>
    <t>C189</t>
  </si>
  <si>
    <t>https://fr.wikipedia.org/wiki/Riga_Football_Club</t>
  </si>
  <si>
    <t>SOURCES | REFERENCE REGISTER</t>
  </si>
  <si>
    <t>Checked 11 September 2026  |  Official league and federation sources prioritised; secondary sources are identified explicitly</t>
  </si>
  <si>
    <t>Publisher</t>
  </si>
  <si>
    <t>Type</t>
  </si>
  <si>
    <t>Checked</t>
  </si>
  <si>
    <t>Usage / notes</t>
  </si>
  <si>
    <t>Row use</t>
  </si>
  <si>
    <t>Official</t>
  </si>
  <si>
    <t>England - Premier League</t>
  </si>
  <si>
    <t>English Football League</t>
  </si>
  <si>
    <t>England - Championship</t>
  </si>
  <si>
    <t>Current league table embedded in the EFL article; checked on 11 September 2026.</t>
  </si>
  <si>
    <t>England - League One</t>
  </si>
  <si>
    <t>Spain - LaLiga</t>
  </si>
  <si>
    <t>Spain - Segunda Division</t>
  </si>
  <si>
    <t>Royal Spanish Football Federation</t>
  </si>
  <si>
    <t>Spain - Primera Federacion, both groups</t>
  </si>
  <si>
    <t>Virgilio Sport</t>
  </si>
  <si>
    <t>Secondary</t>
  </si>
  <si>
    <t>Italy - Serie A, Serie B and all Serie C groups</t>
  </si>
  <si>
    <t>Season-specific 2026/2027 team directory; Serie C groups cross-checked against the July 29 group announcement.</t>
  </si>
  <si>
    <t>Blasting News Italia</t>
  </si>
  <si>
    <t>Italy - Serie C group composition cross-check</t>
  </si>
  <si>
    <t>Wikipedia; Bundesliga source cited on page</t>
  </si>
  <si>
    <t>Germany - Bundesliga</t>
  </si>
  <si>
    <t>Germany - 2. Bundesliga</t>
  </si>
  <si>
    <t>German Football Association (DFB)</t>
  </si>
  <si>
    <t>Germany - 3. Liga</t>
  </si>
  <si>
    <t>Final licensed field includes TSV Havelse in place of TSV 1860 Munich.</t>
  </si>
  <si>
    <t>Ligue de Football Professionnel</t>
  </si>
  <si>
    <t>France - Ligue 1</t>
  </si>
  <si>
    <t>Opening-round fixture list identifies all 18 clubs.</t>
  </si>
  <si>
    <t>Wikipedia; Ligue 2 source cited on page</t>
  </si>
  <si>
    <t>France - Ligue 2</t>
  </si>
  <si>
    <t>French Football Federation (FFF)</t>
  </si>
  <si>
    <t>France - Ligue 3</t>
  </si>
  <si>
    <t>Ligue 3 is the current 2026/27 name of the third tier, formerly Championnat National.</t>
  </si>
  <si>
    <t>S15</t>
  </si>
  <si>
    <t>France - Ligue 2 schedule cross-check</t>
  </si>
  <si>
    <t>https://ligue1.com/fr/articles/l1_article_5281-saison-26-27-le-calendrier-des-matchs-de-ligue-2-bkt</t>
  </si>
  <si>
    <t>Romanian Professional Football League (LPF)</t>
  </si>
  <si>
    <t>Romania - SuperLiga</t>
  </si>
  <si>
    <t>Romanian Football Federation (FRF)</t>
  </si>
  <si>
    <t>Romania - Liga II</t>
  </si>
  <si>
    <t>Opening-round fixture list identifies all 22 entrants.</t>
  </si>
  <si>
    <t>Flashscore Romania</t>
  </si>
  <si>
    <t>Romania - Liga III group composition</t>
  </si>
  <si>
    <t>Reports the FRF group allocation; Groups 1-4 used in the team list.</t>
  </si>
  <si>
    <t>ProSport / Liga2.ro</t>
  </si>
  <si>
    <t>Reports the FRF group allocation; Groups 5-8 used in the team list.</t>
  </si>
  <si>
    <t>Romania - Liga III approval and schedules</t>
  </si>
  <si>
    <t>Official schedule hub; eight groups of 12 teams.</t>
  </si>
  <si>
    <t>Super League Greece</t>
  </si>
  <si>
    <t>Greece - Super League</t>
  </si>
  <si>
    <t>Season selector 2026-2027; full field cross-checked with the season overview.</t>
  </si>
  <si>
    <t>Wikipedia; Super League 2 cited on page</t>
  </si>
  <si>
    <t>Greece - Super League 2</t>
  </si>
  <si>
    <t>2026/27 has one unified 16-team division.</t>
  </si>
  <si>
    <t>Wikipedia; Hellenic Football Federation links</t>
  </si>
  <si>
    <t>Greece - Gamma Ethniki, all groups</t>
  </si>
  <si>
    <t>Published 2026/27 entrants. Season has not started as at 11 September 2026. English name spellings retained.</t>
  </si>
  <si>
    <t>Soccerway</t>
  </si>
  <si>
    <t>Greece - Gamma Ethniki Group 8</t>
  </si>
  <si>
    <t>Opening fixtures confirm the 12 entrants, including Ialysos.</t>
  </si>
  <si>
    <t>Hellenic Football Federation (EPO)</t>
  </si>
  <si>
    <t>Greece - Gamma Ethniki Group 7</t>
  </si>
  <si>
    <t>Official group fixtures; English transliterations cross-checked with the season overview.</t>
  </si>
  <si>
    <t>Greece - Gamma Ethniki Group 10</t>
  </si>
  <si>
    <t>S27</t>
  </si>
  <si>
    <t>Sportal Greece</t>
  </si>
  <si>
    <t>Greece - Super League membership cross-check</t>
  </si>
  <si>
    <t>https://www.sportal.gr/podosfairo/article/o-chartis-tis-super-league-gia-to-2026-27-oi-14-omades</t>
  </si>
  <si>
    <t>Finland - Veikkausliiga</t>
  </si>
  <si>
    <t>2026 regular-season field; subsequent championship/relegation groups are not duplicated.</t>
  </si>
  <si>
    <t>Transfermarkt</t>
  </si>
  <si>
    <t>Finland - Ykkosliiga</t>
  </si>
  <si>
    <t>2026 field. Reserve aliases standardised to SJK Akatemia and HJK Klubi 04.</t>
  </si>
  <si>
    <t>Football Association of Finland</t>
  </si>
  <si>
    <t>Finland - Ykkonen</t>
  </si>
  <si>
    <t>All 12 regular-season entrants, combining the two six-team continuation groups without duplication.</t>
  </si>
  <si>
    <t>S31</t>
  </si>
  <si>
    <t>Finland - Ykkosliiga name cross-check</t>
  </si>
  <si>
    <t>https://www.palloliitto.fi/ajankohtaista/ykkosliigan-toukokuu-paatokseen-ktpn-komennossa</t>
  </si>
  <si>
    <t>UEFA Champions League - league phase</t>
  </si>
  <si>
    <t>36 league-phase entrants; qualifying-only clubs excluded.</t>
  </si>
  <si>
    <t>UEFA Europa League - league phase</t>
  </si>
  <si>
    <t>Only clubs under the League phase heading; earlier qualifying rounds excluded.</t>
  </si>
  <si>
    <t>UEFA Conference League - league phase</t>
  </si>
  <si>
    <t>36 league-phase entrants; club names standardised to match domestic entries.</t>
  </si>
  <si>
    <t>S35</t>
  </si>
  <si>
    <t>UEFA Conference League - fixture cross-check</t>
  </si>
  <si>
    <t>https://www.uefa.com/uefaconferenceleague/news/02a8-2174cb200f25-b94693ddff4e-1000--2026-27-conference-league-all-the-league-phase-fixtures/</t>
  </si>
  <si>
    <t>Row use counts direct references from All Teams. A source with zero direct references was used as a cross-check or supporting context. Links may change after this snapshot.</t>
  </si>
  <si>
    <t>COLOUR SOURCES | EVIDENCE REGISTER</t>
  </si>
  <si>
    <t>URLs support the colour references, not a fresh audit of 2026/27 league membership. Source years are shown when known.</t>
  </si>
  <si>
    <t>Reference name</t>
  </si>
  <si>
    <t>Publisher / author</t>
  </si>
  <si>
    <t>Reference type</t>
  </si>
  <si>
    <t>Distinct teams using source</t>
  </si>
  <si>
    <t>Use / limitation</t>
  </si>
  <si>
    <t>1. FC Heidenheim de Wikipedia</t>
  </si>
  <si>
    <t>Wikipedia contributors</t>
  </si>
  <si>
    <t>Not dated</t>
  </si>
  <si>
    <t>Colour reference only; not an official HEX specification or a fresh verification of the roster.</t>
  </si>
  <si>
    <t>AC Oulu fi Wikipedia</t>
  </si>
  <si>
    <t>ACS Medias en Wikipedia</t>
  </si>
  <si>
    <t>Colour pair translated from a documented club nickname; colour order is a display convention.</t>
  </si>
  <si>
    <t>ACSO Filiasi en Wikipedia</t>
  </si>
  <si>
    <t>AD Ceuta identity 2026</t>
  </si>
  <si>
    <t>Radio Television Ceuta / Macron statement</t>
  </si>
  <si>
    <t>Aerostar Bacau en Wikipedia</t>
  </si>
  <si>
    <t>AFC Wimbledon en Wikipedia</t>
  </si>
  <si>
    <t>AGF Aarhus fr Wikipedia</t>
  </si>
  <si>
    <t>Aguilas es Wikipedia</t>
  </si>
  <si>
    <t>Albacete fr Wikipedia</t>
  </si>
  <si>
    <t>AlbinoLeffe it Wikipedia</t>
  </si>
  <si>
    <t>Alcione Milano it Wikipedia</t>
  </si>
  <si>
    <t>Amiens fr Wikipedia</t>
  </si>
  <si>
    <t>Ararat-Armenia fr Wikipedia</t>
  </si>
  <si>
    <t>Arenas Club fr Wikipedia</t>
  </si>
  <si>
    <t>Arezzo it Wikipedia</t>
  </si>
  <si>
    <t>Arzignano Valchiampo it Wikipedia</t>
  </si>
  <si>
    <t>Aubagne Air Bel fr Wikipedia</t>
  </si>
  <si>
    <t>Audace Cerignola it Wikipedia</t>
  </si>
  <si>
    <t>Barletta it Wikipedia</t>
  </si>
  <si>
    <t>Benevento it Wikipedia</t>
  </si>
  <si>
    <t>Bodo sports reference</t>
  </si>
  <si>
    <t>The-Sports.org</t>
  </si>
  <si>
    <t>Bolton Wanderers en Wikipedia</t>
  </si>
  <si>
    <t>Borac Banja Luka fr Wikipedia</t>
  </si>
  <si>
    <t>Borussia Monchengladbach de Wikipedia</t>
  </si>
  <si>
    <t>Boulogne fr Wikipedia</t>
  </si>
  <si>
    <t>Bourg-en-Bresse Peronnas fr Wikipedia</t>
  </si>
  <si>
    <t>Bournemouth en Wikipedia</t>
  </si>
  <si>
    <t>Brentford en Wikipedia</t>
  </si>
  <si>
    <t>Bromley colour reference</t>
  </si>
  <si>
    <t>See source</t>
  </si>
  <si>
    <t>Burton Albion en Wikipedia</t>
  </si>
  <si>
    <t>Cambridge United en Wikipedia</t>
  </si>
  <si>
    <t>Campobasso it Wikipedia</t>
  </si>
  <si>
    <t>Cannes fr Wikipedia</t>
  </si>
  <si>
    <t>Carpi it Wikipedia</t>
  </si>
  <si>
    <t>Carrarese it Wikipedia</t>
  </si>
  <si>
    <t>Casarano it Wikipedia</t>
  </si>
  <si>
    <t>Catania it Wikipedia</t>
  </si>
  <si>
    <t>Catanzaro it Wikipedia</t>
  </si>
  <si>
    <t>Cavese it Wikipedia</t>
  </si>
  <si>
    <t>CE Europa fr Wikipedia</t>
  </si>
  <si>
    <t>Ceahlaul Piatra Neamt en Wikipedia</t>
  </si>
  <si>
    <t>Celje fr Wikipedia</t>
  </si>
  <si>
    <t>Celtic fr Wikipedia</t>
  </si>
  <si>
    <t>CFR Cluj en Wikipedia</t>
  </si>
  <si>
    <t>Chindia Targoviste en Wikipedia</t>
  </si>
  <si>
    <t>Cittadella it Wikipedia</t>
  </si>
  <si>
    <t>Clermont fr Wikipedia</t>
  </si>
  <si>
    <t>Concarneau fr Wikipedia</t>
  </si>
  <si>
    <t>Concordia Chiajna en Wikipedia</t>
  </si>
  <si>
    <t>Corvinul Hunedoara en Wikipedia</t>
  </si>
  <si>
    <t>Coventry City en Wikipedia</t>
  </si>
  <si>
    <t>Crotone it Wikipedia</t>
  </si>
  <si>
    <t>Crvena Zvezda fr Wikipedia</t>
  </si>
  <si>
    <t>CS Afumati en Wikipedia</t>
  </si>
  <si>
    <t>CS Dinamo Bucuresti en Wikipedia</t>
  </si>
  <si>
    <t>CSC 1599 Selimbar en Wikipedia</t>
  </si>
  <si>
    <t>CSC Dumbravita en Wikipedia</t>
  </si>
  <si>
    <t>Csikszereda Miercurea Ciuc en Wikipedia</t>
  </si>
  <si>
    <t>CSKA Sofia fr Wikipedia</t>
  </si>
  <si>
    <t>CSM Resita en Wikipedia</t>
  </si>
  <si>
    <t>CSM Sacele en Wikipedia</t>
  </si>
  <si>
    <t>CSM Slatina en Wikipedia</t>
  </si>
  <si>
    <t>Cultural Leonesa fr Wikipedia</t>
  </si>
  <si>
    <t>Desenzano official identity</t>
  </si>
  <si>
    <t>Desenzano FC</t>
  </si>
  <si>
    <t>Dijon fr Wikipedia</t>
  </si>
  <si>
    <t>Dinamo Bucuresti ro Wikipedia</t>
  </si>
  <si>
    <t>Dinamo Zagreb fr Wikipedia</t>
  </si>
  <si>
    <t>Dolomiti Bellunesi it Wikipedia</t>
  </si>
  <si>
    <t>Dunarea Calarasi en Wikipedia</t>
  </si>
  <si>
    <t>Egnatia fr Wikipedia</t>
  </si>
  <si>
    <t>EIF fr Wikipedia</t>
  </si>
  <si>
    <t>Eldense es Wikipedia</t>
  </si>
  <si>
    <t>Empoli it Wikipedia</t>
  </si>
  <si>
    <t>Energie Cottbus de Wikipedia</t>
  </si>
  <si>
    <t>Extremadura es Wikipedia</t>
  </si>
  <si>
    <t>Farul Constanta en Wikipedia</t>
  </si>
  <si>
    <t>FC Andorra es Wikipedia</t>
  </si>
  <si>
    <t>FC Arges ro Wikipedia</t>
  </si>
  <si>
    <t>FC Augsburg de Wikipedia</t>
  </si>
  <si>
    <t>FC Bihor Oradea en Wikipedia</t>
  </si>
  <si>
    <t>FC Botosani ro Wikipedia</t>
  </si>
  <si>
    <t>FC Copenhagen de Wikipedia</t>
  </si>
  <si>
    <t>FC Haka fi Wikipedia</t>
  </si>
  <si>
    <t>FC Ingolstadt de Wikipedia</t>
  </si>
  <si>
    <t>FC Inter Turku fi Wikipedia</t>
  </si>
  <si>
    <t>FC Jazz de Wikipedia</t>
  </si>
  <si>
    <t>FC Midtjylland de Wikipedia</t>
  </si>
  <si>
    <t>FC Twente de Wikipedia</t>
  </si>
  <si>
    <t>FCSB en Wikipedia</t>
  </si>
  <si>
    <t>Ferencvaros fr Wikipedia</t>
  </si>
  <si>
    <t>FF Jaro fi Wikipedia</t>
  </si>
  <si>
    <t>Fleury 91 fr Wikipedia</t>
  </si>
  <si>
    <t>Folgore Caratese it Wikipedia</t>
  </si>
  <si>
    <t>Forli it Wikipedia</t>
  </si>
  <si>
    <t>Frosinone it Wikipedia</t>
  </si>
  <si>
    <t>Giana Erminio it Wikipedia</t>
  </si>
  <si>
    <t>Giugliano it Wikipedia</t>
  </si>
  <si>
    <t>Grenoble fr Wikipedia</t>
  </si>
  <si>
    <t>Grosseto it Wikipedia</t>
  </si>
  <si>
    <t>Gubbio it Wikipedia</t>
  </si>
  <si>
    <t>Guidonia Montecelio it Wikipedia</t>
  </si>
  <si>
    <t>Hajduk Split fr Wikipedia</t>
  </si>
  <si>
    <t>Hamburger SV de Wikipedia</t>
  </si>
  <si>
    <t>Hannover 96 de Wikipedia</t>
  </si>
  <si>
    <t>Hansa Rostock de Wikipedia</t>
  </si>
  <si>
    <t>Hapoel Be'er Sheva fr Wikipedia</t>
  </si>
  <si>
    <t>Heart of Midlothian fr Wikipedia</t>
  </si>
  <si>
    <t>Hellas Syros en Wikipedia</t>
  </si>
  <si>
    <t>Hermannstadt en Wikipedia</t>
  </si>
  <si>
    <t>HJK fi Wikipedia</t>
  </si>
  <si>
    <t>Iberia Tbilisi fr Wikipedia</t>
  </si>
  <si>
    <t>IF Gnistan fi Wikipedia</t>
  </si>
  <si>
    <t>IFK Mariehamn fi Wikipedia</t>
  </si>
  <si>
    <t>Ilves uniform policy</t>
  </si>
  <si>
    <t>Inter Club d'Escaldes en Wikipedia</t>
  </si>
  <si>
    <t>Jablonec fr Wikipedia</t>
  </si>
  <si>
    <t>Jagiellonia Bialystok fr Wikipedia</t>
  </si>
  <si>
    <t>Jahn Regensburg de Wikipedia</t>
  </si>
  <si>
    <t>JaPS fi Wikipedia</t>
  </si>
  <si>
    <t>JIPPO fi Wikipedia</t>
  </si>
  <si>
    <t>Jiul Petrosani en Wikipedia</t>
  </si>
  <si>
    <t>JJK The-Sports</t>
  </si>
  <si>
    <t>The-Sports.org / Info Media Conseil</t>
  </si>
  <si>
    <t>Juve Stabia it Wikipedia</t>
  </si>
  <si>
    <t>Kairat Almaty fr Wikipedia</t>
  </si>
  <si>
    <t>KaPa The-Sports</t>
  </si>
  <si>
    <t>Kauno Zalgiris de Wikipedia</t>
  </si>
  <si>
    <t>Kavala fr Wikipedia</t>
  </si>
  <si>
    <t>Kifisia en Wikipedia</t>
  </si>
  <si>
    <t>Kit colours directory</t>
  </si>
  <si>
    <t>KPV fr Wikipedia</t>
  </si>
  <si>
    <t>KSE Targu Secuiesc en Wikipedia</t>
  </si>
  <si>
    <t>KTP The-Sports</t>
  </si>
  <si>
    <t>KuPS fi Wikipedia</t>
  </si>
  <si>
    <t>La Roche Vendee Football fr Wikipedia</t>
  </si>
  <si>
    <t>Lahti official brand</t>
  </si>
  <si>
    <t>LASK de Wikipedia</t>
  </si>
  <si>
    <t>Latina it Wikipedia</t>
  </si>
  <si>
    <t>Le Puy fr Wikipedia</t>
  </si>
  <si>
    <t>Lecco it Wikipedia</t>
  </si>
  <si>
    <t>Lech Poznan fr Wikipedia</t>
  </si>
  <si>
    <t>Levski Sofia fr Wikipedia</t>
  </si>
  <si>
    <t>Lincoln club history reference</t>
  </si>
  <si>
    <t>Claudio Nicoletti</t>
  </si>
  <si>
    <t>Liverpool en Wikipedia</t>
  </si>
  <si>
    <t>Lorient fr Wikipedia</t>
  </si>
  <si>
    <t>Lugano de Wikipedia</t>
  </si>
  <si>
    <t>Lumezzane it Wikipedia</t>
  </si>
  <si>
    <t>Luton Town en Wikipedia</t>
  </si>
  <si>
    <t>Mainz 05 de Wikipedia</t>
  </si>
  <si>
    <t>Mantova it Wikipedia</t>
  </si>
  <si>
    <t>Minerul Lupeni en Wikipedia</t>
  </si>
  <si>
    <t>Mjallby fr Wikipedia</t>
  </si>
  <si>
    <t>Monopoli it Wikipedia</t>
  </si>
  <si>
    <t>MP official history</t>
  </si>
  <si>
    <t>Mikkelin Palloilijat</t>
  </si>
  <si>
    <t>NEC Nijmegen fr Wikipedia</t>
  </si>
  <si>
    <t>Nice official colours</t>
  </si>
  <si>
    <t>OGC Nice</t>
  </si>
  <si>
    <t>Nordsjaelland sports reference</t>
  </si>
  <si>
    <t>Novara it Wikipedia</t>
  </si>
  <si>
    <t>OLS The-Sports</t>
  </si>
  <si>
    <t>Omonia fr Wikipedia</t>
  </si>
  <si>
    <t>Osasuna fr Wikipedia</t>
  </si>
  <si>
    <t>Ospitaletto Franciacorta it Wikipedia</t>
  </si>
  <si>
    <t>Ostiamare it Wikipedia</t>
  </si>
  <si>
    <t>Otelul Galati en Wikipedia</t>
  </si>
  <si>
    <t>Pafos en Wikipedia</t>
  </si>
  <si>
    <t>Panthrakikos en Wikipedia</t>
  </si>
  <si>
    <t>Paris 13 Atletico fr Wikipedia</t>
  </si>
  <si>
    <t>Paris FC fr Wikipedia</t>
  </si>
  <si>
    <t>Pau fr Wikipedia</t>
  </si>
  <si>
    <t>Pergolettese it Wikipedia</t>
  </si>
  <si>
    <t>Petrolul Ploiesti en Wikipedia</t>
  </si>
  <si>
    <t>Pianese it Wikipedia</t>
  </si>
  <si>
    <t>Picerno it Wikipedia</t>
  </si>
  <si>
    <t>Pineto it Wikipedia</t>
  </si>
  <si>
    <t>PK35 official anniversary</t>
  </si>
  <si>
    <t>Politehnica Timisoara en Wikipedia</t>
  </si>
  <si>
    <t>Potenza it Wikipedia</t>
  </si>
  <si>
    <t>Preussen Munster de Wikipedia</t>
  </si>
  <si>
    <t>Pro Vercelli it Wikipedia</t>
  </si>
  <si>
    <t>Proodeftiki fr Wikipedia</t>
  </si>
  <si>
    <t>Quevilly Rouen Metropole fr Wikipedia</t>
  </si>
  <si>
    <t>Rapid Bucuresti ro Wikipedia</t>
  </si>
  <si>
    <t>RB Leipzig de Wikipedia</t>
  </si>
  <si>
    <t>Real Jaen fr Wikipedia</t>
  </si>
  <si>
    <t>Real Oviedo fr Wikipedia</t>
  </si>
  <si>
    <t>Red Bull Salzburg de Wikipedia</t>
  </si>
  <si>
    <t>Renate it Wikipedia</t>
  </si>
  <si>
    <t>Rennes fr Wikipedia</t>
  </si>
  <si>
    <t>Riga FC fr Wikipedia</t>
  </si>
  <si>
    <t>RoPS The-Sports</t>
  </si>
  <si>
    <t>RSSSF Belgium</t>
  </si>
  <si>
    <t>George Chilvers / RSSSF; Belgian FA</t>
  </si>
  <si>
    <t>Historical reference. Do not treat this as a verified 2026/27 kit or current brand specification.</t>
  </si>
  <si>
    <t>RSSSF England</t>
  </si>
  <si>
    <t>George Chilvers / RSSSF</t>
  </si>
  <si>
    <t>RSSSF France</t>
  </si>
  <si>
    <t>RSSSF Germany</t>
  </si>
  <si>
    <t>RSSSF Greece</t>
  </si>
  <si>
    <t>Alexander Mastrogiannopoulos / RSSSF (copying permitted with acknowledgement)</t>
  </si>
  <si>
    <t>Historical reference. Do not treat this as a verified 2026/27 kit or current brand specification. Author credit: Alexander Mastrogiannopoulos / RSSSF; source permits copying with acknowledgement.</t>
  </si>
  <si>
    <t>RSSSF Italy</t>
  </si>
  <si>
    <t>George Chilvers / RSSSF; thanks to Alberto Novello</t>
  </si>
  <si>
    <t>RSSSF Netherlands</t>
  </si>
  <si>
    <t>RSSSF Norway</t>
  </si>
  <si>
    <t>George Chilvers / RSSSF; Norwegian FA</t>
  </si>
  <si>
    <t>RSSSF Portugal</t>
  </si>
  <si>
    <t>RSSSF Spain</t>
  </si>
  <si>
    <t>Pablo Aro Geraldes / RSSSF; thanks to George Chilvers</t>
  </si>
  <si>
    <t>RSSSF Turkey</t>
  </si>
  <si>
    <t>RSSSF</t>
  </si>
  <si>
    <t>Sabah en Wikipedia</t>
  </si>
  <si>
    <t>Salernitana it Wikipedia</t>
  </si>
  <si>
    <t>SalPa fi Wikipedia</t>
  </si>
  <si>
    <t>Sambenedettese Lega Pro</t>
  </si>
  <si>
    <t>Lega Pro</t>
  </si>
  <si>
    <t>Sassuolo it Wikipedia</t>
  </si>
  <si>
    <t>Savoia it Wikipedia</t>
  </si>
  <si>
    <t>SC Paderborn de Wikipedia</t>
  </si>
  <si>
    <t>SC Popesti-Leordeni en Wikipedia</t>
  </si>
  <si>
    <t>Scafatese it Wikipedia</t>
  </si>
  <si>
    <t>Sepsi OSK en Wikipedia</t>
  </si>
  <si>
    <t>Shakhtar Donetsk fr Wikipedia</t>
  </si>
  <si>
    <t>SJK fi Wikipedia</t>
  </si>
  <si>
    <t>Slavia Prague fr Wikipedia</t>
  </si>
  <si>
    <t>Slovan Bratislava fr Wikipedia</t>
  </si>
  <si>
    <t>Sonnenhof Grossaspach de Wikipedia</t>
  </si>
  <si>
    <t>Sorrento it Wikipedia</t>
  </si>
  <si>
    <t>Sparta Prague fr Wikipedia</t>
  </si>
  <si>
    <t>Spezia it Wikipedia</t>
  </si>
  <si>
    <t>Steaua Bucuresti en Wikipedia</t>
  </si>
  <si>
    <t>Stevenage en Wikipedia</t>
  </si>
  <si>
    <t>Sturm Graz fr Wikipedia</t>
  </si>
  <si>
    <t>Sudtirol it Wikipedia</t>
  </si>
  <si>
    <t>SV Elversberg de Wikipedia</t>
  </si>
  <si>
    <t>SV Wehen Wiesbaden de Wikipedia</t>
  </si>
  <si>
    <t>Tampere United fr Wikipedia</t>
  </si>
  <si>
    <t>Team Altamura it Wikipedia</t>
  </si>
  <si>
    <t>Teruel fr Wikipedia</t>
  </si>
  <si>
    <t>Thionville Lusitanos fr Wikipedia</t>
  </si>
  <si>
    <t>Thun fr Wikipedia</t>
  </si>
  <si>
    <t>Torres it Wikipedia</t>
  </si>
  <si>
    <t>TPS fi Wikipedia</t>
  </si>
  <si>
    <t>TPV fi Wikipedia</t>
  </si>
  <si>
    <t>Trabzonspor en Wikipedia</t>
  </si>
  <si>
    <t>Trento it Wikipedia</t>
  </si>
  <si>
    <t>TSG Hoffenheim de Wikipedia</t>
  </si>
  <si>
    <t>TSV Havelse de Wikipedia</t>
  </si>
  <si>
    <t>UD Ibiza fr Wikipedia</t>
  </si>
  <si>
    <t>UD Logrones fr Wikipedia</t>
  </si>
  <si>
    <t>Union Brescia it Wikipedia</t>
  </si>
  <si>
    <t>Union Saint-Gilloise fr Wikipedia</t>
  </si>
  <si>
    <t>Unionistas de Salamanca fr Wikipedia</t>
  </si>
  <si>
    <t>Unirea Alba Iulia en Wikipedia</t>
  </si>
  <si>
    <t>Unirea Dej en Wikipedia</t>
  </si>
  <si>
    <t>Unirea Slobozia en Wikipedia</t>
  </si>
  <si>
    <t>Universitatea Cluj ro Wikipedia</t>
  </si>
  <si>
    <t>Universitatea Craiova en Wikipedia</t>
  </si>
  <si>
    <t>UTA Arad ro Wikipedia</t>
  </si>
  <si>
    <t>Vado it Wikipedia</t>
  </si>
  <si>
    <t>Versailles fr Wikipedia</t>
  </si>
  <si>
    <t>Viktoria Koln de Wikipedia</t>
  </si>
  <si>
    <t>Viktoria Plzen fr Wikipedia</t>
  </si>
  <si>
    <t>Villefranche-Beaujolais fr Wikipedia</t>
  </si>
  <si>
    <t>Virtus Entella it Wikipedia</t>
  </si>
  <si>
    <t>Vis Pesaro it Wikipedia</t>
  </si>
  <si>
    <t>VJS official kit guide</t>
  </si>
  <si>
    <t>Vantaan Jalkapalloseura</t>
  </si>
  <si>
    <t>Documented playing-kit palette; not necessarily a formally declared identity-colour hierarchy.</t>
  </si>
  <si>
    <t>Voluntari nickname</t>
  </si>
  <si>
    <t>VPS fi Wikipedia</t>
  </si>
  <si>
    <t>West Bromwich Albion en Wikipedia</t>
  </si>
  <si>
    <t>Wrexham en Wikipedia</t>
  </si>
  <si>
    <t>Wurzburger Kickers de Wikipedia</t>
  </si>
  <si>
    <t>Xanthi fr Wikipedia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</si>
</sst>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%"/>
    <numFmt numFmtId="165" formatCode="dd mmm yyyy"/>
  </numFmts>
  <fonts count="74">
    <font>
      <sz val="11.0"/>
      <color theme="1"/>
      <name val="Calibri"/>
      <scheme val="minor"/>
    </font>
    <font>
      <b/>
      <sz val="24.0"/>
      <color rgb="FFFFFFFF"/>
      <name val="Play"/>
    </font>
    <font/>
    <font>
      <sz val="11.0"/>
      <color rgb="FF52616B"/>
      <name val="Aptos"/>
    </font>
    <font>
      <sz val="10.0"/>
      <color rgb="FF087E8B"/>
      <name val="Aptos"/>
    </font>
    <font>
      <b/>
      <sz val="9.0"/>
      <color rgb="FF087E8B"/>
      <name val="Aptos"/>
    </font>
    <font>
      <b/>
      <sz val="24.0"/>
      <color rgb="FFFFFFFF"/>
      <name val="Aptos"/>
    </font>
    <font>
      <u/>
      <sz val="11.0"/>
      <color rgb="FF087E8B"/>
      <name val="Aptos"/>
    </font>
    <font>
      <b/>
      <sz val="10.0"/>
      <color rgb="FF087E8B"/>
      <name val="Aptos"/>
    </font>
    <font>
      <b/>
      <sz val="30.0"/>
      <color rgb="FF17242B"/>
      <name val="Play"/>
    </font>
    <font>
      <b/>
      <sz val="10.0"/>
      <color rgb="FFAD5A00"/>
      <name val="Aptos"/>
    </font>
    <font>
      <sz val="10.0"/>
      <color rgb="FF52616B"/>
      <name val="Aptos"/>
    </font>
    <font>
      <b/>
      <sz val="10.0"/>
      <color rgb="FFFFFFFF"/>
      <name val="Aptos"/>
    </font>
    <font>
      <b/>
      <sz val="10.0"/>
      <color rgb="FF52616B"/>
      <name val="Aptos"/>
    </font>
    <font>
      <b/>
      <sz val="30.0"/>
      <color rgb="FF17242B"/>
      <name val="Aptos"/>
    </font>
    <font>
      <u/>
      <sz val="11.0"/>
      <color rgb="FF087E8B"/>
      <name val="Aptos"/>
    </font>
    <font>
      <sz val="11.0"/>
      <color rgb="FF17242B"/>
      <name val="Aptos"/>
    </font>
    <font>
      <sz val="11.0"/>
      <color rgb="FFAD5A00"/>
      <name val="Aptos"/>
    </font>
    <font>
      <b/>
      <sz val="11.0"/>
      <color rgb="FFFFFFFF"/>
      <name val="Aptos"/>
    </font>
    <font>
      <b/>
      <sz val="11.0"/>
      <color rgb="FF17242B"/>
      <name val="Aptos"/>
    </font>
    <font>
      <u/>
      <sz val="11.0"/>
      <color rgb="FF087E8B"/>
      <name val="Aptos"/>
    </font>
    <font>
      <sz val="11.0"/>
      <color rgb="FF1E6849"/>
      <name val="Aptos"/>
    </font>
    <font>
      <b/>
      <sz val="11.0"/>
      <color rgb="FF111111"/>
      <name val="Aptos"/>
    </font>
    <font>
      <sz val="10.0"/>
      <color rgb="FF52616B"/>
      <name val="Consolas"/>
    </font>
    <font>
      <sz val="9.0"/>
      <color rgb="FF52616B"/>
      <name val="Aptos"/>
    </font>
    <font>
      <u/>
      <sz val="9.0"/>
      <color rgb="FF1E6849"/>
      <name val="Aptos"/>
    </font>
    <font>
      <b/>
      <sz val="11.0"/>
      <color rgb="FF087E8B"/>
      <name val="Aptos"/>
    </font>
    <font>
      <sz val="10.0"/>
      <color rgb="FFAD5A00"/>
      <name val="Aptos"/>
    </font>
    <font>
      <u/>
      <sz val="9.0"/>
      <color rgb="FF1E6849"/>
      <name val="Aptos"/>
    </font>
    <font>
      <u/>
      <sz val="11.0"/>
      <color rgb="FF087E8B"/>
      <name val="Aptos"/>
    </font>
    <font>
      <u/>
      <sz val="10.0"/>
      <color rgb="FF087E8B"/>
      <name val="Aptos"/>
    </font>
    <font>
      <u/>
      <sz val="10.0"/>
      <color rgb="FF087E8B"/>
      <name val="Aptos"/>
    </font>
    <font>
      <color theme="1"/>
      <name val="Calibri"/>
      <scheme val="minor"/>
    </font>
    <font>
      <b/>
      <sz val="9.0"/>
      <color rgb="FF69518F"/>
      <name val="Aptos"/>
    </font>
    <font>
      <sz val="10.0"/>
      <color rgb="FF52616B"/>
      <name val="Arial"/>
    </font>
    <font>
      <b/>
      <sz val="9.0"/>
      <color rgb="FFAA6017"/>
      <name val="Aptos"/>
    </font>
    <font>
      <b/>
      <sz val="9.0"/>
      <color rgb="FFAD5A00"/>
      <name val="Aptos"/>
    </font>
    <font>
      <u/>
      <sz val="10.0"/>
      <color rgb="FF69518F"/>
      <name val="Aptos"/>
    </font>
    <font>
      <b/>
      <sz val="27.0"/>
      <color rgb="FF17242B"/>
      <name val="Aptos"/>
    </font>
    <font>
      <b/>
      <u/>
      <sz val="11.0"/>
      <color rgb="FFFFFFFF"/>
      <name val="Aptos"/>
    </font>
    <font>
      <u/>
      <sz val="10.0"/>
      <color rgb="FF69518F"/>
      <name val="Aptos"/>
    </font>
    <font>
      <u/>
      <sz val="9.0"/>
      <color rgb="FF1E6849"/>
      <name val="Aptos"/>
    </font>
    <font>
      <b/>
      <u/>
      <sz val="11.0"/>
      <color rgb="FFFFFFFF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b/>
      <u/>
      <sz val="11.0"/>
      <color rgb="FF111111"/>
      <name val="Aptos"/>
    </font>
    <font>
      <b/>
      <u/>
      <sz val="11.0"/>
      <color rgb="FF111111"/>
      <name val="Aptos"/>
    </font>
    <font>
      <u/>
      <sz val="9.0"/>
      <color rgb="FF1E6849"/>
      <name val="Aptos"/>
    </font>
    <font>
      <u/>
      <sz val="9.0"/>
      <color rgb="FF1E6849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  <font>
      <sz val="9.0"/>
      <color rgb="FF1E6849"/>
      <name val="Aptos"/>
    </font>
    <font>
      <b/>
      <u/>
      <sz val="11.0"/>
      <color rgb="FF111111"/>
      <name val="Aptos"/>
    </font>
    <font>
      <sz val="10.0"/>
      <color rgb="FF69518F"/>
      <name val="Aptos"/>
    </font>
    <font>
      <b/>
      <u/>
      <sz val="11.0"/>
      <color rgb="FFFFFFFF"/>
      <name val="Aptos"/>
    </font>
    <font>
      <b/>
      <u/>
      <sz val="10.0"/>
      <color rgb="FFAD5A00"/>
      <name val="Aptos"/>
    </font>
    <font>
      <b/>
      <u/>
      <sz val="11.0"/>
      <color rgb="FFFFFFFF"/>
      <name val="Aptos"/>
    </font>
    <font>
      <b/>
      <u/>
      <sz val="11.0"/>
      <color rgb="FFFFFFFF"/>
      <name val="Aptos"/>
    </font>
    <font>
      <b/>
      <u/>
      <sz val="11.0"/>
      <color rgb="FFFFFFFF"/>
      <name val="Aptos"/>
    </font>
    <font>
      <b/>
      <u/>
      <sz val="11.0"/>
      <color rgb="FF111111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  <font>
      <sz val="10.0"/>
      <color rgb="FFAA6017"/>
      <name val="Aptos"/>
    </font>
    <font>
      <b/>
      <u/>
      <sz val="11.0"/>
      <color rgb="FFFFFFFF"/>
      <name val="Aptos"/>
    </font>
    <font>
      <b/>
      <u/>
      <sz val="11.0"/>
      <color rgb="FFFFFFFF"/>
      <name val="Aptos"/>
    </font>
    <font>
      <u/>
      <sz val="9.0"/>
      <color rgb="FF1E6849"/>
      <name val="Arial"/>
    </font>
    <font>
      <b/>
      <sz val="10.0"/>
      <color rgb="FF69518F"/>
      <name val="Aptos"/>
    </font>
    <font>
      <b/>
      <u/>
      <sz val="11.0"/>
      <color rgb="FF111111"/>
      <name val="Aptos"/>
    </font>
    <font>
      <b/>
      <u/>
      <sz val="11.0"/>
      <color rgb="FFFFFFFF"/>
      <name val="Aptos"/>
    </font>
  </fonts>
  <fills count="34">
    <fill>
      <patternFill patternType="none"/>
    </fill>
    <fill>
      <patternFill patternType="lightGray"/>
    </fill>
    <fill>
      <patternFill patternType="solid">
        <fgColor rgb="FF142D3F"/>
        <bgColor rgb="FF142D3F"/>
      </patternFill>
    </fill>
    <fill>
      <patternFill patternType="solid">
        <fgColor rgb="FFE8F5F5"/>
        <bgColor rgb="FFE8F5F5"/>
      </patternFill>
    </fill>
    <fill>
      <patternFill patternType="solid">
        <fgColor rgb="FFFFF1DB"/>
        <bgColor rgb="FFFFF1DB"/>
      </patternFill>
    </fill>
    <fill>
      <patternFill patternType="solid">
        <fgColor rgb="FFF3F6F8"/>
        <bgColor rgb="FFF3F6F8"/>
      </patternFill>
    </fill>
    <fill>
      <patternFill patternType="solid">
        <fgColor rgb="FFFFFFFF"/>
        <bgColor rgb="FFFFFFFF"/>
      </patternFill>
    </fill>
    <fill>
      <patternFill patternType="solid">
        <fgColor rgb="FF2458CE"/>
        <bgColor rgb="FF2458CE"/>
      </patternFill>
    </fill>
    <fill>
      <patternFill patternType="solid">
        <fgColor rgb="FFFFD633"/>
        <bgColor rgb="FFFFD633"/>
      </patternFill>
    </fill>
    <fill>
      <patternFill patternType="solid">
        <fgColor rgb="FFF3F6F9"/>
        <bgColor rgb="FFF3F6F9"/>
      </patternFill>
    </fill>
    <fill>
      <patternFill patternType="solid">
        <fgColor rgb="FFD32F2F"/>
        <bgColor rgb="FFD32F2F"/>
      </patternFill>
    </fill>
    <fill>
      <patternFill patternType="solid">
        <fgColor rgb="FF7F1734"/>
        <bgColor rgb="FF7F1734"/>
      </patternFill>
    </fill>
    <fill>
      <patternFill patternType="solid">
        <fgColor rgb="FF87CEEB"/>
        <bgColor rgb="FF87CEEB"/>
      </patternFill>
    </fill>
    <fill>
      <patternFill patternType="solid">
        <fgColor rgb="FF1565C0"/>
        <bgColor rgb="FF1565C0"/>
      </patternFill>
    </fill>
    <fill>
      <patternFill patternType="solid">
        <fgColor rgb="FFF28500"/>
        <bgColor rgb="FFF28500"/>
      </patternFill>
    </fill>
    <fill>
      <patternFill patternType="solid">
        <fgColor rgb="FFFFF2DE"/>
        <bgColor rgb="FFFFF2DE"/>
      </patternFill>
    </fill>
    <fill>
      <patternFill patternType="solid">
        <fgColor rgb="FF172B4D"/>
        <bgColor rgb="FF172B4D"/>
      </patternFill>
    </fill>
    <fill>
      <patternFill patternType="solid">
        <fgColor rgb="FFA52A50"/>
        <bgColor rgb="FFA52A50"/>
      </patternFill>
    </fill>
    <fill>
      <patternFill patternType="solid">
        <fgColor rgb="FFFFBF00"/>
        <bgColor rgb="FFFFBF00"/>
      </patternFill>
    </fill>
    <fill>
      <patternFill patternType="solid">
        <fgColor rgb="FF111111"/>
        <bgColor rgb="FF111111"/>
      </patternFill>
    </fill>
    <fill>
      <patternFill patternType="solid">
        <fgColor rgb="FF795548"/>
        <bgColor rgb="FF795548"/>
      </patternFill>
    </fill>
    <fill>
      <patternFill patternType="solid">
        <fgColor rgb="FF800020"/>
        <bgColor rgb="FF800020"/>
      </patternFill>
    </fill>
    <fill>
      <patternFill patternType="solid">
        <fgColor rgb="FFB5123B"/>
        <bgColor rgb="FFB5123B"/>
      </patternFill>
    </fill>
    <fill>
      <patternFill patternType="solid">
        <fgColor rgb="FFDC143C"/>
        <bgColor rgb="FFDC143C"/>
      </patternFill>
    </fill>
    <fill>
      <patternFill patternType="solid">
        <fgColor rgb="FF733635"/>
        <bgColor rgb="FF733635"/>
      </patternFill>
    </fill>
    <fill>
      <patternFill patternType="solid">
        <fgColor rgb="FFD4AF37"/>
        <bgColor rgb="FFD4AF37"/>
      </patternFill>
    </fill>
    <fill>
      <patternFill patternType="solid">
        <fgColor rgb="FF15803D"/>
        <bgColor rgb="FF15803D"/>
      </patternFill>
    </fill>
    <fill>
      <patternFill patternType="solid">
        <fgColor rgb="FF808080"/>
        <bgColor rgb="FF808080"/>
      </patternFill>
    </fill>
    <fill>
      <patternFill patternType="solid">
        <fgColor rgb="FF800000"/>
        <bgColor rgb="FF800000"/>
      </patternFill>
    </fill>
    <fill>
      <patternFill patternType="solid">
        <fgColor rgb="FFB784B7"/>
        <bgColor rgb="FFB784B7"/>
      </patternFill>
    </fill>
    <fill>
      <patternFill patternType="solid">
        <fgColor rgb="FFCFB53B"/>
        <bgColor rgb="FFCFB53B"/>
      </patternFill>
    </fill>
    <fill>
      <patternFill patternType="solid">
        <fgColor rgb="FFF28C28"/>
        <bgColor rgb="FFF28C28"/>
      </patternFill>
    </fill>
    <fill>
      <patternFill patternType="solid">
        <fgColor rgb="FFF4A6C1"/>
        <bgColor rgb="FFF4A6C1"/>
      </patternFill>
    </fill>
    <fill>
      <patternFill patternType="solid">
        <fgColor rgb="FF7F3FBF"/>
        <bgColor rgb="FF7F3FBF"/>
      </patternFill>
    </fill>
  </fills>
  <borders count="13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bottom style="thin">
        <color rgb="FFCBD5DF"/>
      </bottom>
    </border>
    <border>
      <top style="thin">
        <color rgb="FF087E8B"/>
      </top>
    </border>
  </borders>
  <cellStyleXfs count="1">
    <xf borderId="0" fillId="0" fontId="0" numFmtId="0" applyAlignment="1" applyFont="1"/>
  </cellStyleXfs>
  <cellXfs count="18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7" fillId="3" fontId="5" numFmtId="0" xfId="0" applyAlignment="1" applyBorder="1" applyFill="1" applyFont="1">
      <alignment horizontal="left" shrinkToFit="0" vertical="center" wrapText="1"/>
    </xf>
    <xf borderId="8" fillId="0" fontId="2" numFmtId="0" xfId="0" applyBorder="1" applyFont="1"/>
    <xf borderId="9" fillId="0" fontId="2" numFmtId="0" xfId="0" applyBorder="1" applyFont="1"/>
    <xf borderId="1" fillId="2" fontId="6" numFmtId="0" xfId="0" applyAlignment="1" applyBorder="1" applyFill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7" fillId="3" fontId="8" numFmtId="0" xfId="0" applyAlignment="1" applyBorder="1" applyFill="1" applyFont="1">
      <alignment shrinkToFit="0" vertical="center" wrapText="1"/>
    </xf>
    <xf borderId="1" fillId="3" fontId="9" numFmtId="3" xfId="0" applyAlignment="1" applyBorder="1" applyFill="1" applyFont="1" applyNumberFormat="1">
      <alignment horizontal="left" vertical="center"/>
    </xf>
    <xf borderId="7" fillId="4" fontId="10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7" fillId="2" fontId="12" numFmtId="0" xfId="0" applyAlignment="1" applyBorder="1" applyFill="1" applyFont="1">
      <alignment horizontal="left" shrinkToFit="0" vertical="center" wrapText="1"/>
    </xf>
    <xf borderId="7" fillId="5" fontId="13" numFmtId="0" xfId="0" applyAlignment="1" applyBorder="1" applyFill="1" applyFont="1">
      <alignment horizontal="left" shrinkToFit="0" vertical="center" wrapText="1"/>
    </xf>
    <xf borderId="1" fillId="3" fontId="14" numFmtId="0" xfId="0" applyAlignment="1" applyBorder="1" applyFill="1" applyFont="1">
      <alignment shrinkToFit="0" vertical="center" wrapText="1"/>
    </xf>
    <xf borderId="10" fillId="5" fontId="13" numFmtId="0" xfId="0" applyAlignment="1" applyBorder="1" applyFill="1" applyFont="1">
      <alignment horizontal="center" shrinkToFit="0" vertical="center" wrapText="1"/>
    </xf>
    <xf borderId="7" fillId="6" fontId="15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1" fillId="4" fontId="14" numFmtId="0" xfId="0" applyAlignment="1" applyBorder="1" applyFill="1" applyFont="1">
      <alignment shrinkToFit="0" vertical="center" wrapText="1"/>
    </xf>
    <xf borderId="10" fillId="6" fontId="16" numFmtId="0" xfId="0" applyAlignment="1" applyBorder="1" applyFill="1" applyFont="1">
      <alignment horizontal="center" shrinkToFit="0" vertical="center" wrapText="1"/>
    </xf>
    <xf borderId="7" fillId="4" fontId="17" numFmtId="0" xfId="0" applyAlignment="1" applyBorder="1" applyFill="1" applyFont="1">
      <alignment shrinkToFit="0" vertical="center" wrapText="1"/>
    </xf>
    <xf borderId="7" fillId="2" fontId="18" numFmtId="0" xfId="0" applyAlignment="1" applyBorder="1" applyFill="1" applyFont="1">
      <alignment shrinkToFit="0" vertical="center" wrapText="1"/>
    </xf>
    <xf borderId="10" fillId="6" fontId="19" numFmtId="0" xfId="0" applyAlignment="1" applyBorder="1" applyFill="1" applyFont="1">
      <alignment horizontal="center" shrinkToFit="0" vertical="center" wrapText="1"/>
    </xf>
    <xf borderId="10" fillId="2" fontId="12" numFmtId="0" xfId="0" applyAlignment="1" applyBorder="1" applyFill="1" applyFont="1">
      <alignment horizontal="left" readingOrder="0" shrinkToFit="0" vertical="center" wrapText="1"/>
    </xf>
    <xf borderId="7" fillId="2" fontId="12" numFmtId="0" xfId="0" applyAlignment="1" applyBorder="1" applyFill="1" applyFont="1">
      <alignment shrinkToFit="0" vertical="center" wrapText="1"/>
    </xf>
    <xf borderId="10" fillId="2" fontId="12" numFmtId="0" xfId="0" applyAlignment="1" applyBorder="1" applyFill="1" applyFont="1">
      <alignment shrinkToFit="0" vertical="center" wrapText="1"/>
    </xf>
    <xf borderId="7" fillId="5" fontId="20" numFmtId="0" xfId="0" applyAlignment="1" applyBorder="1" applyFill="1" applyFont="1">
      <alignment horizontal="left" shrinkToFit="0" vertical="center" wrapText="1"/>
    </xf>
    <xf borderId="0" fillId="0" fontId="16" numFmtId="0" xfId="0" applyAlignment="1" applyFont="1">
      <alignment horizontal="center" vertical="center"/>
    </xf>
    <xf borderId="10" fillId="5" fontId="16" numFmtId="0" xfId="0" applyAlignment="1" applyBorder="1" applyFill="1" applyFont="1">
      <alignment horizontal="center" shrinkToFit="0" vertical="center" wrapText="1"/>
    </xf>
    <xf borderId="0" fillId="0" fontId="21" numFmtId="0" xfId="0" applyAlignment="1" applyFont="1">
      <alignment shrinkToFit="0" vertical="center" wrapText="1"/>
    </xf>
    <xf borderId="0" fillId="0" fontId="3" numFmtId="0" xfId="0" applyAlignment="1" applyFont="1">
      <alignment shrinkToFit="0" vertical="center" wrapText="1"/>
    </xf>
    <xf borderId="10" fillId="5" fontId="19" numFmtId="0" xfId="0" applyAlignment="1" applyBorder="1" applyFill="1" applyFont="1">
      <alignment horizontal="center" shrinkToFit="0" vertical="center" wrapText="1"/>
    </xf>
    <xf borderId="10" fillId="7" fontId="18" numFmtId="0" xfId="0" applyAlignment="1" applyBorder="1" applyFill="1" applyFont="1">
      <alignment shrinkToFit="0" vertical="center" wrapText="1"/>
    </xf>
    <xf borderId="0" fillId="0" fontId="3" numFmtId="164" xfId="0" applyAlignment="1" applyFont="1" applyNumberFormat="1">
      <alignment shrinkToFit="0" vertical="center" wrapText="1"/>
    </xf>
    <xf borderId="10" fillId="8" fontId="22" numFmtId="0" xfId="0" applyAlignment="1" applyBorder="1" applyFill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10" fillId="3" fontId="8" numFmtId="0" xfId="0" applyAlignment="1" applyBorder="1" applyFill="1" applyFont="1">
      <alignment shrinkToFit="0" vertical="center" wrapText="1"/>
    </xf>
    <xf borderId="0" fillId="0" fontId="24" numFmtId="0" xfId="0" applyAlignment="1" applyFont="1">
      <alignment shrinkToFit="0" vertical="center" wrapText="1"/>
    </xf>
    <xf borderId="0" fillId="0" fontId="25" numFmtId="0" xfId="0" applyAlignment="1" applyFont="1">
      <alignment shrinkToFit="0" vertical="center" wrapText="1"/>
    </xf>
    <xf borderId="10" fillId="9" fontId="21" numFmtId="0" xfId="0" applyAlignment="1" applyBorder="1" applyFill="1" applyFont="1">
      <alignment shrinkToFit="0" vertical="center" wrapText="1"/>
    </xf>
    <xf borderId="10" fillId="9" fontId="3" numFmtId="0" xfId="0" applyAlignment="1" applyBorder="1" applyFill="1" applyFont="1">
      <alignment shrinkToFit="0" vertical="center" wrapText="1"/>
    </xf>
    <xf borderId="7" fillId="3" fontId="26" numFmtId="0" xfId="0" applyAlignment="1" applyBorder="1" applyFill="1" applyFont="1">
      <alignment horizontal="left" shrinkToFit="0" vertical="center" wrapText="1"/>
    </xf>
    <xf borderId="10" fillId="10" fontId="18" numFmtId="0" xfId="0" applyAlignment="1" applyBorder="1" applyFill="1" applyFont="1">
      <alignment shrinkToFit="0" vertical="center" wrapText="1"/>
    </xf>
    <xf borderId="11" fillId="6" fontId="22" numFmtId="0" xfId="0" applyAlignment="1" applyBorder="1" applyFill="1" applyFont="1">
      <alignment shrinkToFit="0" vertical="center" wrapText="1"/>
    </xf>
    <xf borderId="10" fillId="3" fontId="16" numFmtId="0" xfId="0" applyAlignment="1" applyBorder="1" applyFill="1" applyFont="1">
      <alignment horizontal="center" shrinkToFit="0" vertical="center" wrapText="1"/>
    </xf>
    <xf borderId="10" fillId="9" fontId="23" numFmtId="0" xfId="0" applyAlignment="1" applyBorder="1" applyFill="1" applyFont="1">
      <alignment shrinkToFit="0" vertical="center" wrapText="1"/>
    </xf>
    <xf borderId="10" fillId="9" fontId="27" numFmtId="0" xfId="0" applyAlignment="1" applyBorder="1" applyFill="1" applyFont="1">
      <alignment shrinkToFit="0" vertical="center" wrapText="1"/>
    </xf>
    <xf borderId="10" fillId="9" fontId="24" numFmtId="0" xfId="0" applyAlignment="1" applyBorder="1" applyFill="1" applyFont="1">
      <alignment shrinkToFit="0" vertical="center" wrapText="1"/>
    </xf>
    <xf borderId="10" fillId="9" fontId="28" numFmtId="0" xfId="0" applyAlignment="1" applyBorder="1" applyFill="1" applyFont="1">
      <alignment shrinkToFit="0" vertical="center" wrapText="1"/>
    </xf>
    <xf borderId="10" fillId="11" fontId="18" numFmtId="0" xfId="0" applyAlignment="1" applyBorder="1" applyFill="1" applyFont="1">
      <alignment shrinkToFit="0" vertical="center" wrapText="1"/>
    </xf>
    <xf borderId="10" fillId="12" fontId="22" numFmtId="0" xfId="0" applyAlignment="1" applyBorder="1" applyFill="1" applyFont="1">
      <alignment shrinkToFit="0" vertical="center" wrapText="1"/>
    </xf>
    <xf borderId="1" fillId="5" fontId="29" numFmtId="0" xfId="0" applyAlignment="1" applyBorder="1" applyFill="1" applyFont="1">
      <alignment horizontal="left" shrinkToFit="0" vertical="center" wrapText="1"/>
    </xf>
    <xf borderId="0" fillId="0" fontId="27" numFmtId="0" xfId="0" applyAlignment="1" applyFont="1">
      <alignment shrinkToFit="0" vertical="center" wrapText="1"/>
    </xf>
    <xf borderId="0" fillId="0" fontId="30" numFmtId="0" xfId="0" applyAlignment="1" applyFont="1">
      <alignment horizontal="left" shrinkToFit="0" vertical="center" wrapText="1"/>
    </xf>
    <xf borderId="0" fillId="0" fontId="31" numFmtId="0" xfId="0" applyAlignment="1" applyFont="1">
      <alignment shrinkToFit="0" vertical="center" wrapText="1"/>
    </xf>
    <xf borderId="10" fillId="13" fontId="18" numFmtId="0" xfId="0" applyAlignment="1" applyBorder="1" applyFill="1" applyFont="1">
      <alignment shrinkToFit="0" vertical="center" wrapText="1"/>
    </xf>
    <xf borderId="12" fillId="3" fontId="19" numFmtId="0" xfId="0" applyAlignment="1" applyBorder="1" applyFill="1" applyFont="1">
      <alignment horizontal="center" shrinkToFit="0" vertical="center" wrapText="1"/>
    </xf>
    <xf borderId="7" fillId="3" fontId="19" numFmtId="0" xfId="0" applyAlignment="1" applyBorder="1" applyFill="1" applyFont="1">
      <alignment shrinkToFit="0" vertical="center" wrapText="1"/>
    </xf>
    <xf borderId="0" fillId="0" fontId="32" numFmtId="0" xfId="0" applyFont="1"/>
    <xf borderId="10" fillId="3" fontId="16" numFmtId="0" xfId="0" applyAlignment="1" applyBorder="1" applyFill="1" applyFont="1">
      <alignment horizontal="center" vertical="center"/>
    </xf>
    <xf borderId="1" fillId="5" fontId="33" numFmtId="0" xfId="0" applyAlignment="1" applyBorder="1" applyFill="1" applyFont="1">
      <alignment horizontal="left" shrinkToFit="0" vertical="center" wrapText="1"/>
    </xf>
    <xf borderId="7" fillId="3" fontId="19" numFmtId="164" xfId="0" applyAlignment="1" applyBorder="1" applyFill="1" applyFont="1" applyNumberFormat="1">
      <alignment shrinkToFit="0" vertical="center" wrapText="1"/>
    </xf>
    <xf borderId="0" fillId="0" fontId="34" numFmtId="0" xfId="0" applyAlignment="1" applyFont="1">
      <alignment horizontal="left" readingOrder="0" shrinkToFit="0" vertical="center" wrapText="1"/>
    </xf>
    <xf borderId="0" fillId="0" fontId="26" numFmtId="0" xfId="0" applyAlignment="1" applyFont="1">
      <alignment shrinkToFit="0" vertical="center" wrapText="1"/>
    </xf>
    <xf borderId="10" fillId="14" fontId="22" numFmtId="0" xfId="0" applyAlignment="1" applyBorder="1" applyFill="1" applyFont="1">
      <alignment shrinkToFit="0" vertical="center" wrapText="1"/>
    </xf>
    <xf borderId="1" fillId="15" fontId="35" numFmtId="0" xfId="0" applyAlignment="1" applyBorder="1" applyFill="1" applyFont="1">
      <alignment horizontal="left" shrinkToFit="0" vertical="center" wrapText="1"/>
    </xf>
    <xf borderId="0" fillId="0" fontId="21" numFmtId="0" xfId="0" applyAlignment="1" applyFont="1">
      <alignment horizontal="left" shrinkToFit="0" vertical="center" wrapText="1"/>
    </xf>
    <xf borderId="1" fillId="15" fontId="11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11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7" fillId="3" fontId="5" numFmtId="0" xfId="0" applyAlignment="1" applyBorder="1" applyFill="1" applyFont="1">
      <alignment shrinkToFit="0" vertical="center" wrapText="1"/>
    </xf>
    <xf borderId="10" fillId="16" fontId="18" numFmtId="0" xfId="0" applyAlignment="1" applyBorder="1" applyFill="1" applyFont="1">
      <alignment shrinkToFit="0" vertical="center" wrapText="1"/>
    </xf>
    <xf borderId="7" fillId="4" fontId="36" numFmtId="0" xfId="0" applyAlignment="1" applyBorder="1" applyFill="1" applyFont="1">
      <alignment shrinkToFit="0" vertical="center" wrapText="1"/>
    </xf>
    <xf borderId="0" fillId="0" fontId="37" numFmtId="0" xfId="0" applyAlignment="1" applyFont="1">
      <alignment horizontal="center" shrinkToFit="0" vertical="center" wrapText="1"/>
    </xf>
    <xf borderId="7" fillId="17" fontId="18" numFmtId="0" xfId="0" applyAlignment="1" applyBorder="1" applyFill="1" applyFont="1">
      <alignment shrinkToFit="0" vertical="center" wrapText="1"/>
    </xf>
    <xf borderId="0" fillId="0" fontId="23" numFmtId="0" xfId="0" applyAlignment="1" applyFont="1">
      <alignment shrinkToFit="0" vertical="center" wrapText="1"/>
    </xf>
    <xf borderId="7" fillId="18" fontId="22" numFmtId="0" xfId="0" applyAlignment="1" applyBorder="1" applyFill="1" applyFont="1">
      <alignment shrinkToFit="0" vertical="center" wrapText="1"/>
    </xf>
    <xf borderId="1" fillId="3" fontId="38" numFmtId="0" xfId="0" applyAlignment="1" applyBorder="1" applyFill="1" applyFont="1">
      <alignment shrinkToFit="0" vertical="center" wrapText="1"/>
    </xf>
    <xf borderId="10" fillId="19" fontId="18" numFmtId="0" xfId="0" applyAlignment="1" applyBorder="1" applyFill="1" applyFont="1">
      <alignment shrinkToFit="0" vertical="center" wrapText="1"/>
    </xf>
    <xf borderId="7" fillId="19" fontId="18" numFmtId="0" xfId="0" applyAlignment="1" applyBorder="1" applyFill="1" applyFont="1">
      <alignment shrinkToFit="0" vertical="center" wrapText="1"/>
    </xf>
    <xf borderId="10" fillId="10" fontId="39" numFmtId="0" xfId="0" applyAlignment="1" applyBorder="1" applyFill="1" applyFont="1">
      <alignment shrinkToFit="0" vertical="center" wrapText="1"/>
    </xf>
    <xf borderId="1" fillId="4" fontId="38" numFmtId="0" xfId="0" applyAlignment="1" applyBorder="1" applyFill="1" applyFont="1">
      <alignment shrinkToFit="0" vertical="center" wrapText="1"/>
    </xf>
    <xf borderId="7" fillId="13" fontId="18" numFmtId="0" xfId="0" applyAlignment="1" applyBorder="1" applyFill="1" applyFont="1">
      <alignment shrinkToFit="0" vertical="center" wrapText="1"/>
    </xf>
    <xf borderId="7" fillId="20" fontId="18" numFmtId="0" xfId="0" applyAlignment="1" applyBorder="1" applyFill="1" applyFont="1">
      <alignment shrinkToFit="0" vertical="center" wrapText="1"/>
    </xf>
    <xf borderId="10" fillId="18" fontId="22" numFmtId="0" xfId="0" applyAlignment="1" applyBorder="1" applyFill="1" applyFont="1">
      <alignment shrinkToFit="0" vertical="center" wrapText="1"/>
    </xf>
    <xf borderId="7" fillId="21" fontId="18" numFmtId="0" xfId="0" applyAlignment="1" applyBorder="1" applyFill="1" applyFont="1">
      <alignment shrinkToFit="0" vertical="center" wrapText="1"/>
    </xf>
    <xf borderId="10" fillId="5" fontId="21" numFmtId="0" xfId="0" applyAlignment="1" applyBorder="1" applyFill="1" applyFont="1">
      <alignment horizontal="left" shrinkToFit="0" vertical="center" wrapText="1"/>
    </xf>
    <xf borderId="7" fillId="22" fontId="18" numFmtId="0" xfId="0" applyAlignment="1" applyBorder="1" applyFill="1" applyFont="1">
      <alignment shrinkToFit="0" vertical="center" wrapText="1"/>
    </xf>
    <xf borderId="10" fillId="5" fontId="3" numFmtId="0" xfId="0" applyAlignment="1" applyBorder="1" applyFill="1" applyFont="1">
      <alignment horizontal="left" shrinkToFit="0" vertical="center" wrapText="1"/>
    </xf>
    <xf borderId="10" fillId="5" fontId="3" numFmtId="0" xfId="0" applyAlignment="1" applyBorder="1" applyFill="1" applyFont="1">
      <alignment horizontal="center" shrinkToFit="0" vertical="center" wrapText="1"/>
    </xf>
    <xf borderId="7" fillId="11" fontId="18" numFmtId="0" xfId="0" applyAlignment="1" applyBorder="1" applyFill="1" applyFont="1">
      <alignment shrinkToFit="0" vertical="center" wrapText="1"/>
    </xf>
    <xf borderId="7" fillId="23" fontId="18" numFmtId="0" xfId="0" applyAlignment="1" applyBorder="1" applyFill="1" applyFont="1">
      <alignment shrinkToFit="0" vertical="center" wrapText="1"/>
    </xf>
    <xf borderId="10" fillId="5" fontId="40" numFmtId="0" xfId="0" applyAlignment="1" applyBorder="1" applyFill="1" applyFont="1">
      <alignment horizontal="center" shrinkToFit="0" vertical="center" wrapText="1"/>
    </xf>
    <xf borderId="10" fillId="5" fontId="41" numFmtId="0" xfId="0" applyAlignment="1" applyBorder="1" applyFill="1" applyFont="1">
      <alignment shrinkToFit="0" vertical="center" wrapText="1"/>
    </xf>
    <xf borderId="7" fillId="24" fontId="18" numFmtId="0" xfId="0" applyAlignment="1" applyBorder="1" applyFill="1" applyFont="1">
      <alignment shrinkToFit="0" vertical="center" wrapText="1"/>
    </xf>
    <xf borderId="10" fillId="11" fontId="42" numFmtId="0" xfId="0" applyAlignment="1" applyBorder="1" applyFill="1" applyFont="1">
      <alignment shrinkToFit="0" vertical="center" wrapText="1"/>
    </xf>
    <xf borderId="7" fillId="25" fontId="22" numFmtId="0" xfId="0" applyAlignment="1" applyBorder="1" applyFill="1" applyFont="1">
      <alignment shrinkToFit="0" vertical="center" wrapText="1"/>
    </xf>
    <xf borderId="10" fillId="5" fontId="27" numFmtId="0" xfId="0" applyAlignment="1" applyBorder="1" applyFill="1" applyFont="1">
      <alignment shrinkToFit="0" vertical="center" wrapText="1"/>
    </xf>
    <xf borderId="7" fillId="26" fontId="18" numFmtId="0" xfId="0" applyAlignment="1" applyBorder="1" applyFill="1" applyFont="1">
      <alignment shrinkToFit="0" vertical="center" wrapText="1"/>
    </xf>
    <xf borderId="10" fillId="5" fontId="24" numFmtId="0" xfId="0" applyAlignment="1" applyBorder="1" applyFill="1" applyFont="1">
      <alignment shrinkToFit="0" vertical="center" wrapText="1"/>
    </xf>
    <xf borderId="7" fillId="27" fontId="22" numFmtId="0" xfId="0" applyAlignment="1" applyBorder="1" applyFill="1" applyFont="1">
      <alignment shrinkToFit="0" vertical="center" wrapText="1"/>
    </xf>
    <xf borderId="7" fillId="28" fontId="18" numFmtId="0" xfId="0" applyAlignment="1" applyBorder="1" applyFill="1" applyFont="1">
      <alignment shrinkToFit="0" vertical="center" wrapText="1"/>
    </xf>
    <xf borderId="7" fillId="29" fontId="22" numFmtId="0" xfId="0" applyAlignment="1" applyBorder="1" applyFill="1" applyFont="1">
      <alignment shrinkToFit="0" vertical="center" wrapText="1"/>
    </xf>
    <xf borderId="7" fillId="16" fontId="18" numFmtId="0" xfId="0" applyAlignment="1" applyBorder="1" applyFill="1" applyFont="1">
      <alignment shrinkToFit="0" vertical="center" wrapText="1"/>
    </xf>
    <xf borderId="7" fillId="30" fontId="22" numFmtId="0" xfId="0" applyAlignment="1" applyBorder="1" applyFill="1" applyFont="1">
      <alignment shrinkToFit="0" vertical="center" wrapText="1"/>
    </xf>
    <xf borderId="7" fillId="31" fontId="22" numFmtId="0" xfId="0" applyAlignment="1" applyBorder="1" applyFill="1" applyFont="1">
      <alignment shrinkToFit="0" vertical="center" wrapText="1"/>
    </xf>
    <xf borderId="7" fillId="32" fontId="22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shrinkToFit="0" vertical="center" wrapText="1"/>
    </xf>
    <xf borderId="7" fillId="10" fontId="18" numFmtId="0" xfId="0" applyAlignment="1" applyBorder="1" applyFill="1" applyFont="1">
      <alignment shrinkToFit="0" vertical="center" wrapText="1"/>
    </xf>
    <xf borderId="7" fillId="7" fontId="18" numFmtId="0" xfId="0" applyAlignment="1" applyBorder="1" applyFill="1" applyFont="1">
      <alignment shrinkToFit="0" vertical="center" wrapText="1"/>
    </xf>
    <xf borderId="7" fillId="12" fontId="22" numFmtId="0" xfId="0" applyAlignment="1" applyBorder="1" applyFill="1" applyFont="1">
      <alignment shrinkToFit="0" vertical="center" wrapText="1"/>
    </xf>
    <xf borderId="7" fillId="14" fontId="22" numFmtId="0" xfId="0" applyAlignment="1" applyBorder="1" applyFill="1" applyFont="1">
      <alignment shrinkToFit="0" vertical="center" wrapText="1"/>
    </xf>
    <xf borderId="7" fillId="33" fontId="18" numFmtId="0" xfId="0" applyAlignment="1" applyBorder="1" applyFill="1" applyFont="1">
      <alignment shrinkToFit="0" vertical="center" wrapText="1"/>
    </xf>
    <xf borderId="11" fillId="6" fontId="22" numFmtId="0" xfId="0" applyAlignment="1" applyBorder="1" applyFill="1" applyFont="1">
      <alignment shrinkToFit="0" vertical="center" wrapText="1"/>
    </xf>
    <xf borderId="11" fillId="0" fontId="2" numFmtId="0" xfId="0" applyBorder="1" applyFont="1"/>
    <xf borderId="7" fillId="8" fontId="22" numFmtId="0" xfId="0" applyAlignment="1" applyBorder="1" applyFill="1" applyFont="1">
      <alignment shrinkToFit="0" vertical="center" wrapText="1"/>
    </xf>
    <xf borderId="10" fillId="5" fontId="11" numFmtId="0" xfId="0" applyAlignment="1" applyBorder="1" applyFill="1" applyFont="1">
      <alignment shrinkToFit="0" vertical="center" wrapText="1"/>
    </xf>
    <xf borderId="10" fillId="13" fontId="43" numFmtId="0" xfId="0" applyAlignment="1" applyBorder="1" applyFill="1" applyFont="1">
      <alignment shrinkToFit="0" vertical="center" wrapText="1"/>
    </xf>
    <xf borderId="10" fillId="12" fontId="44" numFmtId="0" xfId="0" applyAlignment="1" applyBorder="1" applyFill="1" applyFont="1">
      <alignment shrinkToFit="0" vertical="center" wrapText="1"/>
    </xf>
    <xf borderId="11" fillId="6" fontId="45" numFmtId="0" xfId="0" applyAlignment="1" applyBorder="1" applyFill="1" applyFont="1">
      <alignment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10" fillId="18" fontId="46" numFmtId="0" xfId="0" applyAlignment="1" applyBorder="1" applyFill="1" applyFont="1">
      <alignment shrinkToFit="0" vertical="center" wrapText="1"/>
    </xf>
    <xf borderId="10" fillId="3" fontId="16" numFmtId="0" xfId="0" applyAlignment="1" applyBorder="1" applyFill="1" applyFont="1">
      <alignment horizontal="center" shrinkToFit="0" vertical="center" wrapText="1"/>
    </xf>
    <xf borderId="0" fillId="0" fontId="47" numFmtId="0" xfId="0" applyAlignment="1" applyFont="1">
      <alignment horizontal="left" shrinkToFit="0" vertical="center" wrapText="1"/>
    </xf>
    <xf borderId="10" fillId="5" fontId="21" numFmtId="0" xfId="0" applyAlignment="1" applyBorder="1" applyFill="1" applyFont="1">
      <alignment horizontal="center" shrinkToFit="0" vertical="center" wrapText="1"/>
    </xf>
    <xf borderId="10" fillId="5" fontId="16" numFmtId="0" xfId="0" applyAlignment="1" applyBorder="1" applyFill="1" applyFont="1">
      <alignment horizontal="center" shrinkToFit="0" vertical="center" wrapText="1"/>
    </xf>
    <xf borderId="10" fillId="5" fontId="48" numFmtId="0" xfId="0" applyAlignment="1" applyBorder="1" applyFill="1" applyFont="1">
      <alignment horizontal="left" shrinkToFit="0" vertical="center" wrapText="1"/>
    </xf>
    <xf borderId="10" fillId="31" fontId="22" numFmtId="0" xfId="0" applyAlignment="1" applyBorder="1" applyFill="1" applyFont="1">
      <alignment shrinkToFit="0" vertical="center" wrapText="1"/>
    </xf>
    <xf borderId="10" fillId="19" fontId="49" numFmtId="0" xfId="0" applyAlignment="1" applyBorder="1" applyFill="1" applyFont="1">
      <alignment shrinkToFit="0" vertical="center" wrapText="1"/>
    </xf>
    <xf borderId="10" fillId="26" fontId="18" numFmtId="0" xfId="0" applyAlignment="1" applyBorder="1" applyFill="1" applyFont="1">
      <alignment shrinkToFit="0" vertical="center" wrapText="1"/>
    </xf>
    <xf borderId="10" fillId="5" fontId="11" numFmtId="0" xfId="0" applyAlignment="1" applyBorder="1" applyFill="1" applyFont="1">
      <alignment horizontal="left" shrinkToFit="0" vertical="center" wrapText="1"/>
    </xf>
    <xf borderId="10" fillId="8" fontId="50" numFmtId="0" xfId="0" applyAlignment="1" applyBorder="1" applyFill="1" applyFont="1">
      <alignment shrinkToFit="0" vertical="center" wrapText="1"/>
    </xf>
    <xf borderId="10" fillId="30" fontId="22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horizontal="left" shrinkToFit="0" vertical="center" wrapText="1"/>
    </xf>
    <xf borderId="10" fillId="16" fontId="51" numFmtId="0" xfId="0" applyAlignment="1" applyBorder="1" applyFill="1" applyFont="1">
      <alignment shrinkToFit="0" vertical="center" wrapText="1"/>
    </xf>
    <xf borderId="10" fillId="24" fontId="18" numFmtId="0" xfId="0" applyAlignment="1" applyBorder="1" applyFill="1" applyFont="1">
      <alignment shrinkToFit="0" vertical="center" wrapText="1"/>
    </xf>
    <xf borderId="10" fillId="30" fontId="52" numFmtId="0" xfId="0" applyAlignment="1" applyBorder="1" applyFill="1" applyFont="1">
      <alignment shrinkToFit="0" vertical="center" wrapText="1"/>
    </xf>
    <xf borderId="10" fillId="7" fontId="53" numFmtId="0" xfId="0" applyAlignment="1" applyBorder="1" applyFill="1" applyFont="1">
      <alignment shrinkToFit="0" vertical="center" wrapText="1"/>
    </xf>
    <xf borderId="10" fillId="14" fontId="54" numFmtId="0" xfId="0" applyAlignment="1" applyBorder="1" applyFill="1" applyFont="1">
      <alignment shrinkToFit="0" vertical="center" wrapText="1"/>
    </xf>
    <xf borderId="10" fillId="26" fontId="55" numFmtId="0" xfId="0" applyAlignment="1" applyBorder="1" applyFill="1" applyFont="1">
      <alignment shrinkToFit="0" vertical="center" wrapText="1"/>
    </xf>
    <xf borderId="10" fillId="4" fontId="27" numFmtId="0" xfId="0" applyAlignment="1" applyBorder="1" applyFill="1" applyFont="1">
      <alignment shrinkToFit="0" vertical="center" wrapText="1"/>
    </xf>
    <xf borderId="10" fillId="4" fontId="10" numFmtId="0" xfId="0" applyAlignment="1" applyBorder="1" applyFill="1" applyFont="1">
      <alignment shrinkToFit="0" vertical="center" wrapText="1"/>
    </xf>
    <xf borderId="0" fillId="0" fontId="56" numFmtId="0" xfId="0" applyAlignment="1" applyFont="1">
      <alignment shrinkToFit="0" vertical="center" wrapText="1"/>
    </xf>
    <xf borderId="10" fillId="33" fontId="18" numFmtId="0" xfId="0" applyAlignment="1" applyBorder="1" applyFill="1" applyFont="1">
      <alignment shrinkToFit="0" vertical="center" wrapText="1"/>
    </xf>
    <xf borderId="10" fillId="31" fontId="57" numFmtId="0" xfId="0" applyAlignment="1" applyBorder="1" applyFill="1" applyFont="1">
      <alignment shrinkToFit="0" vertical="center" wrapText="1"/>
    </xf>
    <xf borderId="10" fillId="5" fontId="58" numFmtId="0" xfId="0" applyAlignment="1" applyBorder="1" applyFill="1" applyFont="1">
      <alignment horizontal="center" shrinkToFit="0" vertical="center" wrapText="1"/>
    </xf>
    <xf borderId="10" fillId="9" fontId="56" numFmtId="0" xfId="0" applyAlignment="1" applyBorder="1" applyFill="1" applyFont="1">
      <alignment shrinkToFit="0" vertical="center" wrapText="1"/>
    </xf>
    <xf borderId="10" fillId="33" fontId="59" numFmtId="0" xfId="0" applyAlignment="1" applyBorder="1" applyFill="1" applyFont="1">
      <alignment shrinkToFit="0" vertical="center" wrapText="1"/>
    </xf>
    <xf borderId="10" fillId="4" fontId="60" numFmtId="0" xfId="0" applyAlignment="1" applyBorder="1" applyFill="1" applyFont="1">
      <alignment shrinkToFit="0" vertical="center" wrapText="1"/>
    </xf>
    <xf borderId="0" fillId="0" fontId="58" numFmtId="0" xfId="0" applyAlignment="1" applyFont="1">
      <alignment horizontal="center" shrinkToFit="0" vertical="center" wrapText="1"/>
    </xf>
    <xf borderId="10" fillId="5" fontId="56" numFmtId="0" xfId="0" applyAlignment="1" applyBorder="1" applyFill="1" applyFont="1">
      <alignment shrinkToFit="0" vertical="center" wrapText="1"/>
    </xf>
    <xf borderId="10" fillId="17" fontId="18" numFmtId="0" xfId="0" applyAlignment="1" applyBorder="1" applyFill="1" applyFont="1">
      <alignment shrinkToFit="0" vertical="center" wrapText="1"/>
    </xf>
    <xf borderId="10" fillId="27" fontId="22" numFmtId="0" xfId="0" applyAlignment="1" applyBorder="1" applyFill="1" applyFont="1">
      <alignment shrinkToFit="0" vertical="center" wrapText="1"/>
    </xf>
    <xf borderId="10" fillId="32" fontId="22" numFmtId="0" xfId="0" applyAlignment="1" applyBorder="1" applyFill="1" applyFont="1">
      <alignment shrinkToFit="0" vertical="center" wrapText="1"/>
    </xf>
    <xf borderId="10" fillId="21" fontId="61" numFmtId="0" xfId="0" applyAlignment="1" applyBorder="1" applyFill="1" applyFont="1">
      <alignment shrinkToFit="0" vertical="center" wrapText="1"/>
    </xf>
    <xf borderId="10" fillId="25" fontId="22" numFmtId="0" xfId="0" applyAlignment="1" applyBorder="1" applyFill="1" applyFont="1">
      <alignment shrinkToFit="0" vertical="center" wrapText="1"/>
    </xf>
    <xf borderId="10" fillId="24" fontId="62" numFmtId="0" xfId="0" applyAlignment="1" applyBorder="1" applyFill="1" applyFont="1">
      <alignment shrinkToFit="0" vertical="center" wrapText="1"/>
    </xf>
    <xf borderId="10" fillId="17" fontId="63" numFmtId="0" xfId="0" applyAlignment="1" applyBorder="1" applyFill="1" applyFont="1">
      <alignment shrinkToFit="0" vertical="center" wrapText="1"/>
    </xf>
    <xf borderId="10" fillId="27" fontId="64" numFmtId="0" xfId="0" applyAlignment="1" applyBorder="1" applyFill="1" applyFont="1">
      <alignment shrinkToFit="0" vertical="center" wrapText="1"/>
    </xf>
    <xf borderId="10" fillId="32" fontId="65" numFmtId="0" xfId="0" applyAlignment="1" applyBorder="1" applyFill="1" applyFont="1">
      <alignment shrinkToFit="0" vertical="center" wrapText="1"/>
    </xf>
    <xf borderId="10" fillId="21" fontId="18" numFmtId="0" xfId="0" applyAlignment="1" applyBorder="1" applyFill="1" applyFont="1">
      <alignment shrinkToFit="0" vertical="center" wrapText="1"/>
    </xf>
    <xf borderId="10" fillId="20" fontId="18" numFmtId="0" xfId="0" applyAlignment="1" applyBorder="1" applyFill="1" applyFont="1">
      <alignment shrinkToFit="0" vertical="center" wrapText="1"/>
    </xf>
    <xf borderId="10" fillId="20" fontId="66" numFmtId="0" xfId="0" applyAlignment="1" applyBorder="1" applyFill="1" applyFont="1">
      <alignment shrinkToFit="0" vertical="center" wrapText="1"/>
    </xf>
    <xf borderId="10" fillId="22" fontId="18" numFmtId="0" xfId="0" applyAlignment="1" applyBorder="1" applyFill="1" applyFont="1">
      <alignment shrinkToFit="0" vertical="center" wrapText="1"/>
    </xf>
    <xf borderId="10" fillId="15" fontId="67" numFmtId="0" xfId="0" applyAlignment="1" applyBorder="1" applyFill="1" applyFont="1">
      <alignment horizontal="left" shrinkToFit="0" vertical="center" wrapText="1"/>
    </xf>
    <xf borderId="10" fillId="22" fontId="68" numFmtId="0" xfId="0" applyAlignment="1" applyBorder="1" applyFill="1" applyFont="1">
      <alignment shrinkToFit="0" vertical="center" wrapText="1"/>
    </xf>
    <xf borderId="10" fillId="23" fontId="18" numFmtId="0" xfId="0" applyAlignment="1" applyBorder="1" applyFill="1" applyFont="1">
      <alignment shrinkToFit="0" vertical="center" wrapText="1"/>
    </xf>
    <xf borderId="10" fillId="23" fontId="69" numFmtId="0" xfId="0" applyAlignment="1" applyBorder="1" applyFill="1" applyFont="1">
      <alignment shrinkToFit="0" vertical="center" wrapText="1"/>
    </xf>
    <xf borderId="10" fillId="29" fontId="22" numFmtId="0" xfId="0" applyAlignment="1" applyBorder="1" applyFill="1" applyFont="1">
      <alignment shrinkToFit="0" vertical="center" wrapText="1"/>
    </xf>
    <xf borderId="10" fillId="28" fontId="18" numFmtId="0" xfId="0" applyAlignment="1" applyBorder="1" applyFill="1" applyFont="1">
      <alignment shrinkToFit="0" vertical="center" wrapText="1"/>
    </xf>
    <xf borderId="10" fillId="5" fontId="70" numFmtId="0" xfId="0" applyAlignment="1" applyBorder="1" applyFill="1" applyFont="1">
      <alignment readingOrder="0" shrinkToFit="0" vertical="center" wrapText="1"/>
    </xf>
    <xf borderId="0" fillId="0" fontId="71" numFmtId="0" xfId="0" applyAlignment="1" applyFon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10" fillId="5" fontId="71" numFmtId="0" xfId="0" applyAlignment="1" applyBorder="1" applyFill="1" applyFont="1">
      <alignment horizontal="center" shrinkToFit="0" vertical="center" wrapText="1"/>
    </xf>
    <xf borderId="10" fillId="5" fontId="3" numFmtId="165" xfId="0" applyAlignment="1" applyBorder="1" applyFill="1" applyFont="1" applyNumberFormat="1">
      <alignment horizontal="center" shrinkToFit="0" vertical="center" wrapText="1"/>
    </xf>
    <xf borderId="10" fillId="15" fontId="67" numFmtId="0" xfId="0" applyAlignment="1" applyBorder="1" applyFill="1" applyFont="1">
      <alignment horizontal="center" shrinkToFit="0" vertical="center" wrapText="1"/>
    </xf>
    <xf borderId="10" fillId="29" fontId="72" numFmtId="0" xfId="0" applyAlignment="1" applyBorder="1" applyFill="1" applyFont="1">
      <alignment shrinkToFit="0" vertical="center" wrapText="1"/>
    </xf>
    <xf borderId="1" fillId="5" fontId="11" numFmtId="0" xfId="0" applyAlignment="1" applyBorder="1" applyFill="1" applyFont="1">
      <alignment horizontal="left" shrinkToFit="0" vertical="center" wrapText="1"/>
    </xf>
    <xf borderId="0" fillId="0" fontId="16" numFmtId="0" xfId="0" applyAlignment="1" applyFont="1">
      <alignment shrinkToFit="0" vertical="center" wrapText="1"/>
    </xf>
    <xf borderId="10" fillId="28" fontId="73" numFmtId="0" xfId="0" applyAlignment="1" applyBorder="1" applyFill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b/>
        <color rgb="FFAA3737"/>
      </font>
      <fill>
        <patternFill patternType="solid">
          <fgColor rgb="FFFCEAEA"/>
          <bgColor rgb="FFFCEAEA"/>
        </patternFill>
      </fill>
      <border/>
    </dxf>
    <dxf>
      <font>
        <b/>
        <color rgb="FF087E8B"/>
      </font>
      <fill>
        <patternFill patternType="solid">
          <fgColor rgb="FFE8F5F5"/>
          <bgColor rgb="FFE8F5F5"/>
        </patternFill>
      </fill>
      <border/>
    </dxf>
  </dxfs>
  <tableStyles count="14">
    <tableStyle count="4" pivot="0" name="Club Colour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ll Team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etition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ngla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pai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tal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erman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ran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man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Greec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inlan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EF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ourc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lour Sour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6:L741" displayName="ClubColourDirectory" name="ClubColourDirectory" id="1">
  <tableColumns count="12">
    <tableColumn name="Team" id="1"/>
    <tableColumn name="Country / system" id="2"/>
    <tableColumn name="Primary colour" id="3"/>
    <tableColumn name="Secondary colour" id="4"/>
    <tableColumn name="Primary HEX_x000a_(illustrative)" id="5"/>
    <tableColumn name="Secondary HEX_x000a_(illustrative)" id="6"/>
    <tableColumn name="Coverage" id="7"/>
    <tableColumn name="Evidence basis" id="8"/>
    <tableColumn name="Colour source ID" id="9"/>
    <tableColumn name="Colour source URL" id="10"/>
    <tableColumn name="Reference year" id="11"/>
    <tableColumn name="Colour notes" id="12"/>
  </tableColumns>
  <tableStyleInfo name="Club Colours-style" showColumnStripes="0" showFirstColumn="1" showLastColumn="1" showRowStripes="1"/>
</table>
</file>

<file path=xl/tables/table2.xml><?xml version="1.0" encoding="utf-8"?>
<table xmlns="http://schemas.openxmlformats.org/spreadsheetml/2006/main" ref="A6:Q785" displayName="AllTeams" name="AllTeams" id="2">
  <autoFilter ref="$A$6:$Q$785">
    <filterColumn colId="3">
      <filters>
        <filter val="1"/>
      </filters>
    </filterColumn>
  </autoFilter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All Teams-style" showColumnStripes="0" showFirstColumn="1" showLastColumn="1" showRowStripes="1"/>
</table>
</file>

<file path=xl/tables/table3.xml><?xml version="1.0" encoding="utf-8"?>
<table xmlns="http://schemas.openxmlformats.org/spreadsheetml/2006/main" ref="A6:L33" displayName="CompetitionInventory" name="CompetitionInventory" id="3">
  <tableColumns count="12">
    <tableColumn name="Country / system" id="1"/>
    <tableColumn name="Competition" id="2"/>
    <tableColumn name="Tier" id="3"/>
    <tableColumn name="Season" id="4"/>
    <tableColumn name="Groups" id="5"/>
    <tableColumn name="Expected teams" id="6"/>
    <tableColumn name="Listed teams" id="7"/>
    <tableColumn name="Check" id="8"/>
    <tableColumn name="Scope" id="9"/>
    <tableColumn name="Notes" id="10"/>
    <tableColumn name="Source ID" id="11"/>
    <tableColumn name="Source URL" id="12"/>
  </tableColumns>
  <tableStyleInfo name="Competitions-style" showColumnStripes="0" showFirstColumn="1" showLastColumn="1" showRowStripes="1"/>
</table>
</file>

<file path=xl/tables/table4.xml><?xml version="1.0" encoding="utf-8"?>
<table xmlns="http://schemas.openxmlformats.org/spreadsheetml/2006/main" ref="A6:Q74" displayName="TeamsEngland" name="TeamsEngland" id="4">
  <autoFilter ref="$A$6:$Q$74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England-style" showColumnStripes="0" showFirstColumn="1" showLastColumn="1" showRowStripes="1"/>
</table>
</file>

<file path=xl/tables/table5.xml><?xml version="1.0" encoding="utf-8"?>
<table xmlns="http://schemas.openxmlformats.org/spreadsheetml/2006/main" ref="A6:Q88" displayName="TeamsSpain" name="TeamsSpain" id="5">
  <autoFilter ref="$A$6:$Q$88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Spain-style" showColumnStripes="0" showFirstColumn="1" showLastColumn="1" showRowStripes="1"/>
</table>
</file>

<file path=xl/tables/table6.xml><?xml version="1.0" encoding="utf-8"?>
<table xmlns="http://schemas.openxmlformats.org/spreadsheetml/2006/main" ref="A6:Q106" displayName="TeamsItaly" name="TeamsItaly" id="6">
  <autoFilter ref="$A$6:$Q$106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Italy-style" showColumnStripes="0" showFirstColumn="1" showLastColumn="1" showRowStripes="1"/>
</table>
</file>

<file path=xl/tables/table7.xml><?xml version="1.0" encoding="utf-8"?>
<table xmlns="http://schemas.openxmlformats.org/spreadsheetml/2006/main" ref="A6:Q62" displayName="TeamsGermany" name="TeamsGermany" id="7">
  <autoFilter ref="$A$6:$Q$62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Germany-style" showColumnStripes="0" showFirstColumn="1" showLastColumn="1" showRowStripes="1"/>
</table>
</file>

<file path=xl/tables/table8.xml><?xml version="1.0" encoding="utf-8"?>
<table xmlns="http://schemas.openxmlformats.org/spreadsheetml/2006/main" ref="A6:Q60" displayName="TeamsFrance" name="TeamsFrance" id="8">
  <autoFilter ref="$A$6:$Q$60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France-style" showColumnStripes="0" showFirstColumn="1" showLastColumn="1" showRowStripes="1"/>
</table>
</file>

<file path=xl/tables/table9.xml><?xml version="1.0" encoding="utf-8"?>
<table xmlns="http://schemas.openxmlformats.org/spreadsheetml/2006/main" ref="A6:Q140" displayName="TeamsRomania" name="TeamsRomania" id="9">
  <autoFilter ref="$A$6:$Q$140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Romania-style" showColumnStripes="0" showFirstColumn="1" showLastColumn="1" showRowStripes="1"/>
</table>
</file>

<file path=xl/tables/table10.xml><?xml version="1.0" encoding="utf-8"?>
<table xmlns="http://schemas.openxmlformats.org/spreadsheetml/2006/main" ref="A6:Q149" displayName="TeamsGreece" name="TeamsGreece" id="10">
  <autoFilter ref="$A$6:$Q$149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Greece-style" showColumnStripes="0" showFirstColumn="1" showLastColumn="1" showRowStripes="1"/>
</table>
</file>

<file path=xl/tables/table11.xml><?xml version="1.0" encoding="utf-8"?>
<table xmlns="http://schemas.openxmlformats.org/spreadsheetml/2006/main" ref="A6:Q40" displayName="TeamsFinland" name="TeamsFinland" id="11">
  <autoFilter ref="$A$6:$Q$40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Finland-style" showColumnStripes="0" showFirstColumn="1" showLastColumn="1" showRowStripes="1"/>
</table>
</file>

<file path=xl/tables/table12.xml><?xml version="1.0" encoding="utf-8"?>
<table xmlns="http://schemas.openxmlformats.org/spreadsheetml/2006/main" ref="A6:Q114" displayName="TeamsUEFA" name="TeamsUEFA" id="12">
  <autoFilter ref="$A$6:$Q$114"/>
  <tableColumns count="17">
    <tableColumn name="Team" id="1"/>
    <tableColumn name="Country / system" id="2"/>
    <tableColumn name="Competition" id="3"/>
    <tableColumn name="Tier" id="4"/>
    <tableColumn name="Group / phase" id="5"/>
    <tableColumn name="Season" id="6"/>
    <tableColumn name="Scope" id="7"/>
    <tableColumn name="Team type" id="8"/>
    <tableColumn name="Notes" id="9"/>
    <tableColumn name="Source ID" id="10"/>
    <tableColumn name="Source URL" id="11"/>
    <tableColumn name="Primary colour" id="12"/>
    <tableColumn name="Secondary colour" id="13"/>
    <tableColumn name="Colour coverage" id="14"/>
    <tableColumn name="Colour evidence basis" id="15"/>
    <tableColumn name="Colour source URL" id="16"/>
    <tableColumn name="Colour notes" id="17"/>
  </tableColumns>
  <tableStyleInfo name="UEFA-style" showColumnStripes="0" showFirstColumn="1" showLastColumn="1" showRowStripes="1"/>
</table>
</file>

<file path=xl/tables/table13.xml><?xml version="1.0" encoding="utf-8"?>
<table xmlns="http://schemas.openxmlformats.org/spreadsheetml/2006/main" ref="A6:H41" displayName="SourceRegister" name="SourceRegister" id="13">
  <tableColumns count="8">
    <tableColumn name="Source ID" id="1"/>
    <tableColumn name="Publisher" id="2"/>
    <tableColumn name="Type" id="3"/>
    <tableColumn name="Coverage" id="4"/>
    <tableColumn name="Checked" id="5"/>
    <tableColumn name="Source URL" id="6"/>
    <tableColumn name="Usage / notes" id="7"/>
    <tableColumn name="Row use" id="8"/>
  </tableColumns>
  <tableStyleInfo name="Sources-style" showColumnStripes="0" showFirstColumn="1" showLastColumn="1" showRowStripes="1"/>
</table>
</file>

<file path=xl/tables/table14.xml><?xml version="1.0" encoding="utf-8"?>
<table xmlns="http://schemas.openxmlformats.org/spreadsheetml/2006/main" ref="A6:H268" displayName="ColourSourcesRegister" name="ColourSourcesRegister" id="14">
  <tableColumns count="8">
    <tableColumn name="Colour source ID" id="1"/>
    <tableColumn name="Reference name" id="2"/>
    <tableColumn name="Publisher / author" id="3"/>
    <tableColumn name="Reference type" id="4"/>
    <tableColumn name="Reference year" id="5"/>
    <tableColumn name="Source URL" id="6"/>
    <tableColumn name="Distinct teams using source" id="7"/>
    <tableColumn name="Use / limitation" id="8"/>
  </tableColumns>
  <tableStyleInfo name="Colour Sour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about:blank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about:blank" TargetMode="External"/><Relationship Id="rId12" Type="http://schemas.openxmlformats.org/officeDocument/2006/relationships/hyperlink" Target="about:blank" TargetMode="External"/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about:blank" TargetMode="External"/><Relationship Id="rId15" Type="http://schemas.openxmlformats.org/officeDocument/2006/relationships/hyperlink" Target="about:blank" TargetMode="External"/><Relationship Id="rId14" Type="http://schemas.openxmlformats.org/officeDocument/2006/relationships/hyperlink" Target="about:blank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about:blank" TargetMode="External"/><Relationship Id="rId5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it.wikipedia.org/wiki/Guidonia_Montecelio_1937_Football_Club" TargetMode="External"/><Relationship Id="rId194" Type="http://schemas.openxmlformats.org/officeDocument/2006/relationships/hyperlink" Target="https://it.wikipedia.org/wiki/Societ%C3%A0_Sportiva_Juve_Stabia" TargetMode="External"/><Relationship Id="rId193" Type="http://schemas.openxmlformats.org/officeDocument/2006/relationships/hyperlink" Target="https://www.rsssf.org/colours/italy.html" TargetMode="External"/><Relationship Id="rId192" Type="http://schemas.openxmlformats.org/officeDocument/2006/relationships/hyperlink" Target="https://www.rsssf.org/colours/italy.html" TargetMode="External"/><Relationship Id="rId191" Type="http://schemas.openxmlformats.org/officeDocument/2006/relationships/hyperlink" Target="https://www.rsssf.org/colours/italy.html" TargetMode="External"/><Relationship Id="rId187" Type="http://schemas.openxmlformats.org/officeDocument/2006/relationships/hyperlink" Target="https://it.wikipedia.org/wiki/Giugliano_Calcio_1928" TargetMode="External"/><Relationship Id="rId186" Type="http://schemas.openxmlformats.org/officeDocument/2006/relationships/hyperlink" Target="https://it.wikipedia.org/wiki/Associazione_Sportiva_Giana_Erminio" TargetMode="External"/><Relationship Id="rId185" Type="http://schemas.openxmlformats.org/officeDocument/2006/relationships/hyperlink" Target="https://www.rsssf.org/colours/italy.html" TargetMode="External"/><Relationship Id="rId184" Type="http://schemas.openxmlformats.org/officeDocument/2006/relationships/hyperlink" Target="https://it.wikipedia.org/wiki/Frosinone_Calcio" TargetMode="External"/><Relationship Id="rId189" Type="http://schemas.openxmlformats.org/officeDocument/2006/relationships/hyperlink" Target="https://it.wikipedia.org/wiki/Associazione_Sportiva_Gubbio_1910" TargetMode="External"/><Relationship Id="rId188" Type="http://schemas.openxmlformats.org/officeDocument/2006/relationships/hyperlink" Target="https://it.wikipedia.org/wiki/Unione_Sportiva_Grosseto_1912" TargetMode="External"/><Relationship Id="rId183" Type="http://schemas.openxmlformats.org/officeDocument/2006/relationships/hyperlink" Target="https://it.wikipedia.org/wiki/Forl%C3%AC_Football_Club" TargetMode="External"/><Relationship Id="rId182" Type="http://schemas.openxmlformats.org/officeDocument/2006/relationships/hyperlink" Target="https://it.wikipedia.org/wiki/Unione_Sportiva_Folgore_Caratese" TargetMode="External"/><Relationship Id="rId181" Type="http://schemas.openxmlformats.org/officeDocument/2006/relationships/hyperlink" Target="https://www.rsssf.org/colours/italy.html" TargetMode="External"/><Relationship Id="rId180" Type="http://schemas.openxmlformats.org/officeDocument/2006/relationships/hyperlink" Target="https://www.rsssf.org/colours/italy.html" TargetMode="External"/><Relationship Id="rId176" Type="http://schemas.openxmlformats.org/officeDocument/2006/relationships/hyperlink" Target="https://it.wikipedia.org/wiki/Football_Club_Crotone" TargetMode="External"/><Relationship Id="rId297" Type="http://schemas.openxmlformats.org/officeDocument/2006/relationships/hyperlink" Target="https://www.rsssf.org/colours/germany.html" TargetMode="External"/><Relationship Id="rId175" Type="http://schemas.openxmlformats.org/officeDocument/2006/relationships/hyperlink" Target="https://www.rsssf.org/colours/italy.html" TargetMode="External"/><Relationship Id="rId296" Type="http://schemas.openxmlformats.org/officeDocument/2006/relationships/hyperlink" Target="https://www.rsssf.org/colours/germany.html" TargetMode="External"/><Relationship Id="rId174" Type="http://schemas.openxmlformats.org/officeDocument/2006/relationships/hyperlink" Target="https://www.rsssf.org/colours/italy.html" TargetMode="External"/><Relationship Id="rId295" Type="http://schemas.openxmlformats.org/officeDocument/2006/relationships/hyperlink" Target="https://www.rsssf.org/colours/germany.html" TargetMode="External"/><Relationship Id="rId173" Type="http://schemas.openxmlformats.org/officeDocument/2006/relationships/hyperlink" Target="https://www.rsssf.org/colours/italy.html" TargetMode="External"/><Relationship Id="rId294" Type="http://schemas.openxmlformats.org/officeDocument/2006/relationships/hyperlink" Target="https://de.wikipedia.org/wiki/TSV_Havelse" TargetMode="External"/><Relationship Id="rId179" Type="http://schemas.openxmlformats.org/officeDocument/2006/relationships/hyperlink" Target="https://it.wikipedia.org/wiki/Empoli_Football_Club" TargetMode="External"/><Relationship Id="rId178" Type="http://schemas.openxmlformats.org/officeDocument/2006/relationships/hyperlink" Target="https://it.wikipedia.org/wiki/Dolomiti_Bellunesi_(squadra_di_calcio)" TargetMode="External"/><Relationship Id="rId299" Type="http://schemas.openxmlformats.org/officeDocument/2006/relationships/hyperlink" Target="https://www.rsssf.org/colours/germany.html" TargetMode="External"/><Relationship Id="rId177" Type="http://schemas.openxmlformats.org/officeDocument/2006/relationships/hyperlink" Target="https://www.calciodesenzano.it/2026/08/18/desenzano-f-c-presentata-la-nuova-maglia-away-2026-2027/" TargetMode="External"/><Relationship Id="rId298" Type="http://schemas.openxmlformats.org/officeDocument/2006/relationships/hyperlink" Target="https://www.rsssf.org/colours/germany.html" TargetMode="External"/><Relationship Id="rId198" Type="http://schemas.openxmlformats.org/officeDocument/2006/relationships/hyperlink" Target="https://www.rsssf.org/colours/italy.html" TargetMode="External"/><Relationship Id="rId197" Type="http://schemas.openxmlformats.org/officeDocument/2006/relationships/hyperlink" Target="https://it.wikipedia.org/wiki/Latina_Calcio_1932" TargetMode="External"/><Relationship Id="rId196" Type="http://schemas.openxmlformats.org/officeDocument/2006/relationships/hyperlink" Target="https://www.rsssf.org/colours/italy.html" TargetMode="External"/><Relationship Id="rId195" Type="http://schemas.openxmlformats.org/officeDocument/2006/relationships/hyperlink" Target="https://www.rsssf.org/colours/italy.html" TargetMode="External"/><Relationship Id="rId199" Type="http://schemas.openxmlformats.org/officeDocument/2006/relationships/hyperlink" Target="https://www.rsssf.org/colours/italy.html" TargetMode="External"/><Relationship Id="rId150" Type="http://schemas.openxmlformats.org/officeDocument/2006/relationships/hyperlink" Target="https://it.wikipedia.org/wiki/Alcione_Milano_Societ%C3%A0_Sportiva" TargetMode="External"/><Relationship Id="rId271" Type="http://schemas.openxmlformats.org/officeDocument/2006/relationships/hyperlink" Target="https://www.rsssf.org/colours/germany.html" TargetMode="External"/><Relationship Id="rId392" Type="http://schemas.openxmlformats.org/officeDocument/2006/relationships/hyperlink" Target="https://en.wikipedia.org/wiki/FC_Petrolul_Ploie%C8%99ti" TargetMode="External"/><Relationship Id="rId270" Type="http://schemas.openxmlformats.org/officeDocument/2006/relationships/hyperlink" Target="https://www.rsssf.org/colours/germany.html" TargetMode="External"/><Relationship Id="rId391" Type="http://schemas.openxmlformats.org/officeDocument/2006/relationships/hyperlink" Target="https://en.wikipedia.org/wiki/ASC_O%C8%9Belul_Gala%C8%9Bi" TargetMode="External"/><Relationship Id="rId390" Type="http://schemas.openxmlformats.org/officeDocument/2006/relationships/hyperlink" Target="https://en.wikipedia.org/wiki/ASC_O%C8%9Belul_Gala%C8%9Bi" TargetMode="External"/><Relationship Id="rId1" Type="http://schemas.openxmlformats.org/officeDocument/2006/relationships/comments" Target="../comments1.xml"/><Relationship Id="rId2" Type="http://schemas.openxmlformats.org/officeDocument/2006/relationships/hyperlink" Target="about:blank" TargetMode="External"/><Relationship Id="rId3" Type="http://schemas.openxmlformats.org/officeDocument/2006/relationships/hyperlink" Target="https://en.wikipedia.org/wiki/AFC_Wimbledon" TargetMode="External"/><Relationship Id="rId149" Type="http://schemas.openxmlformats.org/officeDocument/2006/relationships/hyperlink" Target="https://it.wikipedia.org/wiki/Unione_Calcio_AlbinoLeffe" TargetMode="External"/><Relationship Id="rId4" Type="http://schemas.openxmlformats.org/officeDocument/2006/relationships/hyperlink" Target="https://www.rsssf.org/colours/england.html" TargetMode="External"/><Relationship Id="rId148" Type="http://schemas.openxmlformats.org/officeDocument/2006/relationships/hyperlink" Target="https://es.wikipedia.org/wiki/%C3%81guilas_F%C3%BAtbol_Club" TargetMode="External"/><Relationship Id="rId269" Type="http://schemas.openxmlformats.org/officeDocument/2006/relationships/hyperlink" Target="https://www.rsssf.org/colours/germany.html" TargetMode="External"/><Relationship Id="rId9" Type="http://schemas.openxmlformats.org/officeDocument/2006/relationships/hyperlink" Target="https://www.rsssf.org/colours/england.html" TargetMode="External"/><Relationship Id="rId143" Type="http://schemas.openxmlformats.org/officeDocument/2006/relationships/hyperlink" Target="https://fr.wikipedia.org/wiki/Unionistas_de_Salamanca_Club_de_F%C3%BAtbol" TargetMode="External"/><Relationship Id="rId264" Type="http://schemas.openxmlformats.org/officeDocument/2006/relationships/hyperlink" Target="https://www.rsssf.org/colours/germany.html" TargetMode="External"/><Relationship Id="rId385" Type="http://schemas.openxmlformats.org/officeDocument/2006/relationships/hyperlink" Target="https://en.wikipedia.org/wiki/FCSB" TargetMode="External"/><Relationship Id="rId142" Type="http://schemas.openxmlformats.org/officeDocument/2006/relationships/hyperlink" Target="https://www.rsssf.org/colours/spain.html" TargetMode="External"/><Relationship Id="rId263" Type="http://schemas.openxmlformats.org/officeDocument/2006/relationships/hyperlink" Target="https://www.rsssf.org/colours/germany.html" TargetMode="External"/><Relationship Id="rId384" Type="http://schemas.openxmlformats.org/officeDocument/2006/relationships/hyperlink" Target="https://en.wikipedia.org/wiki/FCSB" TargetMode="External"/><Relationship Id="rId141" Type="http://schemas.openxmlformats.org/officeDocument/2006/relationships/hyperlink" Target="https://fr.wikipedia.org/wiki/Uni%C3%B3n_Deportiva_Logro%C3%B1%C3%A9s" TargetMode="External"/><Relationship Id="rId262" Type="http://schemas.openxmlformats.org/officeDocument/2006/relationships/hyperlink" Target="https://www.rsssf.org/colours/germany.html" TargetMode="External"/><Relationship Id="rId383" Type="http://schemas.openxmlformats.org/officeDocument/2006/relationships/hyperlink" Target="https://www.the-sports.org/football-soccer-fc-voluntari-results-identity-equ44644.html" TargetMode="External"/><Relationship Id="rId140" Type="http://schemas.openxmlformats.org/officeDocument/2006/relationships/hyperlink" Target="https://fr.wikipedia.org/wiki/Uni%C3%B3n_Deportiva_Ibiza" TargetMode="External"/><Relationship Id="rId261" Type="http://schemas.openxmlformats.org/officeDocument/2006/relationships/hyperlink" Target="https://www.rsssf.org/colours/germany.html" TargetMode="External"/><Relationship Id="rId382" Type="http://schemas.openxmlformats.org/officeDocument/2006/relationships/hyperlink" Target="https://www.the-sports.org/football-soccer-fc-voluntari-results-identity-equ44644.html" TargetMode="External"/><Relationship Id="rId5" Type="http://schemas.openxmlformats.org/officeDocument/2006/relationships/hyperlink" Target="https://www.rsssf.org/colours/england.html" TargetMode="External"/><Relationship Id="rId147" Type="http://schemas.openxmlformats.org/officeDocument/2006/relationships/hyperlink" Target="https://www.rsssf.org/colours/spain.html" TargetMode="External"/><Relationship Id="rId268" Type="http://schemas.openxmlformats.org/officeDocument/2006/relationships/hyperlink" Target="https://www.rsssf.org/colours/germany.html" TargetMode="External"/><Relationship Id="rId389" Type="http://schemas.openxmlformats.org/officeDocument/2006/relationships/hyperlink" Target="https://en.wikipedia.org/wiki/ACS_Minerul_Lupeni" TargetMode="External"/><Relationship Id="rId6" Type="http://schemas.openxmlformats.org/officeDocument/2006/relationships/hyperlink" Target="https://www.rsssf.org/colours/england.html" TargetMode="External"/><Relationship Id="rId146" Type="http://schemas.openxmlformats.org/officeDocument/2006/relationships/hyperlink" Target="https://www.rsssf.org/colours/spain.html" TargetMode="External"/><Relationship Id="rId267" Type="http://schemas.openxmlformats.org/officeDocument/2006/relationships/hyperlink" Target="https://de.wikipedia.org/wiki/FC_Ingolstadt_04" TargetMode="External"/><Relationship Id="rId388" Type="http://schemas.openxmlformats.org/officeDocument/2006/relationships/hyperlink" Target="https://en.wikipedia.org/wiki/KSE_T%C3%A2rgu_Secuiesc" TargetMode="External"/><Relationship Id="rId7" Type="http://schemas.openxmlformats.org/officeDocument/2006/relationships/hyperlink" Target="https://www.rsssf.org/colours/england.html" TargetMode="External"/><Relationship Id="rId145" Type="http://schemas.openxmlformats.org/officeDocument/2006/relationships/hyperlink" Target="https://www.rsssf.org/colours/spain.html" TargetMode="External"/><Relationship Id="rId266" Type="http://schemas.openxmlformats.org/officeDocument/2006/relationships/hyperlink" Target="https://de.wikipedia.org/wiki/FC_Augsburg" TargetMode="External"/><Relationship Id="rId387" Type="http://schemas.openxmlformats.org/officeDocument/2006/relationships/hyperlink" Target="https://en.wikipedia.org/wiki/CSM_Jiul_Petro%C8%99ani" TargetMode="External"/><Relationship Id="rId8" Type="http://schemas.openxmlformats.org/officeDocument/2006/relationships/hyperlink" Target="https://www.rsssf.org/colours/england.html" TargetMode="External"/><Relationship Id="rId144" Type="http://schemas.openxmlformats.org/officeDocument/2006/relationships/hyperlink" Target="https://www.rsssf.org/colours/spain.html" TargetMode="External"/><Relationship Id="rId265" Type="http://schemas.openxmlformats.org/officeDocument/2006/relationships/hyperlink" Target="https://de.wikipedia.org/wiki/Energie_Cottbus" TargetMode="External"/><Relationship Id="rId386" Type="http://schemas.openxmlformats.org/officeDocument/2006/relationships/hyperlink" Target="https://en.wikipedia.org/wiki/FC_Hermannstadt" TargetMode="External"/><Relationship Id="rId260" Type="http://schemas.openxmlformats.org/officeDocument/2006/relationships/hyperlink" Target="https://de.wikipedia.org/wiki/Borussia_M%C3%B6nchengladbach" TargetMode="External"/><Relationship Id="rId381" Type="http://schemas.openxmlformats.org/officeDocument/2006/relationships/hyperlink" Target="https://ro.wikipedia.org/wiki/FC_Boto%C8%99ani" TargetMode="External"/><Relationship Id="rId380" Type="http://schemas.openxmlformats.org/officeDocument/2006/relationships/hyperlink" Target="https://en.wikipedia.org/wiki/FC_Bihor_Oradea_(2022)" TargetMode="External"/><Relationship Id="rId139" Type="http://schemas.openxmlformats.org/officeDocument/2006/relationships/hyperlink" Target="https://fr.wikipedia.org/wiki/Club_Deportivo_Teruel" TargetMode="External"/><Relationship Id="rId138" Type="http://schemas.openxmlformats.org/officeDocument/2006/relationships/hyperlink" Target="https://www.rsssf.org/colours/spain.html" TargetMode="External"/><Relationship Id="rId259" Type="http://schemas.openxmlformats.org/officeDocument/2006/relationships/hyperlink" Target="https://www.rsssf.org/colours/germany.html" TargetMode="External"/><Relationship Id="rId137" Type="http://schemas.openxmlformats.org/officeDocument/2006/relationships/hyperlink" Target="https://www.rsssf.org/colours/spain.html" TargetMode="External"/><Relationship Id="rId258" Type="http://schemas.openxmlformats.org/officeDocument/2006/relationships/hyperlink" Target="https://www.rsssf.org/colours/germany.html" TargetMode="External"/><Relationship Id="rId379" Type="http://schemas.openxmlformats.org/officeDocument/2006/relationships/hyperlink" Target="https://ro.wikipedia.org/wiki/FC_Arge%C8%99_Pite%C8%99ti" TargetMode="External"/><Relationship Id="rId132" Type="http://schemas.openxmlformats.org/officeDocument/2006/relationships/hyperlink" Target="https://www.rsssf.org/colours/spain.html" TargetMode="External"/><Relationship Id="rId253" Type="http://schemas.openxmlformats.org/officeDocument/2006/relationships/hyperlink" Target="https://www.rsssf.org/colours/germany.html" TargetMode="External"/><Relationship Id="rId374" Type="http://schemas.openxmlformats.org/officeDocument/2006/relationships/hyperlink" Target="https://en.wikipedia.org/wiki/CSM_S%C4%83cele" TargetMode="External"/><Relationship Id="rId495" Type="http://schemas.openxmlformats.org/officeDocument/2006/relationships/hyperlink" Target="https://www.the-sports.org/football-soccer-jyvaskylan-jalkapalloklubi-results-identity-equ11260.html" TargetMode="External"/><Relationship Id="rId131" Type="http://schemas.openxmlformats.org/officeDocument/2006/relationships/hyperlink" Target="https://www.rsssf.org/colours/spain.html" TargetMode="External"/><Relationship Id="rId252" Type="http://schemas.openxmlformats.org/officeDocument/2006/relationships/hyperlink" Target="https://www.rsssf.org/colours/germany.html" TargetMode="External"/><Relationship Id="rId373" Type="http://schemas.openxmlformats.org/officeDocument/2006/relationships/hyperlink" Target="https://en.wikipedia.org/wiki/CSM_Slatina_(football)" TargetMode="External"/><Relationship Id="rId494" Type="http://schemas.openxmlformats.org/officeDocument/2006/relationships/hyperlink" Target="https://fi.wikipedia.org/wiki/JIPPO" TargetMode="External"/><Relationship Id="rId130" Type="http://schemas.openxmlformats.org/officeDocument/2006/relationships/hyperlink" Target="https://www.rsssf.org/colours/spain.html" TargetMode="External"/><Relationship Id="rId251" Type="http://schemas.openxmlformats.org/officeDocument/2006/relationships/hyperlink" Target="https://www.rsssf.org/colours/germany.html" TargetMode="External"/><Relationship Id="rId372" Type="http://schemas.openxmlformats.org/officeDocument/2006/relationships/hyperlink" Target="https://en.wikipedia.org/wiki/CSM_Re%C8%99i%C8%9Ba" TargetMode="External"/><Relationship Id="rId493" Type="http://schemas.openxmlformats.org/officeDocument/2006/relationships/hyperlink" Target="https://ilvesfutisliiga.fi/ukk/" TargetMode="External"/><Relationship Id="rId250" Type="http://schemas.openxmlformats.org/officeDocument/2006/relationships/hyperlink" Target="https://www.rsssf.org/colours/germany.html" TargetMode="External"/><Relationship Id="rId371" Type="http://schemas.openxmlformats.org/officeDocument/2006/relationships/hyperlink" Target="https://en.wikipedia.org/wiki/FK_Cs%C3%ADkszereda_Miercurea_Ciuc" TargetMode="External"/><Relationship Id="rId492" Type="http://schemas.openxmlformats.org/officeDocument/2006/relationships/hyperlink" Target="https://fi.wikipedia.org/wiki/IFK_Mariehamn" TargetMode="External"/><Relationship Id="rId136" Type="http://schemas.openxmlformats.org/officeDocument/2006/relationships/hyperlink" Target="https://www.rsssf.org/colours/spain.html" TargetMode="External"/><Relationship Id="rId257" Type="http://schemas.openxmlformats.org/officeDocument/2006/relationships/hyperlink" Target="https://www.rsssf.org/colours/germany.html" TargetMode="External"/><Relationship Id="rId378" Type="http://schemas.openxmlformats.org/officeDocument/2006/relationships/hyperlink" Target="https://en.wikipedia.org/wiki/FCV_Farul_Constan%C8%9Ba" TargetMode="External"/><Relationship Id="rId499" Type="http://schemas.openxmlformats.org/officeDocument/2006/relationships/hyperlink" Target="https://fi.wikipedia.org/wiki/Kuopion_Palloseura" TargetMode="External"/><Relationship Id="rId135" Type="http://schemas.openxmlformats.org/officeDocument/2006/relationships/hyperlink" Target="https://www.rsssf.org/colours/spain.html" TargetMode="External"/><Relationship Id="rId256" Type="http://schemas.openxmlformats.org/officeDocument/2006/relationships/hyperlink" Target="https://www.rsssf.org/colours/germany.html" TargetMode="External"/><Relationship Id="rId377" Type="http://schemas.openxmlformats.org/officeDocument/2006/relationships/hyperlink" Target="https://en.wikipedia.org/wiki/FC_Dun%C4%83rea_C%C4%83l%C4%83ra%C8%99i" TargetMode="External"/><Relationship Id="rId498" Type="http://schemas.openxmlformats.org/officeDocument/2006/relationships/hyperlink" Target="https://www.the-sports.org/football-soccer-ktp-kotka-results-identity-equ10274.html" TargetMode="External"/><Relationship Id="rId134" Type="http://schemas.openxmlformats.org/officeDocument/2006/relationships/hyperlink" Target="https://www.rsssf.org/colours/spain.html" TargetMode="External"/><Relationship Id="rId255" Type="http://schemas.openxmlformats.org/officeDocument/2006/relationships/hyperlink" Target="https://www.rsssf.org/colours/germany.html" TargetMode="External"/><Relationship Id="rId376" Type="http://schemas.openxmlformats.org/officeDocument/2006/relationships/hyperlink" Target="https://ro.wikipedia.org/wiki/FC_Dinamo_Bucure%C8%99ti" TargetMode="External"/><Relationship Id="rId497" Type="http://schemas.openxmlformats.org/officeDocument/2006/relationships/hyperlink" Target="https://fr.wikipedia.org/wiki/Kokkolan_Palloveikot" TargetMode="External"/><Relationship Id="rId133" Type="http://schemas.openxmlformats.org/officeDocument/2006/relationships/hyperlink" Target="https://www.rsssf.org/colours/spain.html" TargetMode="External"/><Relationship Id="rId254" Type="http://schemas.openxmlformats.org/officeDocument/2006/relationships/hyperlink" Target="https://www.rsssf.org/colours/germany.html" TargetMode="External"/><Relationship Id="rId375" Type="http://schemas.openxmlformats.org/officeDocument/2006/relationships/hyperlink" Target="https://ro.wikipedia.org/wiki/FC_Dinamo_Bucure%C8%99ti" TargetMode="External"/><Relationship Id="rId496" Type="http://schemas.openxmlformats.org/officeDocument/2006/relationships/hyperlink" Target="https://fi.wikipedia.org/wiki/J%C3%A4rvenp%C3%A4%C3%A4n_Palloseura" TargetMode="External"/><Relationship Id="rId172" Type="http://schemas.openxmlformats.org/officeDocument/2006/relationships/hyperlink" Target="https://it.wikipedia.org/wiki/Associazione_Sportiva_Cittadella" TargetMode="External"/><Relationship Id="rId293" Type="http://schemas.openxmlformats.org/officeDocument/2006/relationships/hyperlink" Target="https://de.wikipedia.org/wiki/TSG_1899_Hoffenheim" TargetMode="External"/><Relationship Id="rId171" Type="http://schemas.openxmlformats.org/officeDocument/2006/relationships/hyperlink" Target="https://www.rsssf.org/colours/italy.html" TargetMode="External"/><Relationship Id="rId292" Type="http://schemas.openxmlformats.org/officeDocument/2006/relationships/hyperlink" Target="https://de.wikipedia.org/wiki/TSG_1899_Hoffenheim" TargetMode="External"/><Relationship Id="rId170" Type="http://schemas.openxmlformats.org/officeDocument/2006/relationships/hyperlink" Target="https://it.wikipedia.org/wiki/Cavese_1919" TargetMode="External"/><Relationship Id="rId291" Type="http://schemas.openxmlformats.org/officeDocument/2006/relationships/hyperlink" Target="https://de.wikipedia.org/wiki/SV_Wehen_Wiesbaden" TargetMode="External"/><Relationship Id="rId290" Type="http://schemas.openxmlformats.org/officeDocument/2006/relationships/hyperlink" Target="https://www.rsssf.org/colours/germany.html" TargetMode="External"/><Relationship Id="rId165" Type="http://schemas.openxmlformats.org/officeDocument/2006/relationships/hyperlink" Target="https://it.wikipedia.org/wiki/Carrarese_Calcio_1908" TargetMode="External"/><Relationship Id="rId286" Type="http://schemas.openxmlformats.org/officeDocument/2006/relationships/hyperlink" Target="https://www.rsssf.org/colours/germany.html" TargetMode="External"/><Relationship Id="rId164" Type="http://schemas.openxmlformats.org/officeDocument/2006/relationships/hyperlink" Target="https://it.wikipedia.org/wiki/Carpi_Football_Club_1909" TargetMode="External"/><Relationship Id="rId285" Type="http://schemas.openxmlformats.org/officeDocument/2006/relationships/hyperlink" Target="https://de.wikipedia.org/wiki/SC_Paderborn_07" TargetMode="External"/><Relationship Id="rId163" Type="http://schemas.openxmlformats.org/officeDocument/2006/relationships/hyperlink" Target="https://it.wikipedia.org/wiki/Campobasso_Football_Club" TargetMode="External"/><Relationship Id="rId284" Type="http://schemas.openxmlformats.org/officeDocument/2006/relationships/hyperlink" Target="https://www.rsssf.org/colours/germany.html" TargetMode="External"/><Relationship Id="rId162" Type="http://schemas.openxmlformats.org/officeDocument/2006/relationships/hyperlink" Target="https://www.rsssf.org/colours/italy.html" TargetMode="External"/><Relationship Id="rId283" Type="http://schemas.openxmlformats.org/officeDocument/2006/relationships/hyperlink" Target="https://www.rsssf.org/colours/germany.html" TargetMode="External"/><Relationship Id="rId169" Type="http://schemas.openxmlformats.org/officeDocument/2006/relationships/hyperlink" Target="https://it.wikipedia.org/wiki/Unione_Sportiva_Catanzaro_1929" TargetMode="External"/><Relationship Id="rId168" Type="http://schemas.openxmlformats.org/officeDocument/2006/relationships/hyperlink" Target="https://it.wikipedia.org/wiki/Catania_Football_Club" TargetMode="External"/><Relationship Id="rId289" Type="http://schemas.openxmlformats.org/officeDocument/2006/relationships/hyperlink" Target="https://de.wikipedia.org/wiki/SV_Elversberg" TargetMode="External"/><Relationship Id="rId167" Type="http://schemas.openxmlformats.org/officeDocument/2006/relationships/hyperlink" Target="https://www.rsssf.org/colours/italy.html" TargetMode="External"/><Relationship Id="rId288" Type="http://schemas.openxmlformats.org/officeDocument/2006/relationships/hyperlink" Target="https://de.wikipedia.org/wiki/SG_Sonnenhof_Gro%C3%9Faspach" TargetMode="External"/><Relationship Id="rId166" Type="http://schemas.openxmlformats.org/officeDocument/2006/relationships/hyperlink" Target="https://it.wikipedia.org/wiki/Casarano_Calcio" TargetMode="External"/><Relationship Id="rId287" Type="http://schemas.openxmlformats.org/officeDocument/2006/relationships/hyperlink" Target="https://www.rsssf.org/colours/germany.html" TargetMode="External"/><Relationship Id="rId161" Type="http://schemas.openxmlformats.org/officeDocument/2006/relationships/hyperlink" Target="https://www.rsssf.org/colours/italy.html" TargetMode="External"/><Relationship Id="rId282" Type="http://schemas.openxmlformats.org/officeDocument/2006/relationships/hyperlink" Target="https://de.wikipedia.org/wiki/RB_Leipzig" TargetMode="External"/><Relationship Id="rId160" Type="http://schemas.openxmlformats.org/officeDocument/2006/relationships/hyperlink" Target="https://it.wikipedia.org/wiki/Benevento_Calcio" TargetMode="External"/><Relationship Id="rId281" Type="http://schemas.openxmlformats.org/officeDocument/2006/relationships/hyperlink" Target="https://de.wikipedia.org/wiki/Preu%C3%9Fen_M%C3%BCnster" TargetMode="External"/><Relationship Id="rId280" Type="http://schemas.openxmlformats.org/officeDocument/2006/relationships/hyperlink" Target="https://www.rsssf.org/colours/germany.html" TargetMode="External"/><Relationship Id="rId159" Type="http://schemas.openxmlformats.org/officeDocument/2006/relationships/hyperlink" Target="https://it.wikipedia.org/wiki/Barletta_1922" TargetMode="External"/><Relationship Id="rId154" Type="http://schemas.openxmlformats.org/officeDocument/2006/relationships/hyperlink" Target="https://www.rsssf.org/colours/italy.html" TargetMode="External"/><Relationship Id="rId275" Type="http://schemas.openxmlformats.org/officeDocument/2006/relationships/hyperlink" Target="https://www.rsssf.org/colours/germany.html" TargetMode="External"/><Relationship Id="rId396" Type="http://schemas.openxmlformats.org/officeDocument/2006/relationships/hyperlink" Target="https://en.wikipedia.org/wiki/SC_Pope%C8%99ti-Leordeni" TargetMode="External"/><Relationship Id="rId153" Type="http://schemas.openxmlformats.org/officeDocument/2006/relationships/hyperlink" Target="https://www.rsssf.org/colours/italy.html" TargetMode="External"/><Relationship Id="rId274" Type="http://schemas.openxmlformats.org/officeDocument/2006/relationships/hyperlink" Target="https://de.wikipedia.org/wiki/Hansa_Rostock" TargetMode="External"/><Relationship Id="rId395" Type="http://schemas.openxmlformats.org/officeDocument/2006/relationships/hyperlink" Target="https://ro.wikipedia.org/wiki/FC_Rapid_Bucure%C8%99ti" TargetMode="External"/><Relationship Id="rId152" Type="http://schemas.openxmlformats.org/officeDocument/2006/relationships/hyperlink" Target="https://it.wikipedia.org/wiki/Football_Club_Arzignano_Valchiampo" TargetMode="External"/><Relationship Id="rId273" Type="http://schemas.openxmlformats.org/officeDocument/2006/relationships/hyperlink" Target="https://de.wikipedia.org/wiki/Hannover_96" TargetMode="External"/><Relationship Id="rId394" Type="http://schemas.openxmlformats.org/officeDocument/2006/relationships/hyperlink" Target="https://en.wikipedia.org/wiki/SSU_Politehnica_Timi%C8%99oara" TargetMode="External"/><Relationship Id="rId151" Type="http://schemas.openxmlformats.org/officeDocument/2006/relationships/hyperlink" Target="https://it.wikipedia.org/wiki/Societ%C3%A0_Sportiva_Arezzo" TargetMode="External"/><Relationship Id="rId272" Type="http://schemas.openxmlformats.org/officeDocument/2006/relationships/hyperlink" Target="https://de.wikipedia.org/wiki/Hamburger_SV" TargetMode="External"/><Relationship Id="rId393" Type="http://schemas.openxmlformats.org/officeDocument/2006/relationships/hyperlink" Target="https://en.wikipedia.org/wiki/SSU_Politehnica_Timi%C8%99oara" TargetMode="External"/><Relationship Id="rId158" Type="http://schemas.openxmlformats.org/officeDocument/2006/relationships/hyperlink" Target="https://www.rsssf.org/colours/italy.html" TargetMode="External"/><Relationship Id="rId279" Type="http://schemas.openxmlformats.org/officeDocument/2006/relationships/hyperlink" Target="https://de.wikipedia.org/wiki/1._FSV_Mainz_05" TargetMode="External"/><Relationship Id="rId157" Type="http://schemas.openxmlformats.org/officeDocument/2006/relationships/hyperlink" Target="https://www.rsssf.org/colours/italy.html" TargetMode="External"/><Relationship Id="rId278" Type="http://schemas.openxmlformats.org/officeDocument/2006/relationships/hyperlink" Target="https://www.rsssf.org/colours/germany.html" TargetMode="External"/><Relationship Id="rId399" Type="http://schemas.openxmlformats.org/officeDocument/2006/relationships/hyperlink" Target="https://en.wikipedia.org/wiki/CSA_Steaua_Bucure%C8%99ti_(football)" TargetMode="External"/><Relationship Id="rId156" Type="http://schemas.openxmlformats.org/officeDocument/2006/relationships/hyperlink" Target="https://it.wikipedia.org/wiki/Societ%C3%A0_Sportiva_Audace_Cerignola" TargetMode="External"/><Relationship Id="rId277" Type="http://schemas.openxmlformats.org/officeDocument/2006/relationships/hyperlink" Target="https://de.wikipedia.org/wiki/SSV_Jahn_Regensburg" TargetMode="External"/><Relationship Id="rId398" Type="http://schemas.openxmlformats.org/officeDocument/2006/relationships/hyperlink" Target="https://en.wikipedia.org/wiki/Sepsi_OSK_Sf%C3%A2ntu_Gheorghe" TargetMode="External"/><Relationship Id="rId155" Type="http://schemas.openxmlformats.org/officeDocument/2006/relationships/hyperlink" Target="https://www.rsssf.org/colours/italy.html" TargetMode="External"/><Relationship Id="rId276" Type="http://schemas.openxmlformats.org/officeDocument/2006/relationships/hyperlink" Target="https://www.rsssf.org/colours/germany.html" TargetMode="External"/><Relationship Id="rId397" Type="http://schemas.openxmlformats.org/officeDocument/2006/relationships/hyperlink" Target="https://en.wikipedia.org/wiki/Sepsi_OSK_Sf%C3%A2ntu_Gheorghe" TargetMode="External"/><Relationship Id="rId40" Type="http://schemas.openxmlformats.org/officeDocument/2006/relationships/hyperlink" Target="https://www.rsssf.org/colours/england.html" TargetMode="External"/><Relationship Id="rId42" Type="http://schemas.openxmlformats.org/officeDocument/2006/relationships/hyperlink" Target="https://www.rsssf.org/colours/england.html" TargetMode="External"/><Relationship Id="rId41" Type="http://schemas.openxmlformats.org/officeDocument/2006/relationships/hyperlink" Target="https://www.rsssf.org/colours/england.html" TargetMode="External"/><Relationship Id="rId44" Type="http://schemas.openxmlformats.org/officeDocument/2006/relationships/hyperlink" Target="https://www.rsssf.org/colours/england.html" TargetMode="External"/><Relationship Id="rId43" Type="http://schemas.openxmlformats.org/officeDocument/2006/relationships/hyperlink" Target="https://www.rsssf.org/colours/england.html" TargetMode="External"/><Relationship Id="rId46" Type="http://schemas.openxmlformats.org/officeDocument/2006/relationships/hyperlink" Target="https://www.rsssf.org/colours/england.html" TargetMode="External"/><Relationship Id="rId45" Type="http://schemas.openxmlformats.org/officeDocument/2006/relationships/hyperlink" Target="https://www.rsssf.org/colours/england.html" TargetMode="External"/><Relationship Id="rId509" Type="http://schemas.openxmlformats.org/officeDocument/2006/relationships/hyperlink" Target="https://fr.wikipedia.org/wiki/Tampere_United" TargetMode="External"/><Relationship Id="rId508" Type="http://schemas.openxmlformats.org/officeDocument/2006/relationships/hyperlink" Target="https://fi.wikipedia.org/wiki/Sein%C3%A4joen_Jalkapallokerho" TargetMode="External"/><Relationship Id="rId503" Type="http://schemas.openxmlformats.org/officeDocument/2006/relationships/hyperlink" Target="https://www.the-sports.org/football-soccer-ols-oulu-results-identity-equ49839.html" TargetMode="External"/><Relationship Id="rId502" Type="http://schemas.openxmlformats.org/officeDocument/2006/relationships/hyperlink" Target="https://mikkelinpalloilijat.fi/yhteystiedot/historia/" TargetMode="External"/><Relationship Id="rId501" Type="http://schemas.openxmlformats.org/officeDocument/2006/relationships/hyperlink" Target="https://www.the-sports.org/football-soccer-kapylan-pallo-results-identity-equ22792.html" TargetMode="External"/><Relationship Id="rId500" Type="http://schemas.openxmlformats.org/officeDocument/2006/relationships/hyperlink" Target="https://fi.wikipedia.org/wiki/Kuopion_Palloseura" TargetMode="External"/><Relationship Id="rId507" Type="http://schemas.openxmlformats.org/officeDocument/2006/relationships/hyperlink" Target="https://fi.wikipedia.org/wiki/Sein%C3%A4joen_Jalkapallokerho" TargetMode="External"/><Relationship Id="rId506" Type="http://schemas.openxmlformats.org/officeDocument/2006/relationships/hyperlink" Target="https://fi.wikipedia.org/wiki/Salon_Palloilijat" TargetMode="External"/><Relationship Id="rId505" Type="http://schemas.openxmlformats.org/officeDocument/2006/relationships/hyperlink" Target="https://www.the-sports.org/football-soccer-rovaniemi-rops-results-identity-equ7363.html" TargetMode="External"/><Relationship Id="rId504" Type="http://schemas.openxmlformats.org/officeDocument/2006/relationships/hyperlink" Target="https://edustus.pk-35.fi/miehet-edustus/90-vuotista-seuraa-muistettiin-juhlapelissa-on-tama-iso-juttu/" TargetMode="External"/><Relationship Id="rId48" Type="http://schemas.openxmlformats.org/officeDocument/2006/relationships/hyperlink" Target="https://www.football-stadiums.co.uk/articles/football-club-kit-colours/" TargetMode="External"/><Relationship Id="rId47" Type="http://schemas.openxmlformats.org/officeDocument/2006/relationships/hyperlink" Target="https://www.rsssf.org/colours/england.html" TargetMode="External"/><Relationship Id="rId49" Type="http://schemas.openxmlformats.org/officeDocument/2006/relationships/hyperlink" Target="https://www.rsssf.org/colours/england.html" TargetMode="External"/><Relationship Id="rId31" Type="http://schemas.openxmlformats.org/officeDocument/2006/relationships/hyperlink" Target="https://www.rsssf.org/colours/england.html" TargetMode="External"/><Relationship Id="rId30" Type="http://schemas.openxmlformats.org/officeDocument/2006/relationships/hyperlink" Target="https://www.rsssf.org/colours/england.html" TargetMode="External"/><Relationship Id="rId33" Type="http://schemas.openxmlformats.org/officeDocument/2006/relationships/hyperlink" Target="https://www.rsssf.org/colours/england.html" TargetMode="External"/><Relationship Id="rId32" Type="http://schemas.openxmlformats.org/officeDocument/2006/relationships/hyperlink" Target="https://www.rsssf.org/colours/england.html" TargetMode="External"/><Relationship Id="rId35" Type="http://schemas.openxmlformats.org/officeDocument/2006/relationships/hyperlink" Target="https://www.rsssf.org/colours/england.html" TargetMode="External"/><Relationship Id="rId34" Type="http://schemas.openxmlformats.org/officeDocument/2006/relationships/hyperlink" Target="https://www.rsssf.org/colours/england.html" TargetMode="External"/><Relationship Id="rId37" Type="http://schemas.openxmlformats.org/officeDocument/2006/relationships/hyperlink" Target="https://en.wikipedia.org/wiki/Luton_Town_F.C." TargetMode="External"/><Relationship Id="rId36" Type="http://schemas.openxmlformats.org/officeDocument/2006/relationships/hyperlink" Target="https://en.wikipedia.org/wiki/Liverpool_F.C." TargetMode="External"/><Relationship Id="rId39" Type="http://schemas.openxmlformats.org/officeDocument/2006/relationships/hyperlink" Target="https://www.rsssf.org/colours/england.html" TargetMode="External"/><Relationship Id="rId38" Type="http://schemas.openxmlformats.org/officeDocument/2006/relationships/hyperlink" Target="https://www.rsssf.org/colours/england.html" TargetMode="External"/><Relationship Id="rId20" Type="http://schemas.openxmlformats.org/officeDocument/2006/relationships/hyperlink" Target="https://www.rsssf.org/colours/england.html" TargetMode="External"/><Relationship Id="rId22" Type="http://schemas.openxmlformats.org/officeDocument/2006/relationships/hyperlink" Target="https://www.rsssf.org/colours/england.html" TargetMode="External"/><Relationship Id="rId21" Type="http://schemas.openxmlformats.org/officeDocument/2006/relationships/hyperlink" Target="https://www.rsssf.org/colours/england.html" TargetMode="External"/><Relationship Id="rId24" Type="http://schemas.openxmlformats.org/officeDocument/2006/relationships/hyperlink" Target="https://www.rsssf.org/colours/england.html" TargetMode="External"/><Relationship Id="rId23" Type="http://schemas.openxmlformats.org/officeDocument/2006/relationships/hyperlink" Target="https://en.wikipedia.org/wiki/Coventry_City_F.C." TargetMode="External"/><Relationship Id="rId409" Type="http://schemas.openxmlformats.org/officeDocument/2006/relationships/hyperlink" Target="https://www.rsssf.org/colours/greece.html" TargetMode="External"/><Relationship Id="rId404" Type="http://schemas.openxmlformats.org/officeDocument/2006/relationships/hyperlink" Target="https://en.wikipedia.org/wiki/CS_Universitatea_Craiova" TargetMode="External"/><Relationship Id="rId525" Type="http://schemas.openxmlformats.org/officeDocument/2006/relationships/hyperlink" Target="https://www.rsssf.org/colours/turkey.html" TargetMode="External"/><Relationship Id="rId403" Type="http://schemas.openxmlformats.org/officeDocument/2006/relationships/hyperlink" Target="https://ro.wikipedia.org/wiki/FC_Universitatea_Cluj" TargetMode="External"/><Relationship Id="rId524" Type="http://schemas.openxmlformats.org/officeDocument/2006/relationships/hyperlink" Target="https://www.rsssf.org/colours/turkey.html" TargetMode="External"/><Relationship Id="rId402" Type="http://schemas.openxmlformats.org/officeDocument/2006/relationships/hyperlink" Target="https://en.wikipedia.org/wiki/AFC_Unirea_Slobozia" TargetMode="External"/><Relationship Id="rId523" Type="http://schemas.openxmlformats.org/officeDocument/2006/relationships/hyperlink" Target="https://www.rsssf.org/colours/turkey.html" TargetMode="External"/><Relationship Id="rId401" Type="http://schemas.openxmlformats.org/officeDocument/2006/relationships/hyperlink" Target="https://en.wikipedia.org/wiki/FC_Unirea_Dej" TargetMode="External"/><Relationship Id="rId522" Type="http://schemas.openxmlformats.org/officeDocument/2006/relationships/hyperlink" Target="https://fr.wikipedia.org/wiki/Royale_Union_saint-gilloise" TargetMode="External"/><Relationship Id="rId408" Type="http://schemas.openxmlformats.org/officeDocument/2006/relationships/hyperlink" Target="https://www.rsssf.org/colours/greece.html" TargetMode="External"/><Relationship Id="rId529" Type="http://schemas.openxmlformats.org/officeDocument/2006/relationships/hyperlink" Target="https://de.wikipedia.org/wiki/FC_Twente_Enschede" TargetMode="External"/><Relationship Id="rId407" Type="http://schemas.openxmlformats.org/officeDocument/2006/relationships/hyperlink" Target="https://www.rsssf.org/colours/greece.html" TargetMode="External"/><Relationship Id="rId528" Type="http://schemas.openxmlformats.org/officeDocument/2006/relationships/hyperlink" Target="https://www.rsssf.org/colours/netherlands.html" TargetMode="External"/><Relationship Id="rId406" Type="http://schemas.openxmlformats.org/officeDocument/2006/relationships/hyperlink" Target="https://ro.wikipedia.org/wiki/FC_UTA_Arad" TargetMode="External"/><Relationship Id="rId527" Type="http://schemas.openxmlformats.org/officeDocument/2006/relationships/hyperlink" Target="https://www.rsssf.org/colours/netherlands.html" TargetMode="External"/><Relationship Id="rId405" Type="http://schemas.openxmlformats.org/officeDocument/2006/relationships/hyperlink" Target="https://en.wikipedia.org/wiki/CS_Universitatea_Craiova" TargetMode="External"/><Relationship Id="rId526" Type="http://schemas.openxmlformats.org/officeDocument/2006/relationships/hyperlink" Target="https://en.wikipedia.org/wiki/Trabzonspor" TargetMode="External"/><Relationship Id="rId26" Type="http://schemas.openxmlformats.org/officeDocument/2006/relationships/hyperlink" Target="https://www.rsssf.org/colours/england.html" TargetMode="External"/><Relationship Id="rId25" Type="http://schemas.openxmlformats.org/officeDocument/2006/relationships/hyperlink" Target="https://www.rsssf.org/colours/england.html" TargetMode="External"/><Relationship Id="rId28" Type="http://schemas.openxmlformats.org/officeDocument/2006/relationships/hyperlink" Target="https://www.rsssf.org/colours/england.html" TargetMode="External"/><Relationship Id="rId27" Type="http://schemas.openxmlformats.org/officeDocument/2006/relationships/hyperlink" Target="https://www.rsssf.org/colours/england.html" TargetMode="External"/><Relationship Id="rId400" Type="http://schemas.openxmlformats.org/officeDocument/2006/relationships/hyperlink" Target="https://en.wikipedia.org/wiki/CSM_Unirea_Alba_Iulia" TargetMode="External"/><Relationship Id="rId521" Type="http://schemas.openxmlformats.org/officeDocument/2006/relationships/hyperlink" Target="https://www.rsssf.org/colours/belgium.html" TargetMode="External"/><Relationship Id="rId29" Type="http://schemas.openxmlformats.org/officeDocument/2006/relationships/hyperlink" Target="https://www.rsssf.org/colours/england.html" TargetMode="External"/><Relationship Id="rId520" Type="http://schemas.openxmlformats.org/officeDocument/2006/relationships/hyperlink" Target="https://www.rsssf.org/colours/belgium.html" TargetMode="External"/><Relationship Id="rId11" Type="http://schemas.openxmlformats.org/officeDocument/2006/relationships/hyperlink" Target="https://en.wikipedia.org/wiki/AFC_Bournemouth" TargetMode="External"/><Relationship Id="rId10" Type="http://schemas.openxmlformats.org/officeDocument/2006/relationships/hyperlink" Target="https://en.wikipedia.org/wiki/Bolton_Wanderers_F.C." TargetMode="External"/><Relationship Id="rId13" Type="http://schemas.openxmlformats.org/officeDocument/2006/relationships/hyperlink" Target="https://en.wikipedia.org/wiki/Brentford_F.C." TargetMode="External"/><Relationship Id="rId12" Type="http://schemas.openxmlformats.org/officeDocument/2006/relationships/hyperlink" Target="https://www.rsssf.org/colours/england.html" TargetMode="External"/><Relationship Id="rId519" Type="http://schemas.openxmlformats.org/officeDocument/2006/relationships/hyperlink" Target="https://www.rsssf.org/colours/belgium.html" TargetMode="External"/><Relationship Id="rId514" Type="http://schemas.openxmlformats.org/officeDocument/2006/relationships/hyperlink" Target="https://www.the-sports.org/football-soccer-fk-bodoglimt-results-identity-equ1291.html" TargetMode="External"/><Relationship Id="rId513" Type="http://schemas.openxmlformats.org/officeDocument/2006/relationships/hyperlink" Target="https://fi.wikipedia.org/wiki/Vaasan_Palloseura" TargetMode="External"/><Relationship Id="rId512" Type="http://schemas.openxmlformats.org/officeDocument/2006/relationships/hyperlink" Target="https://vjs.fi/etusivu/seuravaatteet/" TargetMode="External"/><Relationship Id="rId511" Type="http://schemas.openxmlformats.org/officeDocument/2006/relationships/hyperlink" Target="https://fi.wikipedia.org/wiki/Tampereen_Pallo-Veikot" TargetMode="External"/><Relationship Id="rId518" Type="http://schemas.openxmlformats.org/officeDocument/2006/relationships/hyperlink" Target="https://www.rsssf.org/colours/belgium.html" TargetMode="External"/><Relationship Id="rId517" Type="http://schemas.openxmlformats.org/officeDocument/2006/relationships/hyperlink" Target="https://www.rsssf.org/colours/norway.html" TargetMode="External"/><Relationship Id="rId516" Type="http://schemas.openxmlformats.org/officeDocument/2006/relationships/hyperlink" Target="https://www.rsssf.org/colours/norway.html" TargetMode="External"/><Relationship Id="rId515" Type="http://schemas.openxmlformats.org/officeDocument/2006/relationships/hyperlink" Target="https://www.rsssf.org/colours/norway.html" TargetMode="External"/><Relationship Id="rId15" Type="http://schemas.openxmlformats.org/officeDocument/2006/relationships/hyperlink" Target="https://www.rsssf.org/colours/england.html" TargetMode="External"/><Relationship Id="rId14" Type="http://schemas.openxmlformats.org/officeDocument/2006/relationships/hyperlink" Target="https://www.rsssf.org/colours/england.html" TargetMode="External"/><Relationship Id="rId17" Type="http://schemas.openxmlformats.org/officeDocument/2006/relationships/hyperlink" Target="https://www.rsssf.org/colours/england.html" TargetMode="External"/><Relationship Id="rId16" Type="http://schemas.openxmlformats.org/officeDocument/2006/relationships/hyperlink" Target="https://teamcolorcodes.com/bromley-f-c-color-codes/" TargetMode="External"/><Relationship Id="rId19" Type="http://schemas.openxmlformats.org/officeDocument/2006/relationships/hyperlink" Target="https://en.wikipedia.org/wiki/Cambridge_United_F.C." TargetMode="External"/><Relationship Id="rId510" Type="http://schemas.openxmlformats.org/officeDocument/2006/relationships/hyperlink" Target="https://fi.wikipedia.org/wiki/Turun_Palloseura_(jalkapallo)" TargetMode="External"/><Relationship Id="rId18" Type="http://schemas.openxmlformats.org/officeDocument/2006/relationships/hyperlink" Target="https://en.wikipedia.org/wiki/Burton_Albion_F.C." TargetMode="External"/><Relationship Id="rId84" Type="http://schemas.openxmlformats.org/officeDocument/2006/relationships/hyperlink" Target="https://www.rsssf.org/colours/spain.html" TargetMode="External"/><Relationship Id="rId83" Type="http://schemas.openxmlformats.org/officeDocument/2006/relationships/hyperlink" Target="https://www.rsssf.org/colours/spain.html" TargetMode="External"/><Relationship Id="rId86" Type="http://schemas.openxmlformats.org/officeDocument/2006/relationships/hyperlink" Target="https://www.rsssf.org/colours/spain.html" TargetMode="External"/><Relationship Id="rId85" Type="http://schemas.openxmlformats.org/officeDocument/2006/relationships/hyperlink" Target="https://www.rsssf.org/colours/spain.html" TargetMode="External"/><Relationship Id="rId88" Type="http://schemas.openxmlformats.org/officeDocument/2006/relationships/hyperlink" Target="https://fr.wikipedia.org/wiki/Club_Esportiu_Europa" TargetMode="External"/><Relationship Id="rId87" Type="http://schemas.openxmlformats.org/officeDocument/2006/relationships/hyperlink" Target="https://www.rsssf.org/colours/spain.html" TargetMode="External"/><Relationship Id="rId89" Type="http://schemas.openxmlformats.org/officeDocument/2006/relationships/hyperlink" Target="https://www.rsssf.org/colours/spain.html" TargetMode="External"/><Relationship Id="rId80" Type="http://schemas.openxmlformats.org/officeDocument/2006/relationships/hyperlink" Target="https://www.rsssf.org/colours/spain.html" TargetMode="External"/><Relationship Id="rId82" Type="http://schemas.openxmlformats.org/officeDocument/2006/relationships/hyperlink" Target="https://www.rsssf.org/colours/spain.html" TargetMode="External"/><Relationship Id="rId81" Type="http://schemas.openxmlformats.org/officeDocument/2006/relationships/hyperlink" Target="https://www.rsssf.org/colours/spain.html" TargetMode="External"/><Relationship Id="rId73" Type="http://schemas.openxmlformats.org/officeDocument/2006/relationships/hyperlink" Target="https://www.rsssf.org/colours/spain.html" TargetMode="External"/><Relationship Id="rId72" Type="http://schemas.openxmlformats.org/officeDocument/2006/relationships/hyperlink" Target="https://fr.wikipedia.org/wiki/Albacete_Balompi%C3%A9" TargetMode="External"/><Relationship Id="rId75" Type="http://schemas.openxmlformats.org/officeDocument/2006/relationships/hyperlink" Target="https://www.rsssf.org/colours/spain.html" TargetMode="External"/><Relationship Id="rId74" Type="http://schemas.openxmlformats.org/officeDocument/2006/relationships/hyperlink" Target="https://www.rsssf.org/colours/spain.html" TargetMode="External"/><Relationship Id="rId77" Type="http://schemas.openxmlformats.org/officeDocument/2006/relationships/hyperlink" Target="https://fr.wikipedia.org/wiki/Arenas_Club_de_Getxo" TargetMode="External"/><Relationship Id="rId76" Type="http://schemas.openxmlformats.org/officeDocument/2006/relationships/hyperlink" Target="https://www.rsssf.org/colours/spain.html" TargetMode="External"/><Relationship Id="rId79" Type="http://schemas.openxmlformats.org/officeDocument/2006/relationships/hyperlink" Target="https://www.rsssf.org/colours/spain.html" TargetMode="External"/><Relationship Id="rId78" Type="http://schemas.openxmlformats.org/officeDocument/2006/relationships/hyperlink" Target="https://www.rsssf.org/colours/spain.html" TargetMode="External"/><Relationship Id="rId71" Type="http://schemas.openxmlformats.org/officeDocument/2006/relationships/hyperlink" Target="https://www.rtvce.es/articulo/deportes/tradicion-innovacion-nuevas-equipaciones-ad-ceuta/20260727200148101725.html" TargetMode="External"/><Relationship Id="rId70" Type="http://schemas.openxmlformats.org/officeDocument/2006/relationships/hyperlink" Target="https://www.rsssf.org/colours/england.html" TargetMode="External"/><Relationship Id="rId62" Type="http://schemas.openxmlformats.org/officeDocument/2006/relationships/hyperlink" Target="https://www.rsssf.org/colours/england.html" TargetMode="External"/><Relationship Id="rId61" Type="http://schemas.openxmlformats.org/officeDocument/2006/relationships/hyperlink" Target="https://www.rsssf.org/colours/england.html" TargetMode="External"/><Relationship Id="rId64" Type="http://schemas.openxmlformats.org/officeDocument/2006/relationships/hyperlink" Target="https://www.football-stadiums.co.uk/articles/football-club-kit-colours/" TargetMode="External"/><Relationship Id="rId63" Type="http://schemas.openxmlformats.org/officeDocument/2006/relationships/hyperlink" Target="https://www.rsssf.org/colours/england.html" TargetMode="External"/><Relationship Id="rId66" Type="http://schemas.openxmlformats.org/officeDocument/2006/relationships/hyperlink" Target="https://www.rsssf.org/colours/england.html" TargetMode="External"/><Relationship Id="rId65" Type="http://schemas.openxmlformats.org/officeDocument/2006/relationships/hyperlink" Target="https://en.wikipedia.org/wiki/West_Bromwich_Albion_F.C." TargetMode="External"/><Relationship Id="rId68" Type="http://schemas.openxmlformats.org/officeDocument/2006/relationships/hyperlink" Target="https://www.rsssf.org/colours/england.html" TargetMode="External"/><Relationship Id="rId67" Type="http://schemas.openxmlformats.org/officeDocument/2006/relationships/hyperlink" Target="https://www.rsssf.org/colours/england.html" TargetMode="External"/><Relationship Id="rId60" Type="http://schemas.openxmlformats.org/officeDocument/2006/relationships/hyperlink" Target="https://www.rsssf.org/colours/england.html" TargetMode="External"/><Relationship Id="rId69" Type="http://schemas.openxmlformats.org/officeDocument/2006/relationships/hyperlink" Target="https://en.wikipedia.org/wiki/Wrexham_A.F.C." TargetMode="External"/><Relationship Id="rId51" Type="http://schemas.openxmlformats.org/officeDocument/2006/relationships/hyperlink" Target="https://www.rsssf.org/colours/england.html" TargetMode="External"/><Relationship Id="rId50" Type="http://schemas.openxmlformats.org/officeDocument/2006/relationships/hyperlink" Target="https://www.rsssf.org/colours/england.html" TargetMode="External"/><Relationship Id="rId53" Type="http://schemas.openxmlformats.org/officeDocument/2006/relationships/hyperlink" Target="https://www.rsssf.org/colours/england.html" TargetMode="External"/><Relationship Id="rId52" Type="http://schemas.openxmlformats.org/officeDocument/2006/relationships/hyperlink" Target="https://www.rsssf.org/colours/england.html" TargetMode="External"/><Relationship Id="rId55" Type="http://schemas.openxmlformats.org/officeDocument/2006/relationships/hyperlink" Target="https://www.rsssf.org/colours/england.html" TargetMode="External"/><Relationship Id="rId54" Type="http://schemas.openxmlformats.org/officeDocument/2006/relationships/hyperlink" Target="https://www.rsssf.org/colours/england.html" TargetMode="External"/><Relationship Id="rId57" Type="http://schemas.openxmlformats.org/officeDocument/2006/relationships/hyperlink" Target="https://www.rsssf.org/colours/england.html" TargetMode="External"/><Relationship Id="rId56" Type="http://schemas.openxmlformats.org/officeDocument/2006/relationships/hyperlink" Target="https://www.rsssf.org/colours/england.html" TargetMode="External"/><Relationship Id="rId59" Type="http://schemas.openxmlformats.org/officeDocument/2006/relationships/hyperlink" Target="https://www.rsssf.org/colours/england.html" TargetMode="External"/><Relationship Id="rId58" Type="http://schemas.openxmlformats.org/officeDocument/2006/relationships/hyperlink" Target="https://en.wikipedia.org/wiki/Stevenage_F.C." TargetMode="External"/><Relationship Id="rId107" Type="http://schemas.openxmlformats.org/officeDocument/2006/relationships/hyperlink" Target="https://www.rsssf.org/colours/spain.html" TargetMode="External"/><Relationship Id="rId228" Type="http://schemas.openxmlformats.org/officeDocument/2006/relationships/hyperlink" Target="https://it.wikipedia.org/wiki/Unione_Sportiva_Salernitana_1919" TargetMode="External"/><Relationship Id="rId349" Type="http://schemas.openxmlformats.org/officeDocument/2006/relationships/hyperlink" Target="https://www.rsssf.org/colours/france.html" TargetMode="External"/><Relationship Id="rId106" Type="http://schemas.openxmlformats.org/officeDocument/2006/relationships/hyperlink" Target="https://www.rsssf.org/colours/spain.html" TargetMode="External"/><Relationship Id="rId227" Type="http://schemas.openxmlformats.org/officeDocument/2006/relationships/hyperlink" Target="https://www.rsssf.org/colours/italy.html" TargetMode="External"/><Relationship Id="rId348" Type="http://schemas.openxmlformats.org/officeDocument/2006/relationships/hyperlink" Target="https://www.rsssf.org/colours/france.html" TargetMode="External"/><Relationship Id="rId469" Type="http://schemas.openxmlformats.org/officeDocument/2006/relationships/hyperlink" Target="https://www.rsssf.org/colours/greece.html" TargetMode="External"/><Relationship Id="rId105" Type="http://schemas.openxmlformats.org/officeDocument/2006/relationships/hyperlink" Target="https://www.rsssf.org/colours/spain.html" TargetMode="External"/><Relationship Id="rId226" Type="http://schemas.openxmlformats.org/officeDocument/2006/relationships/hyperlink" Target="https://it.wikipedia.org/wiki/Associazione_Calcio_Renate" TargetMode="External"/><Relationship Id="rId347" Type="http://schemas.openxmlformats.org/officeDocument/2006/relationships/hyperlink" Target="https://fr.wikipedia.org/wiki/Stade_rennais_football_club" TargetMode="External"/><Relationship Id="rId468" Type="http://schemas.openxmlformats.org/officeDocument/2006/relationships/hyperlink" Target="https://www.rsssf.org/colours/greece.html" TargetMode="External"/><Relationship Id="rId104" Type="http://schemas.openxmlformats.org/officeDocument/2006/relationships/hyperlink" Target="https://www.rsssf.org/colours/spain.html" TargetMode="External"/><Relationship Id="rId225" Type="http://schemas.openxmlformats.org/officeDocument/2006/relationships/hyperlink" Target="https://www.rsssf.org/colours/italy.html" TargetMode="External"/><Relationship Id="rId346" Type="http://schemas.openxmlformats.org/officeDocument/2006/relationships/hyperlink" Target="https://www.rsssf.org/colours/france.html" TargetMode="External"/><Relationship Id="rId467" Type="http://schemas.openxmlformats.org/officeDocument/2006/relationships/hyperlink" Target="https://www.rsssf.org/colours/greece.html" TargetMode="External"/><Relationship Id="rId109" Type="http://schemas.openxmlformats.org/officeDocument/2006/relationships/hyperlink" Target="https://www.rsssf.org/colours/spain.html" TargetMode="External"/><Relationship Id="rId108" Type="http://schemas.openxmlformats.org/officeDocument/2006/relationships/hyperlink" Target="https://www.rsssf.org/colours/spain.html" TargetMode="External"/><Relationship Id="rId229" Type="http://schemas.openxmlformats.org/officeDocument/2006/relationships/hyperlink" Target="https://www.lega-pro.com/campionato/squadre/girone-b/sambenedettese/" TargetMode="External"/><Relationship Id="rId220" Type="http://schemas.openxmlformats.org/officeDocument/2006/relationships/hyperlink" Target="https://it.wikipedia.org/wiki/Associazione_Sportiva_Pineto_Calcio" TargetMode="External"/><Relationship Id="rId341" Type="http://schemas.openxmlformats.org/officeDocument/2006/relationships/hyperlink" Target="https://fr.wikipedia.org/wiki/Paris_Football_Club" TargetMode="External"/><Relationship Id="rId462" Type="http://schemas.openxmlformats.org/officeDocument/2006/relationships/hyperlink" Target="https://en.wikipedia.org/wiki/Panthrakikos_F.C." TargetMode="External"/><Relationship Id="rId340" Type="http://schemas.openxmlformats.org/officeDocument/2006/relationships/hyperlink" Target="https://fr.wikipedia.org/wiki/Paris_13_Atletico" TargetMode="External"/><Relationship Id="rId461" Type="http://schemas.openxmlformats.org/officeDocument/2006/relationships/hyperlink" Target="https://www.rsssf.org/colours/greece.html" TargetMode="External"/><Relationship Id="rId460" Type="http://schemas.openxmlformats.org/officeDocument/2006/relationships/hyperlink" Target="https://www.rsssf.org/colours/greece.html" TargetMode="External"/><Relationship Id="rId581" Type="http://schemas.openxmlformats.org/officeDocument/2006/relationships/table" Target="../tables/table1.xml"/><Relationship Id="rId103" Type="http://schemas.openxmlformats.org/officeDocument/2006/relationships/hyperlink" Target="https://www.rsssf.org/colours/spain.html" TargetMode="External"/><Relationship Id="rId224" Type="http://schemas.openxmlformats.org/officeDocument/2006/relationships/hyperlink" Target="https://www.rsssf.org/colours/italy.html" TargetMode="External"/><Relationship Id="rId345" Type="http://schemas.openxmlformats.org/officeDocument/2006/relationships/hyperlink" Target="https://www.rsssf.org/colours/france.html" TargetMode="External"/><Relationship Id="rId466" Type="http://schemas.openxmlformats.org/officeDocument/2006/relationships/hyperlink" Target="https://www.rsssf.org/colours/greece.html" TargetMode="External"/><Relationship Id="rId102" Type="http://schemas.openxmlformats.org/officeDocument/2006/relationships/hyperlink" Target="https://es.wikipedia.org/wiki/Futbol_Club_Andorra" TargetMode="External"/><Relationship Id="rId223" Type="http://schemas.openxmlformats.org/officeDocument/2006/relationships/hyperlink" Target="https://it.wikipedia.org/wiki/Football_Club_Pro_Vercelli_1892" TargetMode="External"/><Relationship Id="rId344" Type="http://schemas.openxmlformats.org/officeDocument/2006/relationships/hyperlink" Target="https://fr.wikipedia.org/wiki/Union_sportive_Quevilly-Rouen_M%C3%A9tropole" TargetMode="External"/><Relationship Id="rId465" Type="http://schemas.openxmlformats.org/officeDocument/2006/relationships/hyperlink" Target="https://www.rsssf.org/colours/greece.html" TargetMode="External"/><Relationship Id="rId101" Type="http://schemas.openxmlformats.org/officeDocument/2006/relationships/hyperlink" Target="https://es.wikipedia.org/wiki/Club_Deportivo_Extremadura" TargetMode="External"/><Relationship Id="rId222" Type="http://schemas.openxmlformats.org/officeDocument/2006/relationships/hyperlink" Target="https://it.wikipedia.org/wiki/Potenza_Calcio" TargetMode="External"/><Relationship Id="rId343" Type="http://schemas.openxmlformats.org/officeDocument/2006/relationships/hyperlink" Target="https://fr.wikipedia.org/wiki/Pau_Football_Club" TargetMode="External"/><Relationship Id="rId464" Type="http://schemas.openxmlformats.org/officeDocument/2006/relationships/hyperlink" Target="https://www.rsssf.org/colours/greece.html" TargetMode="External"/><Relationship Id="rId100" Type="http://schemas.openxmlformats.org/officeDocument/2006/relationships/hyperlink" Target="https://www.rsssf.org/colours/spain.html" TargetMode="External"/><Relationship Id="rId221" Type="http://schemas.openxmlformats.org/officeDocument/2006/relationships/hyperlink" Target="https://www.rsssf.org/colours/italy.html" TargetMode="External"/><Relationship Id="rId342" Type="http://schemas.openxmlformats.org/officeDocument/2006/relationships/hyperlink" Target="https://www.rsssf.org/colours/france.html" TargetMode="External"/><Relationship Id="rId463" Type="http://schemas.openxmlformats.org/officeDocument/2006/relationships/hyperlink" Target="https://www.rsssf.org/colours/greece.html" TargetMode="External"/><Relationship Id="rId217" Type="http://schemas.openxmlformats.org/officeDocument/2006/relationships/hyperlink" Target="https://www.rsssf.org/colours/italy.html" TargetMode="External"/><Relationship Id="rId338" Type="http://schemas.openxmlformats.org/officeDocument/2006/relationships/hyperlink" Target="https://www.ogcnice.com/fr/article/126970/par-amour-de-lart.html" TargetMode="External"/><Relationship Id="rId459" Type="http://schemas.openxmlformats.org/officeDocument/2006/relationships/hyperlink" Target="https://www.rsssf.org/colours/greece.html" TargetMode="External"/><Relationship Id="rId216" Type="http://schemas.openxmlformats.org/officeDocument/2006/relationships/hyperlink" Target="https://www.rsssf.org/colours/italy.html" TargetMode="External"/><Relationship Id="rId337" Type="http://schemas.openxmlformats.org/officeDocument/2006/relationships/hyperlink" Target="https://www.rsssf.org/colours/france.html" TargetMode="External"/><Relationship Id="rId458" Type="http://schemas.openxmlformats.org/officeDocument/2006/relationships/hyperlink" Target="https://www.rsssf.org/colours/greece.html" TargetMode="External"/><Relationship Id="rId579" Type="http://schemas.openxmlformats.org/officeDocument/2006/relationships/vmlDrawing" Target="../drawings/vmlDrawing1.vml"/><Relationship Id="rId215" Type="http://schemas.openxmlformats.org/officeDocument/2006/relationships/hyperlink" Target="https://it.wikipedia.org/wiki/Unione_Sportiva_Pergolettese_1932" TargetMode="External"/><Relationship Id="rId336" Type="http://schemas.openxmlformats.org/officeDocument/2006/relationships/hyperlink" Target="https://www.rsssf.org/colours/france.html" TargetMode="External"/><Relationship Id="rId457" Type="http://schemas.openxmlformats.org/officeDocument/2006/relationships/hyperlink" Target="https://www.rsssf.org/colours/greece.html" TargetMode="External"/><Relationship Id="rId578" Type="http://schemas.openxmlformats.org/officeDocument/2006/relationships/drawing" Target="../drawings/drawing2.xml"/><Relationship Id="rId214" Type="http://schemas.openxmlformats.org/officeDocument/2006/relationships/hyperlink" Target="https://www.rsssf.org/colours/italy.html" TargetMode="External"/><Relationship Id="rId335" Type="http://schemas.openxmlformats.org/officeDocument/2006/relationships/hyperlink" Target="https://www.rsssf.org/colours/france.html" TargetMode="External"/><Relationship Id="rId456" Type="http://schemas.openxmlformats.org/officeDocument/2006/relationships/hyperlink" Target="https://www.rsssf.org/colours/greece.html" TargetMode="External"/><Relationship Id="rId577" Type="http://schemas.openxmlformats.org/officeDocument/2006/relationships/hyperlink" Target="https://fr.wikipedia.org/wiki/Riga_Football_Club" TargetMode="External"/><Relationship Id="rId219" Type="http://schemas.openxmlformats.org/officeDocument/2006/relationships/hyperlink" Target="https://it.wikipedia.org/wiki/AZ_Picerno" TargetMode="External"/><Relationship Id="rId218" Type="http://schemas.openxmlformats.org/officeDocument/2006/relationships/hyperlink" Target="https://it.wikipedia.org/wiki/Unione_Sportiva_Pianese" TargetMode="External"/><Relationship Id="rId339" Type="http://schemas.openxmlformats.org/officeDocument/2006/relationships/hyperlink" Target="https://www.rsssf.org/colours/france.html" TargetMode="External"/><Relationship Id="rId330" Type="http://schemas.openxmlformats.org/officeDocument/2006/relationships/hyperlink" Target="https://fr.wikipedia.org/wiki/Football_Club_Lorient" TargetMode="External"/><Relationship Id="rId451" Type="http://schemas.openxmlformats.org/officeDocument/2006/relationships/hyperlink" Target="https://www.rsssf.org/colours/greece.html" TargetMode="External"/><Relationship Id="rId572" Type="http://schemas.openxmlformats.org/officeDocument/2006/relationships/hyperlink" Target="https://de.wikipedia.org/wiki/FK_Kauno_%C5%BDalgiris" TargetMode="External"/><Relationship Id="rId450" Type="http://schemas.openxmlformats.org/officeDocument/2006/relationships/hyperlink" Target="https://www.rsssf.org/colours/greece.html" TargetMode="External"/><Relationship Id="rId571" Type="http://schemas.openxmlformats.org/officeDocument/2006/relationships/hyperlink" Target="https://fr.wikipedia.org/wiki/FK_Ka%C3%AFrat_Almaty" TargetMode="External"/><Relationship Id="rId570" Type="http://schemas.openxmlformats.org/officeDocument/2006/relationships/hyperlink" Target="https://en.wikipedia.org/wiki/Inter_Club_d%27Escaldes" TargetMode="External"/><Relationship Id="rId213" Type="http://schemas.openxmlformats.org/officeDocument/2006/relationships/hyperlink" Target="https://www.rsssf.org/colours/italy.html" TargetMode="External"/><Relationship Id="rId334" Type="http://schemas.openxmlformats.org/officeDocument/2006/relationships/hyperlink" Target="https://www.rsssf.org/colours/france.html" TargetMode="External"/><Relationship Id="rId455" Type="http://schemas.openxmlformats.org/officeDocument/2006/relationships/hyperlink" Target="https://www.rsssf.org/colours/greece.html" TargetMode="External"/><Relationship Id="rId576" Type="http://schemas.openxmlformats.org/officeDocument/2006/relationships/hyperlink" Target="https://fr.wikipedia.org/wiki/Mj%C3%A4llby_AIF" TargetMode="External"/><Relationship Id="rId212" Type="http://schemas.openxmlformats.org/officeDocument/2006/relationships/hyperlink" Target="https://www.rsssf.org/colours/italy.html" TargetMode="External"/><Relationship Id="rId333" Type="http://schemas.openxmlformats.org/officeDocument/2006/relationships/hyperlink" Target="https://www.rsssf.org/colours/france.html" TargetMode="External"/><Relationship Id="rId454" Type="http://schemas.openxmlformats.org/officeDocument/2006/relationships/hyperlink" Target="https://www.rsssf.org/colours/greece.html" TargetMode="External"/><Relationship Id="rId575" Type="http://schemas.openxmlformats.org/officeDocument/2006/relationships/hyperlink" Target="https://fr.wikipedia.org/wiki/FC_Thoune" TargetMode="External"/><Relationship Id="rId211" Type="http://schemas.openxmlformats.org/officeDocument/2006/relationships/hyperlink" Target="https://it.wikipedia.org/wiki/Associazione_Sportiva_Ostia_Mare_Lido_Calcio" TargetMode="External"/><Relationship Id="rId332" Type="http://schemas.openxmlformats.org/officeDocument/2006/relationships/hyperlink" Target="https://www.rsssf.org/colours/france.html" TargetMode="External"/><Relationship Id="rId453" Type="http://schemas.openxmlformats.org/officeDocument/2006/relationships/hyperlink" Target="https://www.rsssf.org/colours/greece.html" TargetMode="External"/><Relationship Id="rId574" Type="http://schemas.openxmlformats.org/officeDocument/2006/relationships/hyperlink" Target="https://de.wikipedia.org/wiki/FC_Lugano" TargetMode="External"/><Relationship Id="rId210" Type="http://schemas.openxmlformats.org/officeDocument/2006/relationships/hyperlink" Target="https://it.wikipedia.org/wiki/Associazione_Calcio_Ospitaletto" TargetMode="External"/><Relationship Id="rId331" Type="http://schemas.openxmlformats.org/officeDocument/2006/relationships/hyperlink" Target="https://www.rsssf.org/colours/france.html" TargetMode="External"/><Relationship Id="rId452" Type="http://schemas.openxmlformats.org/officeDocument/2006/relationships/hyperlink" Target="https://www.rsssf.org/colours/greece.html" TargetMode="External"/><Relationship Id="rId573" Type="http://schemas.openxmlformats.org/officeDocument/2006/relationships/hyperlink" Target="https://www.claudionicoletti.eu/tabelle/Clubcode/GIBRALTAR.htm" TargetMode="External"/><Relationship Id="rId370" Type="http://schemas.openxmlformats.org/officeDocument/2006/relationships/hyperlink" Target="https://en.wikipedia.org/wiki/CSC_Dumbr%C4%83vi%C8%9Ba" TargetMode="External"/><Relationship Id="rId491" Type="http://schemas.openxmlformats.org/officeDocument/2006/relationships/hyperlink" Target="https://fi.wikipedia.org/wiki/IF_Gnistan" TargetMode="External"/><Relationship Id="rId490" Type="http://schemas.openxmlformats.org/officeDocument/2006/relationships/hyperlink" Target="https://fi.wikipedia.org/wiki/Helsingin_Jalkapalloklubi" TargetMode="External"/><Relationship Id="rId129" Type="http://schemas.openxmlformats.org/officeDocument/2006/relationships/hyperlink" Target="https://fr.wikipedia.org/wiki/Real_Oviedo" TargetMode="External"/><Relationship Id="rId128" Type="http://schemas.openxmlformats.org/officeDocument/2006/relationships/hyperlink" Target="https://www.rsssf.org/colours/spain.html" TargetMode="External"/><Relationship Id="rId249" Type="http://schemas.openxmlformats.org/officeDocument/2006/relationships/hyperlink" Target="https://de.wikipedia.org/wiki/1._FC_Heidenheim" TargetMode="External"/><Relationship Id="rId127" Type="http://schemas.openxmlformats.org/officeDocument/2006/relationships/hyperlink" Target="https://www.rsssf.org/colours/spain.html" TargetMode="External"/><Relationship Id="rId248" Type="http://schemas.openxmlformats.org/officeDocument/2006/relationships/hyperlink" Target="https://it.wikipedia.org/wiki/Vis_Pesaro_dal_1898" TargetMode="External"/><Relationship Id="rId369" Type="http://schemas.openxmlformats.org/officeDocument/2006/relationships/hyperlink" Target="https://en.wikipedia.org/wiki/CSC_1599_%C8%98elimb%C4%83r" TargetMode="External"/><Relationship Id="rId126" Type="http://schemas.openxmlformats.org/officeDocument/2006/relationships/hyperlink" Target="https://www.rsssf.org/colours/spain.html" TargetMode="External"/><Relationship Id="rId247" Type="http://schemas.openxmlformats.org/officeDocument/2006/relationships/hyperlink" Target="https://it.wikipedia.org/wiki/Virtus_Entella" TargetMode="External"/><Relationship Id="rId368" Type="http://schemas.openxmlformats.org/officeDocument/2006/relationships/hyperlink" Target="https://en.wikipedia.org/wiki/CS_Dinamo_Bucure%C8%99ti_(football)" TargetMode="External"/><Relationship Id="rId489" Type="http://schemas.openxmlformats.org/officeDocument/2006/relationships/hyperlink" Target="https://fi.wikipedia.org/wiki/Helsingin_Jalkapalloklubi" TargetMode="External"/><Relationship Id="rId121" Type="http://schemas.openxmlformats.org/officeDocument/2006/relationships/hyperlink" Target="https://www.rsssf.org/colours/spain.html" TargetMode="External"/><Relationship Id="rId242" Type="http://schemas.openxmlformats.org/officeDocument/2006/relationships/hyperlink" Target="https://www.rsssf.org/colours/italy.html" TargetMode="External"/><Relationship Id="rId363" Type="http://schemas.openxmlformats.org/officeDocument/2006/relationships/hyperlink" Target="https://en.wikipedia.org/wiki/CFR_Cluj" TargetMode="External"/><Relationship Id="rId484" Type="http://schemas.openxmlformats.org/officeDocument/2006/relationships/hyperlink" Target="https://fi.wikipedia.org/wiki/FC_Inter_Turku" TargetMode="External"/><Relationship Id="rId120" Type="http://schemas.openxmlformats.org/officeDocument/2006/relationships/hyperlink" Target="https://www.rsssf.org/colours/spain.html" TargetMode="External"/><Relationship Id="rId241" Type="http://schemas.openxmlformats.org/officeDocument/2006/relationships/hyperlink" Target="https://www.rsssf.org/colours/italy.html" TargetMode="External"/><Relationship Id="rId362" Type="http://schemas.openxmlformats.org/officeDocument/2006/relationships/hyperlink" Target="https://en.wikipedia.org/wiki/CSM_Ceahl%C4%83ul_Piatra_Neam%C8%9B" TargetMode="External"/><Relationship Id="rId483" Type="http://schemas.openxmlformats.org/officeDocument/2006/relationships/hyperlink" Target="https://fi.wikipedia.org/wiki/FC_Haka" TargetMode="External"/><Relationship Id="rId240" Type="http://schemas.openxmlformats.org/officeDocument/2006/relationships/hyperlink" Target="https://it.wikipedia.org/wiki/Associazione_Calcio_Trento_1921" TargetMode="External"/><Relationship Id="rId361" Type="http://schemas.openxmlformats.org/officeDocument/2006/relationships/hyperlink" Target="https://en.wikipedia.org/wiki/CS_Aerostar_Bac%C4%83u" TargetMode="External"/><Relationship Id="rId482" Type="http://schemas.openxmlformats.org/officeDocument/2006/relationships/hyperlink" Target="https://fr.wikipedia.org/wiki/Eken%C3%A4s_IF" TargetMode="External"/><Relationship Id="rId360" Type="http://schemas.openxmlformats.org/officeDocument/2006/relationships/hyperlink" Target="https://en.wikipedia.org/wiki/CSO_Filia%C8%99i" TargetMode="External"/><Relationship Id="rId481" Type="http://schemas.openxmlformats.org/officeDocument/2006/relationships/hyperlink" Target="https://fi.wikipedia.org/wiki/AC_Oulu" TargetMode="External"/><Relationship Id="rId125" Type="http://schemas.openxmlformats.org/officeDocument/2006/relationships/hyperlink" Target="https://fr.wikipedia.org/wiki/Real_Ja%C3%A9n_Club_de_F%C3%BAtbol" TargetMode="External"/><Relationship Id="rId246" Type="http://schemas.openxmlformats.org/officeDocument/2006/relationships/hyperlink" Target="https://www.rsssf.org/colours/italy.html" TargetMode="External"/><Relationship Id="rId367" Type="http://schemas.openxmlformats.org/officeDocument/2006/relationships/hyperlink" Target="https://en.wikipedia.org/wiki/CS_Afuma%C8%9Bi" TargetMode="External"/><Relationship Id="rId488" Type="http://schemas.openxmlformats.org/officeDocument/2006/relationships/hyperlink" Target="https://fi.wikipedia.org/wiki/FF_Jaro" TargetMode="External"/><Relationship Id="rId124" Type="http://schemas.openxmlformats.org/officeDocument/2006/relationships/hyperlink" Target="https://www.rsssf.org/colours/spain.html" TargetMode="External"/><Relationship Id="rId245" Type="http://schemas.openxmlformats.org/officeDocument/2006/relationships/hyperlink" Target="https://www.rsssf.org/colours/italy.html" TargetMode="External"/><Relationship Id="rId366" Type="http://schemas.openxmlformats.org/officeDocument/2006/relationships/hyperlink" Target="https://en.wikipedia.org/wiki/CS_Corvinul_Hunedoara" TargetMode="External"/><Relationship Id="rId487" Type="http://schemas.openxmlformats.org/officeDocument/2006/relationships/hyperlink" Target="https://www.fclahti.fi/brandi-visio-ja-arvot/" TargetMode="External"/><Relationship Id="rId123" Type="http://schemas.openxmlformats.org/officeDocument/2006/relationships/hyperlink" Target="https://www.rsssf.org/colours/spain.html" TargetMode="External"/><Relationship Id="rId244" Type="http://schemas.openxmlformats.org/officeDocument/2006/relationships/hyperlink" Target="https://it.wikipedia.org/wiki/Vado_Football_Club_1913" TargetMode="External"/><Relationship Id="rId365" Type="http://schemas.openxmlformats.org/officeDocument/2006/relationships/hyperlink" Target="https://en.wikipedia.org/wiki/CS_Concordia_Chiajna" TargetMode="External"/><Relationship Id="rId486" Type="http://schemas.openxmlformats.org/officeDocument/2006/relationships/hyperlink" Target="https://de.wikipedia.org/wiki/FC_Jazz_Pori" TargetMode="External"/><Relationship Id="rId122" Type="http://schemas.openxmlformats.org/officeDocument/2006/relationships/hyperlink" Target="https://www.rsssf.org/colours/spain.html" TargetMode="External"/><Relationship Id="rId243" Type="http://schemas.openxmlformats.org/officeDocument/2006/relationships/hyperlink" Target="https://it.wikipedia.org/wiki/Union_Brescia" TargetMode="External"/><Relationship Id="rId364" Type="http://schemas.openxmlformats.org/officeDocument/2006/relationships/hyperlink" Target="https://en.wikipedia.org/wiki/AFC_Chindia_T%C3%A2rgovi%C8%99te" TargetMode="External"/><Relationship Id="rId485" Type="http://schemas.openxmlformats.org/officeDocument/2006/relationships/hyperlink" Target="https://fi.wikipedia.org/wiki/FC_Inter_Turku" TargetMode="External"/><Relationship Id="rId95" Type="http://schemas.openxmlformats.org/officeDocument/2006/relationships/hyperlink" Target="https://www.rsssf.org/colours/spain.html" TargetMode="External"/><Relationship Id="rId94" Type="http://schemas.openxmlformats.org/officeDocument/2006/relationships/hyperlink" Target="https://www.rsssf.org/colours/spain.html" TargetMode="External"/><Relationship Id="rId97" Type="http://schemas.openxmlformats.org/officeDocument/2006/relationships/hyperlink" Target="https://www.rsssf.org/colours/spain.html" TargetMode="External"/><Relationship Id="rId96" Type="http://schemas.openxmlformats.org/officeDocument/2006/relationships/hyperlink" Target="https://www.rsssf.org/colours/spain.html" TargetMode="External"/><Relationship Id="rId99" Type="http://schemas.openxmlformats.org/officeDocument/2006/relationships/hyperlink" Target="https://es.wikipedia.org/wiki/Club_Deportivo_Eldense" TargetMode="External"/><Relationship Id="rId480" Type="http://schemas.openxmlformats.org/officeDocument/2006/relationships/hyperlink" Target="https://www.rsssf.org/colours/greece.html" TargetMode="External"/><Relationship Id="rId98" Type="http://schemas.openxmlformats.org/officeDocument/2006/relationships/hyperlink" Target="https://www.rsssf.org/colours/spain.html" TargetMode="External"/><Relationship Id="rId91" Type="http://schemas.openxmlformats.org/officeDocument/2006/relationships/hyperlink" Target="https://fr.wikipedia.org/wiki/Cultural_y_Deportiva_Leonesa" TargetMode="External"/><Relationship Id="rId90" Type="http://schemas.openxmlformats.org/officeDocument/2006/relationships/hyperlink" Target="https://www.rsssf.org/colours/spain.html" TargetMode="External"/><Relationship Id="rId93" Type="http://schemas.openxmlformats.org/officeDocument/2006/relationships/hyperlink" Target="https://www.rsssf.org/colours/spain.html" TargetMode="External"/><Relationship Id="rId92" Type="http://schemas.openxmlformats.org/officeDocument/2006/relationships/hyperlink" Target="https://www.rsssf.org/colours/spain.html" TargetMode="External"/><Relationship Id="rId118" Type="http://schemas.openxmlformats.org/officeDocument/2006/relationships/hyperlink" Target="https://www.rsssf.org/colours/spain.html" TargetMode="External"/><Relationship Id="rId239" Type="http://schemas.openxmlformats.org/officeDocument/2006/relationships/hyperlink" Target="https://it.wikipedia.org/wiki/Torres_(calcio)" TargetMode="External"/><Relationship Id="rId117" Type="http://schemas.openxmlformats.org/officeDocument/2006/relationships/hyperlink" Target="https://www.rsssf.org/colours/spain.html" TargetMode="External"/><Relationship Id="rId238" Type="http://schemas.openxmlformats.org/officeDocument/2006/relationships/hyperlink" Target="https://www.rsssf.org/colours/italy.html" TargetMode="External"/><Relationship Id="rId359" Type="http://schemas.openxmlformats.org/officeDocument/2006/relationships/hyperlink" Target="https://en.wikipedia.org/wiki/ACS_Media%C8%99" TargetMode="External"/><Relationship Id="rId116" Type="http://schemas.openxmlformats.org/officeDocument/2006/relationships/hyperlink" Target="https://fr.wikipedia.org/wiki/Club_Atl%C3%A9tico_Osasuna" TargetMode="External"/><Relationship Id="rId237" Type="http://schemas.openxmlformats.org/officeDocument/2006/relationships/hyperlink" Target="https://it.wikipedia.org/wiki/Team_Altamura" TargetMode="External"/><Relationship Id="rId358" Type="http://schemas.openxmlformats.org/officeDocument/2006/relationships/hyperlink" Target="https://fr.wikipedia.org/wiki/Football_Club_Villefranche_Beaujolais" TargetMode="External"/><Relationship Id="rId479" Type="http://schemas.openxmlformats.org/officeDocument/2006/relationships/hyperlink" Target="https://fr.wikipedia.org/wiki/AO_Xanthi" TargetMode="External"/><Relationship Id="rId115" Type="http://schemas.openxmlformats.org/officeDocument/2006/relationships/hyperlink" Target="https://www.rsssf.org/colours/spain.html" TargetMode="External"/><Relationship Id="rId236" Type="http://schemas.openxmlformats.org/officeDocument/2006/relationships/hyperlink" Target="https://it.wikipedia.org/wiki/Fussball_Club_S%C3%BCdtirol" TargetMode="External"/><Relationship Id="rId357" Type="http://schemas.openxmlformats.org/officeDocument/2006/relationships/hyperlink" Target="https://fr.wikipedia.org/wiki/Football_Club_Versailles_78" TargetMode="External"/><Relationship Id="rId478" Type="http://schemas.openxmlformats.org/officeDocument/2006/relationships/hyperlink" Target="https://www.rsssf.org/colours/greece.html" TargetMode="External"/><Relationship Id="rId119" Type="http://schemas.openxmlformats.org/officeDocument/2006/relationships/hyperlink" Target="https://www.rsssf.org/colours/spain.html" TargetMode="External"/><Relationship Id="rId110" Type="http://schemas.openxmlformats.org/officeDocument/2006/relationships/hyperlink" Target="https://www.rsssf.org/colours/spain.html" TargetMode="External"/><Relationship Id="rId231" Type="http://schemas.openxmlformats.org/officeDocument/2006/relationships/hyperlink" Target="https://it.wikipedia.org/wiki/Unione_Sportiva_Sassuolo_Calcio" TargetMode="External"/><Relationship Id="rId352" Type="http://schemas.openxmlformats.org/officeDocument/2006/relationships/hyperlink" Target="https://www.rsssf.org/colours/france.html" TargetMode="External"/><Relationship Id="rId473" Type="http://schemas.openxmlformats.org/officeDocument/2006/relationships/hyperlink" Target="https://fr.wikipedia.org/wiki/AO_Proodeftiki" TargetMode="External"/><Relationship Id="rId230" Type="http://schemas.openxmlformats.org/officeDocument/2006/relationships/hyperlink" Target="https://www.rsssf.org/colours/italy.html" TargetMode="External"/><Relationship Id="rId351" Type="http://schemas.openxmlformats.org/officeDocument/2006/relationships/hyperlink" Target="https://www.rsssf.org/colours/france.html" TargetMode="External"/><Relationship Id="rId472" Type="http://schemas.openxmlformats.org/officeDocument/2006/relationships/hyperlink" Target="https://www.rsssf.org/colours/greece.html" TargetMode="External"/><Relationship Id="rId350" Type="http://schemas.openxmlformats.org/officeDocument/2006/relationships/hyperlink" Target="https://www.rsssf.org/colours/france.html" TargetMode="External"/><Relationship Id="rId471" Type="http://schemas.openxmlformats.org/officeDocument/2006/relationships/hyperlink" Target="https://www.rsssf.org/colours/greece.html" TargetMode="External"/><Relationship Id="rId470" Type="http://schemas.openxmlformats.org/officeDocument/2006/relationships/hyperlink" Target="https://www.rsssf.org/colours/greece.html" TargetMode="External"/><Relationship Id="rId114" Type="http://schemas.openxmlformats.org/officeDocument/2006/relationships/hyperlink" Target="https://www.rsssf.org/colours/spain.html" TargetMode="External"/><Relationship Id="rId235" Type="http://schemas.openxmlformats.org/officeDocument/2006/relationships/hyperlink" Target="https://it.wikipedia.org/wiki/Spezia_Calcio" TargetMode="External"/><Relationship Id="rId356" Type="http://schemas.openxmlformats.org/officeDocument/2006/relationships/hyperlink" Target="https://www.rsssf.org/colours/france.html" TargetMode="External"/><Relationship Id="rId477" Type="http://schemas.openxmlformats.org/officeDocument/2006/relationships/hyperlink" Target="https://www.rsssf.org/colours/greece.html" TargetMode="External"/><Relationship Id="rId113" Type="http://schemas.openxmlformats.org/officeDocument/2006/relationships/hyperlink" Target="https://www.rsssf.org/colours/spain.html" TargetMode="External"/><Relationship Id="rId234" Type="http://schemas.openxmlformats.org/officeDocument/2006/relationships/hyperlink" Target="https://it.wikipedia.org/wiki/Sorrento_Calcio_1945" TargetMode="External"/><Relationship Id="rId355" Type="http://schemas.openxmlformats.org/officeDocument/2006/relationships/hyperlink" Target="https://www.rsssf.org/colours/france.html" TargetMode="External"/><Relationship Id="rId476" Type="http://schemas.openxmlformats.org/officeDocument/2006/relationships/hyperlink" Target="https://www.rsssf.org/colours/greece.html" TargetMode="External"/><Relationship Id="rId112" Type="http://schemas.openxmlformats.org/officeDocument/2006/relationships/hyperlink" Target="https://www.rsssf.org/colours/spain.html" TargetMode="External"/><Relationship Id="rId233" Type="http://schemas.openxmlformats.org/officeDocument/2006/relationships/hyperlink" Target="https://it.wikipedia.org/wiki/Scafatese_Calcio_1922" TargetMode="External"/><Relationship Id="rId354" Type="http://schemas.openxmlformats.org/officeDocument/2006/relationships/hyperlink" Target="https://www.rsssf.org/colours/france.html" TargetMode="External"/><Relationship Id="rId475" Type="http://schemas.openxmlformats.org/officeDocument/2006/relationships/hyperlink" Target="https://www.rsssf.org/colours/greece.html" TargetMode="External"/><Relationship Id="rId111" Type="http://schemas.openxmlformats.org/officeDocument/2006/relationships/hyperlink" Target="https://www.rsssf.org/colours/spain.html" TargetMode="External"/><Relationship Id="rId232" Type="http://schemas.openxmlformats.org/officeDocument/2006/relationships/hyperlink" Target="https://it.wikipedia.org/wiki/Savoia_1908" TargetMode="External"/><Relationship Id="rId353" Type="http://schemas.openxmlformats.org/officeDocument/2006/relationships/hyperlink" Target="https://fr.wikipedia.org/wiki/Union_sportive_Thionville_Lusitanos" TargetMode="External"/><Relationship Id="rId474" Type="http://schemas.openxmlformats.org/officeDocument/2006/relationships/hyperlink" Target="https://www.rsssf.org/colours/greece.html" TargetMode="External"/><Relationship Id="rId305" Type="http://schemas.openxmlformats.org/officeDocument/2006/relationships/hyperlink" Target="https://fr.wikipedia.org/wiki/Amiens_Sporting_Club" TargetMode="External"/><Relationship Id="rId426" Type="http://schemas.openxmlformats.org/officeDocument/2006/relationships/hyperlink" Target="https://www.rsssf.org/colours/greece.html" TargetMode="External"/><Relationship Id="rId547" Type="http://schemas.openxmlformats.org/officeDocument/2006/relationships/hyperlink" Target="https://fr.wikipedia.org/wiki/%C5%A0K_Slovan_Bratislava" TargetMode="External"/><Relationship Id="rId304" Type="http://schemas.openxmlformats.org/officeDocument/2006/relationships/hyperlink" Target="https://de.wikipedia.org/wiki/W%C3%BCrzburger_Kickers" TargetMode="External"/><Relationship Id="rId425" Type="http://schemas.openxmlformats.org/officeDocument/2006/relationships/hyperlink" Target="https://www.rsssf.org/colours/greece.html" TargetMode="External"/><Relationship Id="rId546" Type="http://schemas.openxmlformats.org/officeDocument/2006/relationships/hyperlink" Target="https://fr.wikipedia.org/wiki/FC_Viktoria_Plze%C5%88" TargetMode="External"/><Relationship Id="rId303" Type="http://schemas.openxmlformats.org/officeDocument/2006/relationships/hyperlink" Target="https://www.rsssf.org/colours/germany.html" TargetMode="External"/><Relationship Id="rId424" Type="http://schemas.openxmlformats.org/officeDocument/2006/relationships/hyperlink" Target="https://www.rsssf.org/colours/greece.html" TargetMode="External"/><Relationship Id="rId545" Type="http://schemas.openxmlformats.org/officeDocument/2006/relationships/hyperlink" Target="https://fr.wikipedia.org/wiki/AC_Sparta_Prague" TargetMode="External"/><Relationship Id="rId302" Type="http://schemas.openxmlformats.org/officeDocument/2006/relationships/hyperlink" Target="https://www.rsssf.org/colours/germany.html" TargetMode="External"/><Relationship Id="rId423" Type="http://schemas.openxmlformats.org/officeDocument/2006/relationships/hyperlink" Target="https://www.rsssf.org/colours/greece.html" TargetMode="External"/><Relationship Id="rId544" Type="http://schemas.openxmlformats.org/officeDocument/2006/relationships/hyperlink" Target="https://fr.wikipedia.org/wiki/SK_Slavia_Prague" TargetMode="External"/><Relationship Id="rId309" Type="http://schemas.openxmlformats.org/officeDocument/2006/relationships/hyperlink" Target="https://www.rsssf.org/colours/france.html" TargetMode="External"/><Relationship Id="rId308" Type="http://schemas.openxmlformats.org/officeDocument/2006/relationships/hyperlink" Target="https://fr.wikipedia.org/wiki/Aubagne_Football_Club" TargetMode="External"/><Relationship Id="rId429" Type="http://schemas.openxmlformats.org/officeDocument/2006/relationships/hyperlink" Target="https://www.rsssf.org/colours/greece.html" TargetMode="External"/><Relationship Id="rId307" Type="http://schemas.openxmlformats.org/officeDocument/2006/relationships/hyperlink" Target="https://www.rsssf.org/colours/france.html" TargetMode="External"/><Relationship Id="rId428" Type="http://schemas.openxmlformats.org/officeDocument/2006/relationships/hyperlink" Target="https://www.rsssf.org/colours/greece.html" TargetMode="External"/><Relationship Id="rId549" Type="http://schemas.openxmlformats.org/officeDocument/2006/relationships/hyperlink" Target="https://fr.wikipedia.org/wiki/NK_Celje" TargetMode="External"/><Relationship Id="rId306" Type="http://schemas.openxmlformats.org/officeDocument/2006/relationships/hyperlink" Target="https://www.rsssf.org/colours/france.html" TargetMode="External"/><Relationship Id="rId427" Type="http://schemas.openxmlformats.org/officeDocument/2006/relationships/hyperlink" Target="https://www.rsssf.org/colours/greece.html" TargetMode="External"/><Relationship Id="rId548" Type="http://schemas.openxmlformats.org/officeDocument/2006/relationships/hyperlink" Target="https://fr.wikipedia.org/wiki/FC_Ararat-Armenia" TargetMode="External"/><Relationship Id="rId301" Type="http://schemas.openxmlformats.org/officeDocument/2006/relationships/hyperlink" Target="https://de.wikipedia.org/wiki/FC_Viktoria_K%C3%B6ln" TargetMode="External"/><Relationship Id="rId422" Type="http://schemas.openxmlformats.org/officeDocument/2006/relationships/hyperlink" Target="https://www.rsssf.org/colours/greece.html" TargetMode="External"/><Relationship Id="rId543" Type="http://schemas.openxmlformats.org/officeDocument/2006/relationships/hyperlink" Target="https://fr.wikipedia.org/wiki/FK_Jablonec" TargetMode="External"/><Relationship Id="rId300" Type="http://schemas.openxmlformats.org/officeDocument/2006/relationships/hyperlink" Target="https://www.rsssf.org/colours/germany.html" TargetMode="External"/><Relationship Id="rId421" Type="http://schemas.openxmlformats.org/officeDocument/2006/relationships/hyperlink" Target="https://www.rsssf.org/colours/greece.html" TargetMode="External"/><Relationship Id="rId542" Type="http://schemas.openxmlformats.org/officeDocument/2006/relationships/hyperlink" Target="https://fr.wikipedia.org/wiki/Chakhtar_Donetsk" TargetMode="External"/><Relationship Id="rId420" Type="http://schemas.openxmlformats.org/officeDocument/2006/relationships/hyperlink" Target="https://www.rsssf.org/colours/greece.html" TargetMode="External"/><Relationship Id="rId541" Type="http://schemas.openxmlformats.org/officeDocument/2006/relationships/hyperlink" Target="https://en.wikipedia.org/wiki/Sabah_FK_(Azerbaijan)" TargetMode="External"/><Relationship Id="rId540" Type="http://schemas.openxmlformats.org/officeDocument/2006/relationships/hyperlink" Target="https://www.rsssf.org/colours/portugal.html" TargetMode="External"/><Relationship Id="rId415" Type="http://schemas.openxmlformats.org/officeDocument/2006/relationships/hyperlink" Target="https://www.rsssf.org/colours/greece.html" TargetMode="External"/><Relationship Id="rId536" Type="http://schemas.openxmlformats.org/officeDocument/2006/relationships/hyperlink" Target="https://www.rsssf.org/colours/portugal.html" TargetMode="External"/><Relationship Id="rId414" Type="http://schemas.openxmlformats.org/officeDocument/2006/relationships/hyperlink" Target="https://www.rsssf.org/colours/greece.html" TargetMode="External"/><Relationship Id="rId535" Type="http://schemas.openxmlformats.org/officeDocument/2006/relationships/hyperlink" Target="https://fr.wikipedia.org/wiki/SK_Sturm_Graz" TargetMode="External"/><Relationship Id="rId413" Type="http://schemas.openxmlformats.org/officeDocument/2006/relationships/hyperlink" Target="https://www.rsssf.org/colours/greece.html" TargetMode="External"/><Relationship Id="rId534" Type="http://schemas.openxmlformats.org/officeDocument/2006/relationships/hyperlink" Target="https://de.wikipedia.org/wiki/FC_Red_Bull_Salzburg" TargetMode="External"/><Relationship Id="rId412" Type="http://schemas.openxmlformats.org/officeDocument/2006/relationships/hyperlink" Target="https://www.rsssf.org/colours/greece.html" TargetMode="External"/><Relationship Id="rId533" Type="http://schemas.openxmlformats.org/officeDocument/2006/relationships/hyperlink" Target="https://de.wikipedia.org/wiki/LASK" TargetMode="External"/><Relationship Id="rId419" Type="http://schemas.openxmlformats.org/officeDocument/2006/relationships/hyperlink" Target="https://www.rsssf.org/colours/greece.html" TargetMode="External"/><Relationship Id="rId418" Type="http://schemas.openxmlformats.org/officeDocument/2006/relationships/hyperlink" Target="https://www.rsssf.org/colours/greece.html" TargetMode="External"/><Relationship Id="rId539" Type="http://schemas.openxmlformats.org/officeDocument/2006/relationships/hyperlink" Target="https://www.rsssf.org/colours/portugal.html" TargetMode="External"/><Relationship Id="rId417" Type="http://schemas.openxmlformats.org/officeDocument/2006/relationships/hyperlink" Target="https://www.rsssf.org/colours/greece.html" TargetMode="External"/><Relationship Id="rId538" Type="http://schemas.openxmlformats.org/officeDocument/2006/relationships/hyperlink" Target="https://www.rsssf.org/colours/portugal.html" TargetMode="External"/><Relationship Id="rId416" Type="http://schemas.openxmlformats.org/officeDocument/2006/relationships/hyperlink" Target="https://www.rsssf.org/colours/greece.html" TargetMode="External"/><Relationship Id="rId537" Type="http://schemas.openxmlformats.org/officeDocument/2006/relationships/hyperlink" Target="https://www.rsssf.org/colours/portugal.html" TargetMode="External"/><Relationship Id="rId411" Type="http://schemas.openxmlformats.org/officeDocument/2006/relationships/hyperlink" Target="https://www.rsssf.org/colours/greece.html" TargetMode="External"/><Relationship Id="rId532" Type="http://schemas.openxmlformats.org/officeDocument/2006/relationships/hyperlink" Target="https://www.rsssf.org/colours/netherlands.html" TargetMode="External"/><Relationship Id="rId410" Type="http://schemas.openxmlformats.org/officeDocument/2006/relationships/hyperlink" Target="https://www.rsssf.org/colours/greece.html" TargetMode="External"/><Relationship Id="rId531" Type="http://schemas.openxmlformats.org/officeDocument/2006/relationships/hyperlink" Target="https://fr.wikipedia.org/wiki/NEC_Nim%C3%A8gue" TargetMode="External"/><Relationship Id="rId530" Type="http://schemas.openxmlformats.org/officeDocument/2006/relationships/hyperlink" Target="https://www.rsssf.org/colours/netherlands.html" TargetMode="External"/><Relationship Id="rId206" Type="http://schemas.openxmlformats.org/officeDocument/2006/relationships/hyperlink" Target="https://it.wikipedia.org/wiki/Societ%C3%A0_Sportiva_Monopoli_1966" TargetMode="External"/><Relationship Id="rId327" Type="http://schemas.openxmlformats.org/officeDocument/2006/relationships/hyperlink" Target="https://fr.wikipedia.org/wiki/Le_Puy_Foot_43_Auvergne" TargetMode="External"/><Relationship Id="rId448" Type="http://schemas.openxmlformats.org/officeDocument/2006/relationships/hyperlink" Target="https://www.rsssf.org/colours/greece.html" TargetMode="External"/><Relationship Id="rId569" Type="http://schemas.openxmlformats.org/officeDocument/2006/relationships/hyperlink" Target="https://fr.wikipedia.org/wiki/FC_Iberia_1999" TargetMode="External"/><Relationship Id="rId205" Type="http://schemas.openxmlformats.org/officeDocument/2006/relationships/hyperlink" Target="https://www.rsssf.org/colours/italy.html" TargetMode="External"/><Relationship Id="rId326" Type="http://schemas.openxmlformats.org/officeDocument/2006/relationships/hyperlink" Target="https://www.rsssf.org/colours/france.html" TargetMode="External"/><Relationship Id="rId447" Type="http://schemas.openxmlformats.org/officeDocument/2006/relationships/hyperlink" Target="https://www.rsssf.org/colours/greece.html" TargetMode="External"/><Relationship Id="rId568" Type="http://schemas.openxmlformats.org/officeDocument/2006/relationships/hyperlink" Target="https://fr.wikipedia.org/wiki/KF_Egnatia_Rrogozhin%C3%AB" TargetMode="External"/><Relationship Id="rId204" Type="http://schemas.openxmlformats.org/officeDocument/2006/relationships/hyperlink" Target="https://www.rsssf.org/colours/italy.html" TargetMode="External"/><Relationship Id="rId325" Type="http://schemas.openxmlformats.org/officeDocument/2006/relationships/hyperlink" Target="https://www.rsssf.org/colours/france.html" TargetMode="External"/><Relationship Id="rId446" Type="http://schemas.openxmlformats.org/officeDocument/2006/relationships/hyperlink" Target="https://www.rsssf.org/colours/greece.html" TargetMode="External"/><Relationship Id="rId567" Type="http://schemas.openxmlformats.org/officeDocument/2006/relationships/hyperlink" Target="https://fr.wikipedia.org/wiki/%C3%89toile_rouge_de_Belgrade_(football)" TargetMode="External"/><Relationship Id="rId203" Type="http://schemas.openxmlformats.org/officeDocument/2006/relationships/hyperlink" Target="https://it.wikipedia.org/wiki/Mantova_1911" TargetMode="External"/><Relationship Id="rId324" Type="http://schemas.openxmlformats.org/officeDocument/2006/relationships/hyperlink" Target="https://www.rsssf.org/colours/france.html" TargetMode="External"/><Relationship Id="rId445" Type="http://schemas.openxmlformats.org/officeDocument/2006/relationships/hyperlink" Target="https://www.rsssf.org/colours/greece.html" TargetMode="External"/><Relationship Id="rId566" Type="http://schemas.openxmlformats.org/officeDocument/2006/relationships/hyperlink" Target="https://fr.wikipedia.org/wiki/FK_Borac_Banja_Luka" TargetMode="External"/><Relationship Id="rId209" Type="http://schemas.openxmlformats.org/officeDocument/2006/relationships/hyperlink" Target="https://it.wikipedia.org/wiki/Novara_Football_Club" TargetMode="External"/><Relationship Id="rId208" Type="http://schemas.openxmlformats.org/officeDocument/2006/relationships/hyperlink" Target="https://www.rsssf.org/colours/italy.html" TargetMode="External"/><Relationship Id="rId329" Type="http://schemas.openxmlformats.org/officeDocument/2006/relationships/hyperlink" Target="https://www.rsssf.org/colours/france.html" TargetMode="External"/><Relationship Id="rId207" Type="http://schemas.openxmlformats.org/officeDocument/2006/relationships/hyperlink" Target="https://www.rsssf.org/colours/italy.html" TargetMode="External"/><Relationship Id="rId328" Type="http://schemas.openxmlformats.org/officeDocument/2006/relationships/hyperlink" Target="https://www.rsssf.org/colours/france.html" TargetMode="External"/><Relationship Id="rId449" Type="http://schemas.openxmlformats.org/officeDocument/2006/relationships/hyperlink" Target="https://www.rsssf.org/colours/greece.html" TargetMode="External"/><Relationship Id="rId440" Type="http://schemas.openxmlformats.org/officeDocument/2006/relationships/hyperlink" Target="https://en.wikipedia.org/wiki/A.E._Kifisia_F.C." TargetMode="External"/><Relationship Id="rId561" Type="http://schemas.openxmlformats.org/officeDocument/2006/relationships/hyperlink" Target="https://en.wikipedia.org/wiki/Pafos_FC" TargetMode="External"/><Relationship Id="rId560" Type="http://schemas.openxmlformats.org/officeDocument/2006/relationships/hyperlink" Target="https://fr.wikipedia.org/wiki/Om%C3%B3nia_Nicosie" TargetMode="External"/><Relationship Id="rId202" Type="http://schemas.openxmlformats.org/officeDocument/2006/relationships/hyperlink" Target="https://it.wikipedia.org/wiki/Football_Club_Lumezzane" TargetMode="External"/><Relationship Id="rId323" Type="http://schemas.openxmlformats.org/officeDocument/2006/relationships/hyperlink" Target="https://fr.wikipedia.org/wiki/Vend%C3%A9e_Foot_Club_La_Roche-sur-Yon" TargetMode="External"/><Relationship Id="rId444" Type="http://schemas.openxmlformats.org/officeDocument/2006/relationships/hyperlink" Target="https://www.rsssf.org/colours/greece.html" TargetMode="External"/><Relationship Id="rId565" Type="http://schemas.openxmlformats.org/officeDocument/2006/relationships/hyperlink" Target="https://www.the-sports.org/football-soccer-fc-nordsjaelland-results-identity-equ843.html" TargetMode="External"/><Relationship Id="rId201" Type="http://schemas.openxmlformats.org/officeDocument/2006/relationships/hyperlink" Target="https://www.rsssf.org/colours/italy.html" TargetMode="External"/><Relationship Id="rId322" Type="http://schemas.openxmlformats.org/officeDocument/2006/relationships/hyperlink" Target="https://www.rsssf.org/colours/france.html" TargetMode="External"/><Relationship Id="rId443" Type="http://schemas.openxmlformats.org/officeDocument/2006/relationships/hyperlink" Target="https://www.rsssf.org/colours/greece.html" TargetMode="External"/><Relationship Id="rId564" Type="http://schemas.openxmlformats.org/officeDocument/2006/relationships/hyperlink" Target="https://de.wikipedia.org/wiki/FC_Midtjylland" TargetMode="External"/><Relationship Id="rId200" Type="http://schemas.openxmlformats.org/officeDocument/2006/relationships/hyperlink" Target="https://it.wikipedia.org/wiki/Calcio_Lecco_1912" TargetMode="External"/><Relationship Id="rId321" Type="http://schemas.openxmlformats.org/officeDocument/2006/relationships/hyperlink" Target="https://fr.wikipedia.org/wiki/Grenoble_Foot_38" TargetMode="External"/><Relationship Id="rId442" Type="http://schemas.openxmlformats.org/officeDocument/2006/relationships/hyperlink" Target="https://www.rsssf.org/colours/greece.html" TargetMode="External"/><Relationship Id="rId563" Type="http://schemas.openxmlformats.org/officeDocument/2006/relationships/hyperlink" Target="https://de.wikipedia.org/wiki/FC_Kopenhagen" TargetMode="External"/><Relationship Id="rId320" Type="http://schemas.openxmlformats.org/officeDocument/2006/relationships/hyperlink" Target="https://fr.wikipedia.org/wiki/Football_Club_Fleury_91" TargetMode="External"/><Relationship Id="rId441" Type="http://schemas.openxmlformats.org/officeDocument/2006/relationships/hyperlink" Target="https://www.rsssf.org/colours/greece.html" TargetMode="External"/><Relationship Id="rId562" Type="http://schemas.openxmlformats.org/officeDocument/2006/relationships/hyperlink" Target="https://fr.wikipedia.org/wiki/AGF_Aarhus" TargetMode="External"/><Relationship Id="rId316" Type="http://schemas.openxmlformats.org/officeDocument/2006/relationships/hyperlink" Target="https://fr.wikipedia.org/wiki/Clermont_Foot_63" TargetMode="External"/><Relationship Id="rId437" Type="http://schemas.openxmlformats.org/officeDocument/2006/relationships/hyperlink" Target="https://www.rsssf.org/colours/greece.html" TargetMode="External"/><Relationship Id="rId558" Type="http://schemas.openxmlformats.org/officeDocument/2006/relationships/hyperlink" Target="https://fr.wikipedia.org/wiki/PFK_CSKA_Sofia" TargetMode="External"/><Relationship Id="rId315" Type="http://schemas.openxmlformats.org/officeDocument/2006/relationships/hyperlink" Target="https://fr.wikipedia.org/wiki/Association_sportive_de_Cannes_(football)" TargetMode="External"/><Relationship Id="rId436" Type="http://schemas.openxmlformats.org/officeDocument/2006/relationships/hyperlink" Target="https://www.rsssf.org/colours/greece.html" TargetMode="External"/><Relationship Id="rId557" Type="http://schemas.openxmlformats.org/officeDocument/2006/relationships/hyperlink" Target="https://fr.wikipedia.org/wiki/Lech_Pozna%C5%84" TargetMode="External"/><Relationship Id="rId314" Type="http://schemas.openxmlformats.org/officeDocument/2006/relationships/hyperlink" Target="https://www.rsssf.org/colours/france.html" TargetMode="External"/><Relationship Id="rId435" Type="http://schemas.openxmlformats.org/officeDocument/2006/relationships/hyperlink" Target="https://www.rsssf.org/colours/greece.html" TargetMode="External"/><Relationship Id="rId556" Type="http://schemas.openxmlformats.org/officeDocument/2006/relationships/hyperlink" Target="https://fr.wikipedia.org/wiki/Jagiellonia_Bia%C5%82ystok" TargetMode="External"/><Relationship Id="rId313" Type="http://schemas.openxmlformats.org/officeDocument/2006/relationships/hyperlink" Target="https://www.rsssf.org/colours/france.html" TargetMode="External"/><Relationship Id="rId434" Type="http://schemas.openxmlformats.org/officeDocument/2006/relationships/hyperlink" Target="https://www.rsssf.org/colours/greece.html" TargetMode="External"/><Relationship Id="rId555" Type="http://schemas.openxmlformats.org/officeDocument/2006/relationships/hyperlink" Target="https://fr.wikipedia.org/wiki/Hapo%C3%ABl_Beer-Sheva" TargetMode="External"/><Relationship Id="rId319" Type="http://schemas.openxmlformats.org/officeDocument/2006/relationships/hyperlink" Target="https://www.rsssf.org/colours/france.html" TargetMode="External"/><Relationship Id="rId318" Type="http://schemas.openxmlformats.org/officeDocument/2006/relationships/hyperlink" Target="https://fr.wikipedia.org/wiki/Dijon_Football_C%C3%B4te-d%27Or" TargetMode="External"/><Relationship Id="rId439" Type="http://schemas.openxmlformats.org/officeDocument/2006/relationships/hyperlink" Target="https://fr.wikipedia.org/wiki/AO_Kavala" TargetMode="External"/><Relationship Id="rId317" Type="http://schemas.openxmlformats.org/officeDocument/2006/relationships/hyperlink" Target="https://fr.wikipedia.org/wiki/Union_sportive_concarnoise" TargetMode="External"/><Relationship Id="rId438" Type="http://schemas.openxmlformats.org/officeDocument/2006/relationships/hyperlink" Target="https://www.rsssf.org/colours/greece.html" TargetMode="External"/><Relationship Id="rId559" Type="http://schemas.openxmlformats.org/officeDocument/2006/relationships/hyperlink" Target="https://fr.wikipedia.org/wiki/PFK_Levski_Sofia" TargetMode="External"/><Relationship Id="rId550" Type="http://schemas.openxmlformats.org/officeDocument/2006/relationships/hyperlink" Target="https://fr.wikipedia.org/wiki/Celtic_Football_Club" TargetMode="External"/><Relationship Id="rId312" Type="http://schemas.openxmlformats.org/officeDocument/2006/relationships/hyperlink" Target="https://fr.wikipedia.org/wiki/Football_Bourg-en-Bresse_P%C3%A9ronnas_01" TargetMode="External"/><Relationship Id="rId433" Type="http://schemas.openxmlformats.org/officeDocument/2006/relationships/hyperlink" Target="https://en.wikipedia.org/wiki/Hellas_Syros_F.C." TargetMode="External"/><Relationship Id="rId554" Type="http://schemas.openxmlformats.org/officeDocument/2006/relationships/hyperlink" Target="https://fr.wikipedia.org/wiki/Ferencv%C3%A1ros_TC_(football)" TargetMode="External"/><Relationship Id="rId311" Type="http://schemas.openxmlformats.org/officeDocument/2006/relationships/hyperlink" Target="https://fr.wikipedia.org/wiki/Union_sportive_Boulogne_C%C3%B4te_d%27Opale" TargetMode="External"/><Relationship Id="rId432" Type="http://schemas.openxmlformats.org/officeDocument/2006/relationships/hyperlink" Target="https://www.rsssf.org/colours/greece.html" TargetMode="External"/><Relationship Id="rId553" Type="http://schemas.openxmlformats.org/officeDocument/2006/relationships/hyperlink" Target="https://fr.wikipedia.org/wiki/HNK_Hajduk_Split" TargetMode="External"/><Relationship Id="rId310" Type="http://schemas.openxmlformats.org/officeDocument/2006/relationships/hyperlink" Target="https://www.rsssf.org/colours/france.html" TargetMode="External"/><Relationship Id="rId431" Type="http://schemas.openxmlformats.org/officeDocument/2006/relationships/hyperlink" Target="https://www.rsssf.org/colours/greece.html" TargetMode="External"/><Relationship Id="rId552" Type="http://schemas.openxmlformats.org/officeDocument/2006/relationships/hyperlink" Target="https://fr.wikipedia.org/wiki/GNK_Dinamo_Zagreb" TargetMode="External"/><Relationship Id="rId430" Type="http://schemas.openxmlformats.org/officeDocument/2006/relationships/hyperlink" Target="https://www.rsssf.org/colours/greece.html" TargetMode="External"/><Relationship Id="rId551" Type="http://schemas.openxmlformats.org/officeDocument/2006/relationships/hyperlink" Target="https://fr.wikipedia.org/wiki/Heart_of_Midlothian_Football_Club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3.xml"/><Relationship Id="rId4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392" Type="http://schemas.openxmlformats.org/officeDocument/2006/relationships/hyperlink" Target="about:blank" TargetMode="External"/><Relationship Id="rId391" Type="http://schemas.openxmlformats.org/officeDocument/2006/relationships/hyperlink" Target="https://www.rsssf.org/colours/spain.html" TargetMode="External"/><Relationship Id="rId390" Type="http://schemas.openxmlformats.org/officeDocument/2006/relationships/hyperlink" Target="about:blank" TargetMode="External"/><Relationship Id="rId1" Type="http://schemas.openxmlformats.org/officeDocument/2006/relationships/comments" Target="../comments3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2180" Type="http://schemas.openxmlformats.org/officeDocument/2006/relationships/hyperlink" Target="about:blank" TargetMode="External"/><Relationship Id="rId2181" Type="http://schemas.openxmlformats.org/officeDocument/2006/relationships/hyperlink" Target="https://en.wikipedia.org/wiki/2026%E2%80%9327_Gamma_Ethniki" TargetMode="External"/><Relationship Id="rId2182" Type="http://schemas.openxmlformats.org/officeDocument/2006/relationships/hyperlink" Target="about:blank" TargetMode="External"/><Relationship Id="rId2183" Type="http://schemas.openxmlformats.org/officeDocument/2006/relationships/hyperlink" Target="https://www.rsssf.org/colours/greece.html" TargetMode="External"/><Relationship Id="rId9" Type="http://schemas.openxmlformats.org/officeDocument/2006/relationships/hyperlink" Target="https://www.premierleague.com/en/clubs" TargetMode="External"/><Relationship Id="rId385" Type="http://schemas.openxmlformats.org/officeDocument/2006/relationships/hyperlink" Target="https://www.laliga.com/en-GB/laliga-hypermotion/clubs" TargetMode="External"/><Relationship Id="rId2184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2185" Type="http://schemas.openxmlformats.org/officeDocument/2006/relationships/hyperlink" Target="https://en.wikipedia.org/wiki/2026%E2%80%9327_Gamma_Ethniki" TargetMode="External"/><Relationship Id="rId383" Type="http://schemas.openxmlformats.org/officeDocument/2006/relationships/hyperlink" Target="https://www.rsssf.org/colours/spain.html" TargetMode="External"/><Relationship Id="rId2186" Type="http://schemas.openxmlformats.org/officeDocument/2006/relationships/hyperlink" Target="about:blank" TargetMode="External"/><Relationship Id="rId382" Type="http://schemas.openxmlformats.org/officeDocument/2006/relationships/hyperlink" Target="about:blank" TargetMode="External"/><Relationship Id="rId2187" Type="http://schemas.openxmlformats.org/officeDocument/2006/relationships/hyperlink" Target="about:blank" TargetMode="External"/><Relationship Id="rId5" Type="http://schemas.openxmlformats.org/officeDocument/2006/relationships/hyperlink" Target="https://www.premierleague.com/en/clubs" TargetMode="External"/><Relationship Id="rId389" Type="http://schemas.openxmlformats.org/officeDocument/2006/relationships/hyperlink" Target="https://www.laliga.com/en-GB/laliga-hypermotion/clubs" TargetMode="External"/><Relationship Id="rId2188" Type="http://schemas.openxmlformats.org/officeDocument/2006/relationships/hyperlink" Target="https://en.wikipedia.org/wiki/2026%E2%80%9327_Gamma_Ethniki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2189" Type="http://schemas.openxmlformats.org/officeDocument/2006/relationships/hyperlink" Target="about:blank" TargetMode="External"/><Relationship Id="rId7" Type="http://schemas.openxmlformats.org/officeDocument/2006/relationships/hyperlink" Target="https://www.rsssf.org/colours/england.html" TargetMode="External"/><Relationship Id="rId387" Type="http://schemas.openxmlformats.org/officeDocument/2006/relationships/hyperlink" Target="https://www.rsssf.org/colours/spain.html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1" Type="http://schemas.openxmlformats.org/officeDocument/2006/relationships/hyperlink" Target="https://www.laliga.com/en-GB/laliga-hypermotion/clubs" TargetMode="External"/><Relationship Id="rId380" Type="http://schemas.openxmlformats.org/officeDocument/2006/relationships/hyperlink" Target="about:blank" TargetMode="External"/><Relationship Id="rId379" Type="http://schemas.openxmlformats.org/officeDocument/2006/relationships/hyperlink" Target="https://www.rsssf.org/colours/spain.html" TargetMode="External"/><Relationship Id="rId2170" Type="http://schemas.openxmlformats.org/officeDocument/2006/relationships/hyperlink" Target="about:blank" TargetMode="External"/><Relationship Id="rId2171" Type="http://schemas.openxmlformats.org/officeDocument/2006/relationships/hyperlink" Target="https://en.wikipedia.org/wiki/2026%E2%80%9327_Gamma_Ethniki" TargetMode="External"/><Relationship Id="rId2172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2173" Type="http://schemas.openxmlformats.org/officeDocument/2006/relationships/hyperlink" Target="about:blank" TargetMode="External"/><Relationship Id="rId373" Type="http://schemas.openxmlformats.org/officeDocument/2006/relationships/hyperlink" Target="https://www.laliga.com/en-GB/laliga-hypermotion/clubs" TargetMode="External"/><Relationship Id="rId2174" Type="http://schemas.openxmlformats.org/officeDocument/2006/relationships/hyperlink" Target="https://en.wikipedia.org/wiki/2026%E2%80%9327_Gamma_Ethniki" TargetMode="External"/><Relationship Id="rId372" Type="http://schemas.openxmlformats.org/officeDocument/2006/relationships/hyperlink" Target="about:blank" TargetMode="External"/><Relationship Id="rId2175" Type="http://schemas.openxmlformats.org/officeDocument/2006/relationships/hyperlink" Target="about:blank" TargetMode="External"/><Relationship Id="rId371" Type="http://schemas.openxmlformats.org/officeDocument/2006/relationships/hyperlink" Target="https://www.rsssf.org/colours/spain.html" TargetMode="External"/><Relationship Id="rId2176" Type="http://schemas.openxmlformats.org/officeDocument/2006/relationships/hyperlink" Target="about:blank" TargetMode="External"/><Relationship Id="rId378" Type="http://schemas.openxmlformats.org/officeDocument/2006/relationships/hyperlink" Target="about:blank" TargetMode="External"/><Relationship Id="rId2177" Type="http://schemas.openxmlformats.org/officeDocument/2006/relationships/hyperlink" Target="https://en.wikipedia.org/wiki/2026%E2%80%9327_Gamma_Ethniki" TargetMode="External"/><Relationship Id="rId377" Type="http://schemas.openxmlformats.org/officeDocument/2006/relationships/hyperlink" Target="https://www.laliga.com/en-GB/laliga-hypermotion/clubs" TargetMode="External"/><Relationship Id="rId2178" Type="http://schemas.openxmlformats.org/officeDocument/2006/relationships/hyperlink" Target="about:blank" TargetMode="External"/><Relationship Id="rId376" Type="http://schemas.openxmlformats.org/officeDocument/2006/relationships/hyperlink" Target="about:blank" TargetMode="External"/><Relationship Id="rId2179" Type="http://schemas.openxmlformats.org/officeDocument/2006/relationships/hyperlink" Target="https://www.rsssf.org/colours/greece.html" TargetMode="External"/><Relationship Id="rId375" Type="http://schemas.openxmlformats.org/officeDocument/2006/relationships/hyperlink" Target="https://www.rsssf.org/colours/spain.html" TargetMode="External"/><Relationship Id="rId2190" Type="http://schemas.openxmlformats.org/officeDocument/2006/relationships/hyperlink" Target="https://www.rsssf.org/colours/greece.html" TargetMode="External"/><Relationship Id="rId2191" Type="http://schemas.openxmlformats.org/officeDocument/2006/relationships/hyperlink" Target="about:blank" TargetMode="External"/><Relationship Id="rId2192" Type="http://schemas.openxmlformats.org/officeDocument/2006/relationships/hyperlink" Target="https://en.wikipedia.org/wiki/2026%E2%80%9327_Gamma_Ethniki" TargetMode="External"/><Relationship Id="rId2193" Type="http://schemas.openxmlformats.org/officeDocument/2006/relationships/hyperlink" Target="about:blank" TargetMode="External"/><Relationship Id="rId2194" Type="http://schemas.openxmlformats.org/officeDocument/2006/relationships/hyperlink" Target="about:blank" TargetMode="External"/><Relationship Id="rId396" Type="http://schemas.openxmlformats.org/officeDocument/2006/relationships/hyperlink" Target="about:blank" TargetMode="External"/><Relationship Id="rId2195" Type="http://schemas.openxmlformats.org/officeDocument/2006/relationships/hyperlink" Target="https://en.wikipedia.org/wiki/2026%E2%80%9327_Gamma_Ethniki" TargetMode="External"/><Relationship Id="rId395" Type="http://schemas.openxmlformats.org/officeDocument/2006/relationships/hyperlink" Target="https://es.wikipedia.org/wiki/Club_Deportivo_Eldense" TargetMode="External"/><Relationship Id="rId2196" Type="http://schemas.openxmlformats.org/officeDocument/2006/relationships/hyperlink" Target="about:blank" TargetMode="External"/><Relationship Id="rId394" Type="http://schemas.openxmlformats.org/officeDocument/2006/relationships/hyperlink" Target="about:blank" TargetMode="External"/><Relationship Id="rId2197" Type="http://schemas.openxmlformats.org/officeDocument/2006/relationships/hyperlink" Target="about:blank" TargetMode="External"/><Relationship Id="rId393" Type="http://schemas.openxmlformats.org/officeDocument/2006/relationships/hyperlink" Target="https://www.laliga.com/en-GB/laliga-hypermotion/clubs" TargetMode="External"/><Relationship Id="rId2198" Type="http://schemas.openxmlformats.org/officeDocument/2006/relationships/hyperlink" Target="https://en.wikipedia.org/wiki/2026%E2%80%9327_Gamma_Ethniki" TargetMode="External"/><Relationship Id="rId2199" Type="http://schemas.openxmlformats.org/officeDocument/2006/relationships/hyperlink" Target="about:blank" TargetMode="External"/><Relationship Id="rId399" Type="http://schemas.openxmlformats.org/officeDocument/2006/relationships/hyperlink" Target="https://es.wikipedia.org/wiki/Futbol_Club_Andorra" TargetMode="External"/><Relationship Id="rId398" Type="http://schemas.openxmlformats.org/officeDocument/2006/relationships/hyperlink" Target="about:blank" TargetMode="External"/><Relationship Id="rId397" Type="http://schemas.openxmlformats.org/officeDocument/2006/relationships/hyperlink" Target="https://www.laliga.com/en-GB/laliga-hypermotion/clubs" TargetMode="External"/><Relationship Id="rId1730" Type="http://schemas.openxmlformats.org/officeDocument/2006/relationships/hyperlink" Target="about:blank" TargetMode="External"/><Relationship Id="rId1731" Type="http://schemas.openxmlformats.org/officeDocument/2006/relationships/hyperlink" Target="https://www.flashscore.ro/stiri/fotbal-liga-3-2026-2027-serii-echipe-program/Qkhurfcc/" TargetMode="External"/><Relationship Id="rId1732" Type="http://schemas.openxmlformats.org/officeDocument/2006/relationships/hyperlink" Target="about:blank" TargetMode="External"/><Relationship Id="rId1733" Type="http://schemas.openxmlformats.org/officeDocument/2006/relationships/hyperlink" Target="about:blank" TargetMode="External"/><Relationship Id="rId1734" Type="http://schemas.openxmlformats.org/officeDocument/2006/relationships/hyperlink" Target="https://www.flashscore.ro/stiri/fotbal-liga-3-2026-2027-serii-echipe-program/Qkhurfcc/" TargetMode="External"/><Relationship Id="rId1735" Type="http://schemas.openxmlformats.org/officeDocument/2006/relationships/hyperlink" Target="about:blank" TargetMode="External"/><Relationship Id="rId1736" Type="http://schemas.openxmlformats.org/officeDocument/2006/relationships/hyperlink" Target="about:blank" TargetMode="External"/><Relationship Id="rId1737" Type="http://schemas.openxmlformats.org/officeDocument/2006/relationships/hyperlink" Target="https://liga2.prosport.ro/liga-3/componenta-seriilor-noului-sezon-de-liga-3-editia-2026-2027-19397075" TargetMode="External"/><Relationship Id="rId1738" Type="http://schemas.openxmlformats.org/officeDocument/2006/relationships/hyperlink" Target="about:blank" TargetMode="External"/><Relationship Id="rId1739" Type="http://schemas.openxmlformats.org/officeDocument/2006/relationships/hyperlink" Target="about:blank" TargetMode="External"/><Relationship Id="rId1720" Type="http://schemas.openxmlformats.org/officeDocument/2006/relationships/hyperlink" Target="about:blank" TargetMode="External"/><Relationship Id="rId1721" Type="http://schemas.openxmlformats.org/officeDocument/2006/relationships/hyperlink" Target="about:blank" TargetMode="External"/><Relationship Id="rId1722" Type="http://schemas.openxmlformats.org/officeDocument/2006/relationships/hyperlink" Target="https://www.flashscore.ro/stiri/fotbal-liga-3-2026-2027-serii-echipe-program/Qkhurfcc/" TargetMode="External"/><Relationship Id="rId1723" Type="http://schemas.openxmlformats.org/officeDocument/2006/relationships/hyperlink" Target="about:blank" TargetMode="External"/><Relationship Id="rId1724" Type="http://schemas.openxmlformats.org/officeDocument/2006/relationships/hyperlink" Target="about:blank" TargetMode="External"/><Relationship Id="rId1725" Type="http://schemas.openxmlformats.org/officeDocument/2006/relationships/hyperlink" Target="https://www.flashscore.ro/stiri/fotbal-liga-3-2026-2027-serii-echipe-program/Qkhurfcc/" TargetMode="External"/><Relationship Id="rId1726" Type="http://schemas.openxmlformats.org/officeDocument/2006/relationships/hyperlink" Target="about:blank" TargetMode="External"/><Relationship Id="rId1727" Type="http://schemas.openxmlformats.org/officeDocument/2006/relationships/hyperlink" Target="about:blank" TargetMode="External"/><Relationship Id="rId1728" Type="http://schemas.openxmlformats.org/officeDocument/2006/relationships/hyperlink" Target="https://www.flashscore.ro/stiri/fotbal-liga-3-2026-2027-serii-echipe-program/Qkhurfcc/" TargetMode="External"/><Relationship Id="rId1729" Type="http://schemas.openxmlformats.org/officeDocument/2006/relationships/hyperlink" Target="about:blank" TargetMode="External"/><Relationship Id="rId1752" Type="http://schemas.openxmlformats.org/officeDocument/2006/relationships/hyperlink" Target="about:blank" TargetMode="External"/><Relationship Id="rId1753" Type="http://schemas.openxmlformats.org/officeDocument/2006/relationships/hyperlink" Target="https://liga2.prosport.ro/liga-3/componenta-seriilor-noului-sezon-de-liga-3-editia-2026-2027-19397075" TargetMode="External"/><Relationship Id="rId2600" Type="http://schemas.openxmlformats.org/officeDocument/2006/relationships/hyperlink" Target="about:blank" TargetMode="External"/><Relationship Id="rId1754" Type="http://schemas.openxmlformats.org/officeDocument/2006/relationships/hyperlink" Target="about:blank" TargetMode="External"/><Relationship Id="rId260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755" Type="http://schemas.openxmlformats.org/officeDocument/2006/relationships/hyperlink" Target="https://www.the-sports.org/football-soccer-fc-voluntari-results-identity-equ44644.html" TargetMode="External"/><Relationship Id="rId2602" Type="http://schemas.openxmlformats.org/officeDocument/2006/relationships/hyperlink" Target="about:blank" TargetMode="External"/><Relationship Id="rId1756" Type="http://schemas.openxmlformats.org/officeDocument/2006/relationships/hyperlink" Target="about:blank" TargetMode="External"/><Relationship Id="rId2603" Type="http://schemas.openxmlformats.org/officeDocument/2006/relationships/hyperlink" Target="https://www.rsssf.org/colours/england.html" TargetMode="External"/><Relationship Id="rId1757" Type="http://schemas.openxmlformats.org/officeDocument/2006/relationships/hyperlink" Target="https://liga2.prosport.ro/liga-3/componenta-seriilor-noului-sezon-de-liga-3-editia-2026-2027-19397075" TargetMode="External"/><Relationship Id="rId2604" Type="http://schemas.openxmlformats.org/officeDocument/2006/relationships/hyperlink" Target="about:blank" TargetMode="External"/><Relationship Id="rId1758" Type="http://schemas.openxmlformats.org/officeDocument/2006/relationships/hyperlink" Target="about:blank" TargetMode="External"/><Relationship Id="rId260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759" Type="http://schemas.openxmlformats.org/officeDocument/2006/relationships/hyperlink" Target="https://en.wikipedia.org/wiki/FCSB" TargetMode="External"/><Relationship Id="rId2606" Type="http://schemas.openxmlformats.org/officeDocument/2006/relationships/hyperlink" Target="about:blank" TargetMode="External"/><Relationship Id="rId808" Type="http://schemas.openxmlformats.org/officeDocument/2006/relationships/hyperlink" Target="about:blank" TargetMode="External"/><Relationship Id="rId2607" Type="http://schemas.openxmlformats.org/officeDocument/2006/relationships/hyperlink" Target="https://www.rsssf.org/colours/england.html" TargetMode="External"/><Relationship Id="rId807" Type="http://schemas.openxmlformats.org/officeDocument/2006/relationships/hyperlink" Target="https://it.wikipedia.org/wiki/Football_Club_Lumezzane" TargetMode="External"/><Relationship Id="rId2608" Type="http://schemas.openxmlformats.org/officeDocument/2006/relationships/hyperlink" Target="about:blank" TargetMode="External"/><Relationship Id="rId806" Type="http://schemas.openxmlformats.org/officeDocument/2006/relationships/hyperlink" Target="about:blank" TargetMode="External"/><Relationship Id="rId260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05" Type="http://schemas.openxmlformats.org/officeDocument/2006/relationships/hyperlink" Target="https://it.blastingnews.com/calcio/2026/07/ultimora-serie-c-svelati-i-gironi-ufficiali-2026-27-004083523.html" TargetMode="External"/><Relationship Id="rId809" Type="http://schemas.openxmlformats.org/officeDocument/2006/relationships/hyperlink" Target="https://it.blastingnews.com/calcio/2026/07/ultimora-serie-c-svelati-i-gironi-ufficiali-2026-27-004083523.html" TargetMode="External"/><Relationship Id="rId800" Type="http://schemas.openxmlformats.org/officeDocument/2006/relationships/hyperlink" Target="about:blank" TargetMode="External"/><Relationship Id="rId804" Type="http://schemas.openxmlformats.org/officeDocument/2006/relationships/hyperlink" Target="about:blank" TargetMode="External"/><Relationship Id="rId803" Type="http://schemas.openxmlformats.org/officeDocument/2006/relationships/hyperlink" Target="https://it.wikipedia.org/wiki/Calcio_Lecco_1912" TargetMode="External"/><Relationship Id="rId802" Type="http://schemas.openxmlformats.org/officeDocument/2006/relationships/hyperlink" Target="about:blank" TargetMode="External"/><Relationship Id="rId801" Type="http://schemas.openxmlformats.org/officeDocument/2006/relationships/hyperlink" Target="https://it.blastingnews.com/calcio/2026/07/ultimora-serie-c-svelati-i-gironi-ufficiali-2026-27-004083523.html" TargetMode="External"/><Relationship Id="rId1750" Type="http://schemas.openxmlformats.org/officeDocument/2006/relationships/hyperlink" Target="https://liga2.prosport.ro/liga-3/componenta-seriilor-noului-sezon-de-liga-3-editia-2026-2027-19397075" TargetMode="External"/><Relationship Id="rId1751" Type="http://schemas.openxmlformats.org/officeDocument/2006/relationships/hyperlink" Target="about:blank" TargetMode="External"/><Relationship Id="rId1741" Type="http://schemas.openxmlformats.org/officeDocument/2006/relationships/hyperlink" Target="about:blank" TargetMode="External"/><Relationship Id="rId1742" Type="http://schemas.openxmlformats.org/officeDocument/2006/relationships/hyperlink" Target="about:blank" TargetMode="External"/><Relationship Id="rId1743" Type="http://schemas.openxmlformats.org/officeDocument/2006/relationships/hyperlink" Target="https://liga2.prosport.ro/liga-3/componenta-seriilor-noului-sezon-de-liga-3-editia-2026-2027-19397075" TargetMode="External"/><Relationship Id="rId1744" Type="http://schemas.openxmlformats.org/officeDocument/2006/relationships/hyperlink" Target="about:blank" TargetMode="External"/><Relationship Id="rId1745" Type="http://schemas.openxmlformats.org/officeDocument/2006/relationships/hyperlink" Target="about:blank" TargetMode="External"/><Relationship Id="rId1746" Type="http://schemas.openxmlformats.org/officeDocument/2006/relationships/hyperlink" Target="https://liga2.prosport.ro/liga-3/componenta-seriilor-noului-sezon-de-liga-3-editia-2026-2027-19397075" TargetMode="External"/><Relationship Id="rId1747" Type="http://schemas.openxmlformats.org/officeDocument/2006/relationships/hyperlink" Target="about:blank" TargetMode="External"/><Relationship Id="rId1748" Type="http://schemas.openxmlformats.org/officeDocument/2006/relationships/hyperlink" Target="https://ro.wikipedia.org/wiki/FC_Dinamo_Bucure%C8%99ti" TargetMode="External"/><Relationship Id="rId1749" Type="http://schemas.openxmlformats.org/officeDocument/2006/relationships/hyperlink" Target="about:blank" TargetMode="External"/><Relationship Id="rId1740" Type="http://schemas.openxmlformats.org/officeDocument/2006/relationships/hyperlink" Target="https://liga2.prosport.ro/liga-3/componenta-seriilor-noului-sezon-de-liga-3-editia-2026-2027-19397075" TargetMode="External"/><Relationship Id="rId1710" Type="http://schemas.openxmlformats.org/officeDocument/2006/relationships/hyperlink" Target="https://en.wikipedia.org/wiki/FC_Dun%C4%83rea_C%C4%83l%C4%83ra%C8%99i" TargetMode="External"/><Relationship Id="rId1711" Type="http://schemas.openxmlformats.org/officeDocument/2006/relationships/hyperlink" Target="about:blank" TargetMode="External"/><Relationship Id="rId1712" Type="http://schemas.openxmlformats.org/officeDocument/2006/relationships/hyperlink" Target="https://www.flashscore.ro/stiri/fotbal-liga-3-2026-2027-serii-echipe-program/Qkhurfcc/" TargetMode="External"/><Relationship Id="rId1713" Type="http://schemas.openxmlformats.org/officeDocument/2006/relationships/hyperlink" Target="about:blank" TargetMode="External"/><Relationship Id="rId1714" Type="http://schemas.openxmlformats.org/officeDocument/2006/relationships/hyperlink" Target="about:blank" TargetMode="External"/><Relationship Id="rId1715" Type="http://schemas.openxmlformats.org/officeDocument/2006/relationships/hyperlink" Target="https://www.flashscore.ro/stiri/fotbal-liga-3-2026-2027-serii-echipe-program/Qkhurfcc/" TargetMode="External"/><Relationship Id="rId1716" Type="http://schemas.openxmlformats.org/officeDocument/2006/relationships/hyperlink" Target="about:blank" TargetMode="External"/><Relationship Id="rId1717" Type="http://schemas.openxmlformats.org/officeDocument/2006/relationships/hyperlink" Target="https://en.wikipedia.org/wiki/ASC_O%C8%9Belul_Gala%C8%9Bi" TargetMode="External"/><Relationship Id="rId1718" Type="http://schemas.openxmlformats.org/officeDocument/2006/relationships/hyperlink" Target="about:blank" TargetMode="External"/><Relationship Id="rId1719" Type="http://schemas.openxmlformats.org/officeDocument/2006/relationships/hyperlink" Target="https://www.flashscore.ro/stiri/fotbal-liga-3-2026-2027-serii-echipe-program/Qkhurfcc/" TargetMode="External"/><Relationship Id="rId1700" Type="http://schemas.openxmlformats.org/officeDocument/2006/relationships/hyperlink" Target="about:blank" TargetMode="External"/><Relationship Id="rId1701" Type="http://schemas.openxmlformats.org/officeDocument/2006/relationships/hyperlink" Target="about:blank" TargetMode="External"/><Relationship Id="rId1702" Type="http://schemas.openxmlformats.org/officeDocument/2006/relationships/hyperlink" Target="https://www.flashscore.ro/stiri/fotbal-liga-3-2026-2027-serii-echipe-program/Qkhurfcc/" TargetMode="External"/><Relationship Id="rId1703" Type="http://schemas.openxmlformats.org/officeDocument/2006/relationships/hyperlink" Target="about:blank" TargetMode="External"/><Relationship Id="rId1704" Type="http://schemas.openxmlformats.org/officeDocument/2006/relationships/hyperlink" Target="about:blank" TargetMode="External"/><Relationship Id="rId1705" Type="http://schemas.openxmlformats.org/officeDocument/2006/relationships/hyperlink" Target="https://www.flashscore.ro/stiri/fotbal-liga-3-2026-2027-serii-echipe-program/Qkhurfcc/" TargetMode="External"/><Relationship Id="rId1706" Type="http://schemas.openxmlformats.org/officeDocument/2006/relationships/hyperlink" Target="about:blank" TargetMode="External"/><Relationship Id="rId1707" Type="http://schemas.openxmlformats.org/officeDocument/2006/relationships/hyperlink" Target="about:blank" TargetMode="External"/><Relationship Id="rId1708" Type="http://schemas.openxmlformats.org/officeDocument/2006/relationships/hyperlink" Target="https://www.flashscore.ro/stiri/fotbal-liga-3-2026-2027-serii-echipe-program/Qkhurfcc/" TargetMode="External"/><Relationship Id="rId1709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1334" Type="http://schemas.openxmlformats.org/officeDocument/2006/relationships/hyperlink" Target="about:blank" TargetMode="External"/><Relationship Id="rId266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335" Type="http://schemas.openxmlformats.org/officeDocument/2006/relationships/hyperlink" Target="https://www.rsssf.org/colours/france.html" TargetMode="External"/><Relationship Id="rId2666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1336" Type="http://schemas.openxmlformats.org/officeDocument/2006/relationships/hyperlink" Target="about:blank" TargetMode="External"/><Relationship Id="rId2667" Type="http://schemas.openxmlformats.org/officeDocument/2006/relationships/hyperlink" Target="https://www.rsssf.org/colours/norway.html" TargetMode="External"/><Relationship Id="rId41" Type="http://schemas.openxmlformats.org/officeDocument/2006/relationships/hyperlink" Target="https://www.premierleague.com/en/clubs" TargetMode="External"/><Relationship Id="rId1337" Type="http://schemas.openxmlformats.org/officeDocument/2006/relationships/hyperlink" Target="https://en.wikipedia.org/wiki/2026%E2%80%9327_Ligue_2" TargetMode="External"/><Relationship Id="rId2668" Type="http://schemas.openxmlformats.org/officeDocument/2006/relationships/hyperlink" Target="about:blank" TargetMode="External"/><Relationship Id="rId44" Type="http://schemas.openxmlformats.org/officeDocument/2006/relationships/hyperlink" Target="about:blank" TargetMode="External"/><Relationship Id="rId1338" Type="http://schemas.openxmlformats.org/officeDocument/2006/relationships/hyperlink" Target="about:blank" TargetMode="External"/><Relationship Id="rId266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3" Type="http://schemas.openxmlformats.org/officeDocument/2006/relationships/hyperlink" Target="https://www.rsssf.org/colours/england.html" TargetMode="External"/><Relationship Id="rId1339" Type="http://schemas.openxmlformats.org/officeDocument/2006/relationships/hyperlink" Target="https://www.rsssf.org/colours/france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premierleague.com/en/clubs" TargetMode="External"/><Relationship Id="rId745" Type="http://schemas.openxmlformats.org/officeDocument/2006/relationships/hyperlink" Target="https://sport.virgilio.it/calcio/squadre/" TargetMode="External"/><Relationship Id="rId744" Type="http://schemas.openxmlformats.org/officeDocument/2006/relationships/hyperlink" Target="about:blank" TargetMode="External"/><Relationship Id="rId743" Type="http://schemas.openxmlformats.org/officeDocument/2006/relationships/hyperlink" Target="https://www.rsssf.org/colours/italy.html" TargetMode="External"/><Relationship Id="rId742" Type="http://schemas.openxmlformats.org/officeDocument/2006/relationships/hyperlink" Target="about:blank" TargetMode="External"/><Relationship Id="rId749" Type="http://schemas.openxmlformats.org/officeDocument/2006/relationships/hyperlink" Target="https://sport.virgilio.it/calcio/squadre/" TargetMode="External"/><Relationship Id="rId748" Type="http://schemas.openxmlformats.org/officeDocument/2006/relationships/hyperlink" Target="about:blank" TargetMode="External"/><Relationship Id="rId747" Type="http://schemas.openxmlformats.org/officeDocument/2006/relationships/hyperlink" Target="https://www.rsssf.org/colours/italy.html" TargetMode="External"/><Relationship Id="rId746" Type="http://schemas.openxmlformats.org/officeDocument/2006/relationships/hyperlink" Target="about:blank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england.html" TargetMode="External"/><Relationship Id="rId49" Type="http://schemas.openxmlformats.org/officeDocument/2006/relationships/hyperlink" Target="https://www.premierleague.com/en/clubs" TargetMode="External"/><Relationship Id="rId2660" Type="http://schemas.openxmlformats.org/officeDocument/2006/relationships/hyperlink" Target="about:blank" TargetMode="External"/><Relationship Id="rId741" Type="http://schemas.openxmlformats.org/officeDocument/2006/relationships/hyperlink" Target="https://sport.virgilio.it/calcio/squadre/" TargetMode="External"/><Relationship Id="rId1330" Type="http://schemas.openxmlformats.org/officeDocument/2006/relationships/hyperlink" Target="about:blank" TargetMode="External"/><Relationship Id="rId266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40" Type="http://schemas.openxmlformats.org/officeDocument/2006/relationships/hyperlink" Target="about:blank" TargetMode="External"/><Relationship Id="rId1331" Type="http://schemas.openxmlformats.org/officeDocument/2006/relationships/hyperlink" Target="https://www.rsssf.org/colours/france.html" TargetMode="External"/><Relationship Id="rId2662" Type="http://schemas.openxmlformats.org/officeDocument/2006/relationships/hyperlink" Target="about:blank" TargetMode="External"/><Relationship Id="rId1332" Type="http://schemas.openxmlformats.org/officeDocument/2006/relationships/hyperlink" Target="about:blank" TargetMode="External"/><Relationship Id="rId2663" Type="http://schemas.openxmlformats.org/officeDocument/2006/relationships/hyperlink" Target="https://www.rsssf.org/colours/germany.html" TargetMode="External"/><Relationship Id="rId1333" Type="http://schemas.openxmlformats.org/officeDocument/2006/relationships/hyperlink" Target="https://en.wikipedia.org/wiki/2026%E2%80%9327_Ligue_2" TargetMode="External"/><Relationship Id="rId2664" Type="http://schemas.openxmlformats.org/officeDocument/2006/relationships/hyperlink" Target="about:blank" TargetMode="External"/><Relationship Id="rId1323" Type="http://schemas.openxmlformats.org/officeDocument/2006/relationships/hyperlink" Target="https://www.rsssf.org/colours/france.html" TargetMode="External"/><Relationship Id="rId2654" Type="http://schemas.openxmlformats.org/officeDocument/2006/relationships/hyperlink" Target="about:blank" TargetMode="External"/><Relationship Id="rId1324" Type="http://schemas.openxmlformats.org/officeDocument/2006/relationships/hyperlink" Target="about:blank" TargetMode="External"/><Relationship Id="rId2655" Type="http://schemas.openxmlformats.org/officeDocument/2006/relationships/hyperlink" Target="https://fr.wikipedia.org/wiki/%C5%A0K_Slovan_Bratislava" TargetMode="External"/><Relationship Id="rId31" Type="http://schemas.openxmlformats.org/officeDocument/2006/relationships/hyperlink" Target="https://en.wikipedia.org/wiki/Coventry_City_F.C." TargetMode="External"/><Relationship Id="rId1325" Type="http://schemas.openxmlformats.org/officeDocument/2006/relationships/hyperlink" Target="https://en.wikipedia.org/wiki/2026%E2%80%9327_Ligue_2" TargetMode="External"/><Relationship Id="rId2656" Type="http://schemas.openxmlformats.org/officeDocument/2006/relationships/hyperlink" Target="about:blank" TargetMode="External"/><Relationship Id="rId30" Type="http://schemas.openxmlformats.org/officeDocument/2006/relationships/hyperlink" Target="about:blank" TargetMode="External"/><Relationship Id="rId1326" Type="http://schemas.openxmlformats.org/officeDocument/2006/relationships/hyperlink" Target="about:blank" TargetMode="External"/><Relationship Id="rId265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3" Type="http://schemas.openxmlformats.org/officeDocument/2006/relationships/hyperlink" Target="https://www.premierleague.com/en/clubs" TargetMode="External"/><Relationship Id="rId1327" Type="http://schemas.openxmlformats.org/officeDocument/2006/relationships/hyperlink" Target="https://www.rsssf.org/colours/france.html" TargetMode="External"/><Relationship Id="rId2658" Type="http://schemas.openxmlformats.org/officeDocument/2006/relationships/hyperlink" Target="about:blank" TargetMode="External"/><Relationship Id="rId32" Type="http://schemas.openxmlformats.org/officeDocument/2006/relationships/hyperlink" Target="about:blank" TargetMode="External"/><Relationship Id="rId1328" Type="http://schemas.openxmlformats.org/officeDocument/2006/relationships/hyperlink" Target="about:blank" TargetMode="External"/><Relationship Id="rId2659" Type="http://schemas.openxmlformats.org/officeDocument/2006/relationships/hyperlink" Target="https://www.rsssf.org/colours/portugal.html" TargetMode="External"/><Relationship Id="rId35" Type="http://schemas.openxmlformats.org/officeDocument/2006/relationships/hyperlink" Target="https://www.rsssf.org/colours/england.html" TargetMode="External"/><Relationship Id="rId1329" Type="http://schemas.openxmlformats.org/officeDocument/2006/relationships/hyperlink" Target="https://en.wikipedia.org/wiki/2026%E2%80%9327_Ligue_2" TargetMode="External"/><Relationship Id="rId34" Type="http://schemas.openxmlformats.org/officeDocument/2006/relationships/hyperlink" Target="about:blank" TargetMode="External"/><Relationship Id="rId739" Type="http://schemas.openxmlformats.org/officeDocument/2006/relationships/hyperlink" Target="https://www.rsssf.org/colours/italy.html" TargetMode="External"/><Relationship Id="rId734" Type="http://schemas.openxmlformats.org/officeDocument/2006/relationships/hyperlink" Target="about:blank" TargetMode="External"/><Relationship Id="rId733" Type="http://schemas.openxmlformats.org/officeDocument/2006/relationships/hyperlink" Target="https://sport.virgilio.it/calcio/squadre/" TargetMode="External"/><Relationship Id="rId732" Type="http://schemas.openxmlformats.org/officeDocument/2006/relationships/hyperlink" Target="about:blank" TargetMode="External"/><Relationship Id="rId731" Type="http://schemas.openxmlformats.org/officeDocument/2006/relationships/hyperlink" Target="https://www.rsssf.org/colours/italy.html" TargetMode="External"/><Relationship Id="rId738" Type="http://schemas.openxmlformats.org/officeDocument/2006/relationships/hyperlink" Target="about:blank" TargetMode="External"/><Relationship Id="rId737" Type="http://schemas.openxmlformats.org/officeDocument/2006/relationships/hyperlink" Target="https://sport.virgilio.it/calcio/squadre/" TargetMode="External"/><Relationship Id="rId736" Type="http://schemas.openxmlformats.org/officeDocument/2006/relationships/hyperlink" Target="about:blank" TargetMode="External"/><Relationship Id="rId735" Type="http://schemas.openxmlformats.org/officeDocument/2006/relationships/hyperlink" Target="https://www.rsssf.org/colours/italy.html" TargetMode="External"/><Relationship Id="rId37" Type="http://schemas.openxmlformats.org/officeDocument/2006/relationships/hyperlink" Target="https://www.premierleague.com/en/clubs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england.html" TargetMode="External"/><Relationship Id="rId38" Type="http://schemas.openxmlformats.org/officeDocument/2006/relationships/hyperlink" Target="about:blank" TargetMode="External"/><Relationship Id="rId730" Type="http://schemas.openxmlformats.org/officeDocument/2006/relationships/hyperlink" Target="about:blank" TargetMode="External"/><Relationship Id="rId2650" Type="http://schemas.openxmlformats.org/officeDocument/2006/relationships/hyperlink" Target="about:blank" TargetMode="External"/><Relationship Id="rId1320" Type="http://schemas.openxmlformats.org/officeDocument/2006/relationships/hyperlink" Target="about:blank" TargetMode="External"/><Relationship Id="rId2651" Type="http://schemas.openxmlformats.org/officeDocument/2006/relationships/hyperlink" Target="https://fr.wikipedia.org/wiki/SK_Slavia_Prague" TargetMode="External"/><Relationship Id="rId1321" Type="http://schemas.openxmlformats.org/officeDocument/2006/relationships/hyperlink" Target="https://en.wikipedia.org/wiki/2026%E2%80%9327_Ligue_2" TargetMode="External"/><Relationship Id="rId2652" Type="http://schemas.openxmlformats.org/officeDocument/2006/relationships/hyperlink" Target="about:blank" TargetMode="External"/><Relationship Id="rId1322" Type="http://schemas.openxmlformats.org/officeDocument/2006/relationships/hyperlink" Target="about:blank" TargetMode="External"/><Relationship Id="rId265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356" Type="http://schemas.openxmlformats.org/officeDocument/2006/relationships/hyperlink" Target="about:blank" TargetMode="External"/><Relationship Id="rId2203" Type="http://schemas.openxmlformats.org/officeDocument/2006/relationships/hyperlink" Target="https://www.rsssf.org/colours/greece.html" TargetMode="External"/><Relationship Id="rId2687" Type="http://schemas.openxmlformats.org/officeDocument/2006/relationships/hyperlink" Target="https://www.rsssf.org/colours/germany.html" TargetMode="External"/><Relationship Id="rId1357" Type="http://schemas.openxmlformats.org/officeDocument/2006/relationships/hyperlink" Target="https://en.wikipedia.org/wiki/2026%E2%80%9327_Ligue_2" TargetMode="External"/><Relationship Id="rId2204" Type="http://schemas.openxmlformats.org/officeDocument/2006/relationships/hyperlink" Target="about:blank" TargetMode="External"/><Relationship Id="rId268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1358" Type="http://schemas.openxmlformats.org/officeDocument/2006/relationships/hyperlink" Target="about:blank" TargetMode="External"/><Relationship Id="rId2205" Type="http://schemas.openxmlformats.org/officeDocument/2006/relationships/hyperlink" Target="https://en.wikipedia.org/wiki/2026%E2%80%9327_Gamma_Ethniki" TargetMode="External"/><Relationship Id="rId2689" Type="http://schemas.openxmlformats.org/officeDocument/2006/relationships/hyperlink" Target="https://www.uefa.com/uefaeuropaleague/clubs/" TargetMode="External"/><Relationship Id="rId1359" Type="http://schemas.openxmlformats.org/officeDocument/2006/relationships/hyperlink" Target="https://www.rsssf.org/colours/france.html" TargetMode="External"/><Relationship Id="rId2206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207" Type="http://schemas.openxmlformats.org/officeDocument/2006/relationships/hyperlink" Target="about:blank" TargetMode="External"/><Relationship Id="rId21" Type="http://schemas.openxmlformats.org/officeDocument/2006/relationships/hyperlink" Target="https://www.premierleague.com/en/clubs" TargetMode="External"/><Relationship Id="rId2208" Type="http://schemas.openxmlformats.org/officeDocument/2006/relationships/hyperlink" Target="https://en.wikipedia.org/wiki/2026%E2%80%9327_Gamma_Ethniki" TargetMode="External"/><Relationship Id="rId24" Type="http://schemas.openxmlformats.org/officeDocument/2006/relationships/hyperlink" Target="about:blank" TargetMode="External"/><Relationship Id="rId2209" Type="http://schemas.openxmlformats.org/officeDocument/2006/relationships/hyperlink" Target="about:blank" TargetMode="External"/><Relationship Id="rId23" Type="http://schemas.openxmlformats.org/officeDocument/2006/relationships/hyperlink" Target="https://www.rsssf.org/colours/england.html" TargetMode="External"/><Relationship Id="rId767" Type="http://schemas.openxmlformats.org/officeDocument/2006/relationships/hyperlink" Target="https://it.wikipedia.org/wiki/Alcione_Milano_Societ%C3%A0_Sportiva" TargetMode="External"/><Relationship Id="rId766" Type="http://schemas.openxmlformats.org/officeDocument/2006/relationships/hyperlink" Target="about:blank" TargetMode="External"/><Relationship Id="rId765" Type="http://schemas.openxmlformats.org/officeDocument/2006/relationships/hyperlink" Target="https://it.blastingnews.com/calcio/2026/07/ultimora-serie-c-svelati-i-gironi-ufficiali-2026-27-004083523.html" TargetMode="External"/><Relationship Id="rId764" Type="http://schemas.openxmlformats.org/officeDocument/2006/relationships/hyperlink" Target="about:blank" TargetMode="External"/><Relationship Id="rId769" Type="http://schemas.openxmlformats.org/officeDocument/2006/relationships/hyperlink" Target="https://it.blastingnews.com/calcio/2026/07/ultimora-serie-c-svelati-i-gironi-ufficiali-2026-27-004083523.html" TargetMode="External"/><Relationship Id="rId768" Type="http://schemas.openxmlformats.org/officeDocument/2006/relationships/hyperlink" Target="about:blank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premierleague.com/en/clubs" TargetMode="External"/><Relationship Id="rId2680" Type="http://schemas.openxmlformats.org/officeDocument/2006/relationships/hyperlink" Target="about:blank" TargetMode="External"/><Relationship Id="rId28" Type="http://schemas.openxmlformats.org/officeDocument/2006/relationships/hyperlink" Target="about:blank" TargetMode="External"/><Relationship Id="rId1350" Type="http://schemas.openxmlformats.org/officeDocument/2006/relationships/hyperlink" Target="about:blank" TargetMode="External"/><Relationship Id="rId2681" Type="http://schemas.openxmlformats.org/officeDocument/2006/relationships/hyperlink" Target="https://www.uefa.com/uefaeuropaleague/clubs/" TargetMode="External"/><Relationship Id="rId27" Type="http://schemas.openxmlformats.org/officeDocument/2006/relationships/hyperlink" Target="https://www.rsssf.org/colours/england.html" TargetMode="External"/><Relationship Id="rId1351" Type="http://schemas.openxmlformats.org/officeDocument/2006/relationships/hyperlink" Target="https://www.rsssf.org/colours/france.html" TargetMode="External"/><Relationship Id="rId2682" Type="http://schemas.openxmlformats.org/officeDocument/2006/relationships/hyperlink" Target="about:blank" TargetMode="External"/><Relationship Id="rId763" Type="http://schemas.openxmlformats.org/officeDocument/2006/relationships/hyperlink" Target="https://it.wikipedia.org/wiki/Unione_Calcio_AlbinoLeffe" TargetMode="External"/><Relationship Id="rId1352" Type="http://schemas.openxmlformats.org/officeDocument/2006/relationships/hyperlink" Target="about:blank" TargetMode="External"/><Relationship Id="rId2683" Type="http://schemas.openxmlformats.org/officeDocument/2006/relationships/hyperlink" Target="https://www.rsssf.org/colours/netherlands.html" TargetMode="External"/><Relationship Id="rId29" Type="http://schemas.openxmlformats.org/officeDocument/2006/relationships/hyperlink" Target="https://www.premierleague.com/en/clubs" TargetMode="External"/><Relationship Id="rId762" Type="http://schemas.openxmlformats.org/officeDocument/2006/relationships/hyperlink" Target="about:blank" TargetMode="External"/><Relationship Id="rId1353" Type="http://schemas.openxmlformats.org/officeDocument/2006/relationships/hyperlink" Target="https://en.wikipedia.org/wiki/2026%E2%80%9327_Ligue_2" TargetMode="External"/><Relationship Id="rId2200" Type="http://schemas.openxmlformats.org/officeDocument/2006/relationships/hyperlink" Target="about:blank" TargetMode="External"/><Relationship Id="rId2684" Type="http://schemas.openxmlformats.org/officeDocument/2006/relationships/hyperlink" Target="about:blank" TargetMode="External"/><Relationship Id="rId761" Type="http://schemas.openxmlformats.org/officeDocument/2006/relationships/hyperlink" Target="https://it.blastingnews.com/calcio/2026/07/ultimora-serie-c-svelati-i-gironi-ufficiali-2026-27-004083523.html" TargetMode="External"/><Relationship Id="rId1354" Type="http://schemas.openxmlformats.org/officeDocument/2006/relationships/hyperlink" Target="about:blank" TargetMode="External"/><Relationship Id="rId2201" Type="http://schemas.openxmlformats.org/officeDocument/2006/relationships/hyperlink" Target="https://en.wikipedia.org/wiki/2026%E2%80%9327_Gamma_Ethniki" TargetMode="External"/><Relationship Id="rId2685" Type="http://schemas.openxmlformats.org/officeDocument/2006/relationships/hyperlink" Target="https://www.uefa.com/uefaeuropaleague/clubs/" TargetMode="External"/><Relationship Id="rId760" Type="http://schemas.openxmlformats.org/officeDocument/2006/relationships/hyperlink" Target="about:blank" TargetMode="External"/><Relationship Id="rId1355" Type="http://schemas.openxmlformats.org/officeDocument/2006/relationships/hyperlink" Target="https://www.rsssf.org/colours/france.html" TargetMode="External"/><Relationship Id="rId2202" Type="http://schemas.openxmlformats.org/officeDocument/2006/relationships/hyperlink" Target="about:blank" TargetMode="External"/><Relationship Id="rId2686" Type="http://schemas.openxmlformats.org/officeDocument/2006/relationships/hyperlink" Target="about:blank" TargetMode="External"/><Relationship Id="rId1345" Type="http://schemas.openxmlformats.org/officeDocument/2006/relationships/hyperlink" Target="https://en.wikipedia.org/wiki/2026%E2%80%9327_Ligue_2" TargetMode="External"/><Relationship Id="rId2676" Type="http://schemas.openxmlformats.org/officeDocument/2006/relationships/hyperlink" Target="about:blank" TargetMode="External"/><Relationship Id="rId1346" Type="http://schemas.openxmlformats.org/officeDocument/2006/relationships/hyperlink" Target="about:blank" TargetMode="External"/><Relationship Id="rId2677" Type="http://schemas.openxmlformats.org/officeDocument/2006/relationships/hyperlink" Target="https://www.uefa.com/uefaeuropaleague/clubs/" TargetMode="External"/><Relationship Id="rId1347" Type="http://schemas.openxmlformats.org/officeDocument/2006/relationships/hyperlink" Target="https://fr.wikipedia.org/wiki/Pau_Football_Club" TargetMode="External"/><Relationship Id="rId2678" Type="http://schemas.openxmlformats.org/officeDocument/2006/relationships/hyperlink" Target="about:blank" TargetMode="External"/><Relationship Id="rId1348" Type="http://schemas.openxmlformats.org/officeDocument/2006/relationships/hyperlink" Target="about:blank" TargetMode="External"/><Relationship Id="rId2679" Type="http://schemas.openxmlformats.org/officeDocument/2006/relationships/hyperlink" Target="https://fr.wikipedia.org/wiki/FC_Ararat-Armenia" TargetMode="External"/><Relationship Id="rId11" Type="http://schemas.openxmlformats.org/officeDocument/2006/relationships/hyperlink" Target="https://www.rsssf.org/colours/england.html" TargetMode="External"/><Relationship Id="rId1349" Type="http://schemas.openxmlformats.org/officeDocument/2006/relationships/hyperlink" Target="https://en.wikipedia.org/wiki/2026%E2%80%9327_Ligue_2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premierleague.com/en/clubs" TargetMode="External"/><Relationship Id="rId12" Type="http://schemas.openxmlformats.org/officeDocument/2006/relationships/hyperlink" Target="about:blank" TargetMode="External"/><Relationship Id="rId756" Type="http://schemas.openxmlformats.org/officeDocument/2006/relationships/hyperlink" Target="about:blank" TargetMode="External"/><Relationship Id="rId755" Type="http://schemas.openxmlformats.org/officeDocument/2006/relationships/hyperlink" Target="https://www.rsssf.org/colours/italy.html" TargetMode="External"/><Relationship Id="rId754" Type="http://schemas.openxmlformats.org/officeDocument/2006/relationships/hyperlink" Target="about:blank" TargetMode="External"/><Relationship Id="rId753" Type="http://schemas.openxmlformats.org/officeDocument/2006/relationships/hyperlink" Target="https://sport.virgilio.it/calcio/squadre/" TargetMode="External"/><Relationship Id="rId759" Type="http://schemas.openxmlformats.org/officeDocument/2006/relationships/hyperlink" Target="https://it.wikipedia.org/wiki/Virtus_Entella" TargetMode="External"/><Relationship Id="rId758" Type="http://schemas.openxmlformats.org/officeDocument/2006/relationships/hyperlink" Target="about:blank" TargetMode="External"/><Relationship Id="rId757" Type="http://schemas.openxmlformats.org/officeDocument/2006/relationships/hyperlink" Target="https://sport.virgilio.it/calcio/squadre/" TargetMode="External"/><Relationship Id="rId15" Type="http://schemas.openxmlformats.org/officeDocument/2006/relationships/hyperlink" Target="https://en.wikipedia.org/wiki/AFC_Bournemouth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premierleague.com/en/clubs" TargetMode="External"/><Relationship Id="rId2670" Type="http://schemas.openxmlformats.org/officeDocument/2006/relationships/hyperlink" Target="about:blank" TargetMode="External"/><Relationship Id="rId16" Type="http://schemas.openxmlformats.org/officeDocument/2006/relationships/hyperlink" Target="about:blank" TargetMode="External"/><Relationship Id="rId1340" Type="http://schemas.openxmlformats.org/officeDocument/2006/relationships/hyperlink" Target="about:blank" TargetMode="External"/><Relationship Id="rId2671" Type="http://schemas.openxmlformats.org/officeDocument/2006/relationships/hyperlink" Target="https://www.rsssf.org/colours/spain.html" TargetMode="External"/><Relationship Id="rId19" Type="http://schemas.openxmlformats.org/officeDocument/2006/relationships/hyperlink" Target="https://en.wikipedia.org/wiki/Brentford_F.C." TargetMode="External"/><Relationship Id="rId752" Type="http://schemas.openxmlformats.org/officeDocument/2006/relationships/hyperlink" Target="about:blank" TargetMode="External"/><Relationship Id="rId1341" Type="http://schemas.openxmlformats.org/officeDocument/2006/relationships/hyperlink" Target="https://en.wikipedia.org/wiki/2026%E2%80%9327_Ligue_2" TargetMode="External"/><Relationship Id="rId2672" Type="http://schemas.openxmlformats.org/officeDocument/2006/relationships/hyperlink" Target="about:blank" TargetMode="External"/><Relationship Id="rId18" Type="http://schemas.openxmlformats.org/officeDocument/2006/relationships/hyperlink" Target="about:blank" TargetMode="External"/><Relationship Id="rId751" Type="http://schemas.openxmlformats.org/officeDocument/2006/relationships/hyperlink" Target="https://it.wikipedia.org/wiki/Fussball_Club_S%C3%BCdtirol" TargetMode="External"/><Relationship Id="rId1342" Type="http://schemas.openxmlformats.org/officeDocument/2006/relationships/hyperlink" Target="about:blank" TargetMode="External"/><Relationship Id="rId2673" Type="http://schemas.openxmlformats.org/officeDocument/2006/relationships/hyperlink" Target="https://www.uefa.com/uefaeuropaleague/clubs/" TargetMode="External"/><Relationship Id="rId750" Type="http://schemas.openxmlformats.org/officeDocument/2006/relationships/hyperlink" Target="about:blank" TargetMode="External"/><Relationship Id="rId1343" Type="http://schemas.openxmlformats.org/officeDocument/2006/relationships/hyperlink" Target="https://www.rsssf.org/colours/france.html" TargetMode="External"/><Relationship Id="rId2674" Type="http://schemas.openxmlformats.org/officeDocument/2006/relationships/hyperlink" Target="about:blank" TargetMode="External"/><Relationship Id="rId1344" Type="http://schemas.openxmlformats.org/officeDocument/2006/relationships/hyperlink" Target="about:blank" TargetMode="External"/><Relationship Id="rId2675" Type="http://schemas.openxmlformats.org/officeDocument/2006/relationships/hyperlink" Target="https://www.rsssf.org/colours/belgium.html" TargetMode="External"/><Relationship Id="rId84" Type="http://schemas.openxmlformats.org/officeDocument/2006/relationships/hyperlink" Target="about:blank" TargetMode="External"/><Relationship Id="rId1774" Type="http://schemas.openxmlformats.org/officeDocument/2006/relationships/hyperlink" Target="about:blank" TargetMode="External"/><Relationship Id="rId262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3" Type="http://schemas.openxmlformats.org/officeDocument/2006/relationships/hyperlink" Target="https://www.rsssf.org/colours/england.html" TargetMode="External"/><Relationship Id="rId1775" Type="http://schemas.openxmlformats.org/officeDocument/2006/relationships/hyperlink" Target="about:blank" TargetMode="External"/><Relationship Id="rId2622" Type="http://schemas.openxmlformats.org/officeDocument/2006/relationships/hyperlink" Target="about:blank" TargetMode="External"/><Relationship Id="rId86" Type="http://schemas.openxmlformats.org/officeDocument/2006/relationships/hyperlink" Target="about:blank" TargetMode="External"/><Relationship Id="rId1776" Type="http://schemas.openxmlformats.org/officeDocument/2006/relationships/hyperlink" Target="https://liga2.prosport.ro/liga-3/componenta-seriilor-noului-sezon-de-liga-3-editia-2026-2027-19397075" TargetMode="External"/><Relationship Id="rId2623" Type="http://schemas.openxmlformats.org/officeDocument/2006/relationships/hyperlink" Target="https://www.rsssf.org/colours/netherlands.html" TargetMode="External"/><Relationship Id="rId85" Type="http://schemas.openxmlformats.org/officeDocument/2006/relationships/hyperlink" Target="https://www.efl.com/news/2026/august/22/sky-bet-championship-results--table---stats/" TargetMode="External"/><Relationship Id="rId1777" Type="http://schemas.openxmlformats.org/officeDocument/2006/relationships/hyperlink" Target="about:blank" TargetMode="External"/><Relationship Id="rId2624" Type="http://schemas.openxmlformats.org/officeDocument/2006/relationships/hyperlink" Target="about:blank" TargetMode="External"/><Relationship Id="rId88" Type="http://schemas.openxmlformats.org/officeDocument/2006/relationships/hyperlink" Target="about:blank" TargetMode="External"/><Relationship Id="rId1778" Type="http://schemas.openxmlformats.org/officeDocument/2006/relationships/hyperlink" Target="about:blank" TargetMode="External"/><Relationship Id="rId262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7" Type="http://schemas.openxmlformats.org/officeDocument/2006/relationships/hyperlink" Target="https://www.rsssf.org/colours/england.html" TargetMode="External"/><Relationship Id="rId1779" Type="http://schemas.openxmlformats.org/officeDocument/2006/relationships/hyperlink" Target="https://liga2.prosport.ro/liga-3/componenta-seriilor-noului-sezon-de-liga-3-editia-2026-2027-19397075" TargetMode="External"/><Relationship Id="rId2626" Type="http://schemas.openxmlformats.org/officeDocument/2006/relationships/hyperlink" Target="about:blank" TargetMode="External"/><Relationship Id="rId2627" Type="http://schemas.openxmlformats.org/officeDocument/2006/relationships/hyperlink" Target="https://de.wikipedia.org/wiki/RB_Leipzig" TargetMode="External"/><Relationship Id="rId89" Type="http://schemas.openxmlformats.org/officeDocument/2006/relationships/hyperlink" Target="https://www.efl.com/news/2026/august/22/sky-bet-championship-results--table---stats/" TargetMode="External"/><Relationship Id="rId2628" Type="http://schemas.openxmlformats.org/officeDocument/2006/relationships/hyperlink" Target="about:blank" TargetMode="External"/><Relationship Id="rId709" Type="http://schemas.openxmlformats.org/officeDocument/2006/relationships/hyperlink" Target="https://sport.virgilio.it/calcio/squadre/" TargetMode="External"/><Relationship Id="rId262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08" Type="http://schemas.openxmlformats.org/officeDocument/2006/relationships/hyperlink" Target="about:blank" TargetMode="External"/><Relationship Id="rId707" Type="http://schemas.openxmlformats.org/officeDocument/2006/relationships/hyperlink" Target="https://www.rsssf.org/colours/italy.html" TargetMode="External"/><Relationship Id="rId706" Type="http://schemas.openxmlformats.org/officeDocument/2006/relationships/hyperlink" Target="about:blank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premierleague.com/en/clubs" TargetMode="External"/><Relationship Id="rId701" Type="http://schemas.openxmlformats.org/officeDocument/2006/relationships/hyperlink" Target="https://sport.virgilio.it/calcio/squadre/" TargetMode="External"/><Relationship Id="rId700" Type="http://schemas.openxmlformats.org/officeDocument/2006/relationships/hyperlink" Target="about:blank" TargetMode="External"/><Relationship Id="rId705" Type="http://schemas.openxmlformats.org/officeDocument/2006/relationships/hyperlink" Target="https://sport.virgilio.it/calcio/squadre/" TargetMode="External"/><Relationship Id="rId704" Type="http://schemas.openxmlformats.org/officeDocument/2006/relationships/hyperlink" Target="about:blank" TargetMode="External"/><Relationship Id="rId703" Type="http://schemas.openxmlformats.org/officeDocument/2006/relationships/hyperlink" Target="https://it.wikipedia.org/wiki/Unione_Sportiva_Catanzaro_1929" TargetMode="External"/><Relationship Id="rId702" Type="http://schemas.openxmlformats.org/officeDocument/2006/relationships/hyperlink" Target="about:blank" TargetMode="External"/><Relationship Id="rId1770" Type="http://schemas.openxmlformats.org/officeDocument/2006/relationships/hyperlink" Target="https://liga2.prosport.ro/liga-3/componenta-seriilor-noului-sezon-de-liga-3-editia-2026-2027-19397075" TargetMode="External"/><Relationship Id="rId1771" Type="http://schemas.openxmlformats.org/officeDocument/2006/relationships/hyperlink" Target="about:blank" TargetMode="External"/><Relationship Id="rId1772" Type="http://schemas.openxmlformats.org/officeDocument/2006/relationships/hyperlink" Target="about:blank" TargetMode="External"/><Relationship Id="rId1773" Type="http://schemas.openxmlformats.org/officeDocument/2006/relationships/hyperlink" Target="https://liga2.prosport.ro/liga-3/componenta-seriilor-noului-sezon-de-liga-3-editia-2026-2027-19397075" TargetMode="External"/><Relationship Id="rId2620" Type="http://schemas.openxmlformats.org/officeDocument/2006/relationships/hyperlink" Target="about:blank" TargetMode="External"/><Relationship Id="rId73" Type="http://schemas.openxmlformats.org/officeDocument/2006/relationships/hyperlink" Target="https://www.premierleague.com/en/clubs" TargetMode="External"/><Relationship Id="rId1763" Type="http://schemas.openxmlformats.org/officeDocument/2006/relationships/hyperlink" Target="about:blank" TargetMode="External"/><Relationship Id="rId2610" Type="http://schemas.openxmlformats.org/officeDocument/2006/relationships/hyperlink" Target="about:blank" TargetMode="External"/><Relationship Id="rId72" Type="http://schemas.openxmlformats.org/officeDocument/2006/relationships/hyperlink" Target="about:blank" TargetMode="External"/><Relationship Id="rId1764" Type="http://schemas.openxmlformats.org/officeDocument/2006/relationships/hyperlink" Target="https://liga2.prosport.ro/liga-3/componenta-seriilor-noului-sezon-de-liga-3-editia-2026-2027-19397075" TargetMode="External"/><Relationship Id="rId2611" Type="http://schemas.openxmlformats.org/officeDocument/2006/relationships/hyperlink" Target="https://www.rsssf.org/colours/italy.html" TargetMode="External"/><Relationship Id="rId75" Type="http://schemas.openxmlformats.org/officeDocument/2006/relationships/hyperlink" Target="https://www.rsssf.org/colours/england.html" TargetMode="External"/><Relationship Id="rId1765" Type="http://schemas.openxmlformats.org/officeDocument/2006/relationships/hyperlink" Target="about:blank" TargetMode="External"/><Relationship Id="rId2612" Type="http://schemas.openxmlformats.org/officeDocument/2006/relationships/hyperlink" Target="about:blank" TargetMode="External"/><Relationship Id="rId74" Type="http://schemas.openxmlformats.org/officeDocument/2006/relationships/hyperlink" Target="about:blank" TargetMode="External"/><Relationship Id="rId1766" Type="http://schemas.openxmlformats.org/officeDocument/2006/relationships/hyperlink" Target="about:blank" TargetMode="External"/><Relationship Id="rId261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7" Type="http://schemas.openxmlformats.org/officeDocument/2006/relationships/hyperlink" Target="https://www.premierleague.com/en/clubs" TargetMode="External"/><Relationship Id="rId1767" Type="http://schemas.openxmlformats.org/officeDocument/2006/relationships/hyperlink" Target="https://liga2.prosport.ro/liga-3/componenta-seriilor-noului-sezon-de-liga-3-editia-2026-2027-19397075" TargetMode="External"/><Relationship Id="rId2614" Type="http://schemas.openxmlformats.org/officeDocument/2006/relationships/hyperlink" Target="about:blank" TargetMode="External"/><Relationship Id="rId76" Type="http://schemas.openxmlformats.org/officeDocument/2006/relationships/hyperlink" Target="about:blank" TargetMode="External"/><Relationship Id="rId1768" Type="http://schemas.openxmlformats.org/officeDocument/2006/relationships/hyperlink" Target="about:blank" TargetMode="External"/><Relationship Id="rId2615" Type="http://schemas.openxmlformats.org/officeDocument/2006/relationships/hyperlink" Target="https://www.rsssf.org/colours/france.html" TargetMode="External"/><Relationship Id="rId79" Type="http://schemas.openxmlformats.org/officeDocument/2006/relationships/hyperlink" Target="https://www.rsssf.org/colours/england.html" TargetMode="External"/><Relationship Id="rId1769" Type="http://schemas.openxmlformats.org/officeDocument/2006/relationships/hyperlink" Target="about:blank" TargetMode="External"/><Relationship Id="rId2616" Type="http://schemas.openxmlformats.org/officeDocument/2006/relationships/hyperlink" Target="about:blank" TargetMode="External"/><Relationship Id="rId78" Type="http://schemas.openxmlformats.org/officeDocument/2006/relationships/hyperlink" Target="about:blank" TargetMode="External"/><Relationship Id="rId261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2618" Type="http://schemas.openxmlformats.org/officeDocument/2006/relationships/hyperlink" Target="about:blank" TargetMode="External"/><Relationship Id="rId2619" Type="http://schemas.openxmlformats.org/officeDocument/2006/relationships/hyperlink" Target="https://www.rsssf.org/colours/portugal.html" TargetMode="External"/><Relationship Id="rId71" Type="http://schemas.openxmlformats.org/officeDocument/2006/relationships/hyperlink" Target="https://www.rsssf.org/colours/england.html" TargetMode="External"/><Relationship Id="rId70" Type="http://schemas.openxmlformats.org/officeDocument/2006/relationships/hyperlink" Target="about:blank" TargetMode="External"/><Relationship Id="rId1760" Type="http://schemas.openxmlformats.org/officeDocument/2006/relationships/hyperlink" Target="about:blank" TargetMode="External"/><Relationship Id="rId1761" Type="http://schemas.openxmlformats.org/officeDocument/2006/relationships/hyperlink" Target="https://liga2.prosport.ro/liga-3/componenta-seriilor-noului-sezon-de-liga-3-editia-2026-2027-19397075" TargetMode="External"/><Relationship Id="rId1762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1312" Type="http://schemas.openxmlformats.org/officeDocument/2006/relationships/hyperlink" Target="about:blank" TargetMode="External"/><Relationship Id="rId1796" Type="http://schemas.openxmlformats.org/officeDocument/2006/relationships/hyperlink" Target="https://liga2.prosport.ro/liga-3/componenta-seriilor-noului-sezon-de-liga-3-editia-2026-2027-19397075" TargetMode="External"/><Relationship Id="rId2643" Type="http://schemas.openxmlformats.org/officeDocument/2006/relationships/hyperlink" Target="https://en.wikipedia.org/wiki/Sabah_FK_(Azerbaijan)" TargetMode="External"/><Relationship Id="rId61" Type="http://schemas.openxmlformats.org/officeDocument/2006/relationships/hyperlink" Target="https://www.premierleague.com/en/clubs" TargetMode="External"/><Relationship Id="rId1313" Type="http://schemas.openxmlformats.org/officeDocument/2006/relationships/hyperlink" Target="https://en.wikipedia.org/wiki/2026%E2%80%9327_Ligue_2" TargetMode="External"/><Relationship Id="rId1797" Type="http://schemas.openxmlformats.org/officeDocument/2006/relationships/hyperlink" Target="about:blank" TargetMode="External"/><Relationship Id="rId2644" Type="http://schemas.openxmlformats.org/officeDocument/2006/relationships/hyperlink" Target="about:blank" TargetMode="External"/><Relationship Id="rId64" Type="http://schemas.openxmlformats.org/officeDocument/2006/relationships/hyperlink" Target="about:blank" TargetMode="External"/><Relationship Id="rId1314" Type="http://schemas.openxmlformats.org/officeDocument/2006/relationships/hyperlink" Target="about:blank" TargetMode="External"/><Relationship Id="rId1798" Type="http://schemas.openxmlformats.org/officeDocument/2006/relationships/hyperlink" Target="https://en.wikipedia.org/wiki/ACS_Minerul_Lupeni" TargetMode="External"/><Relationship Id="rId264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63" Type="http://schemas.openxmlformats.org/officeDocument/2006/relationships/hyperlink" Target="https://www.rsssf.org/colours/england.html" TargetMode="External"/><Relationship Id="rId1315" Type="http://schemas.openxmlformats.org/officeDocument/2006/relationships/hyperlink" Target="https://www.rsssf.org/colours/france.html" TargetMode="External"/><Relationship Id="rId1799" Type="http://schemas.openxmlformats.org/officeDocument/2006/relationships/hyperlink" Target="about:blank" TargetMode="External"/><Relationship Id="rId2646" Type="http://schemas.openxmlformats.org/officeDocument/2006/relationships/hyperlink" Target="about:blank" TargetMode="External"/><Relationship Id="rId66" Type="http://schemas.openxmlformats.org/officeDocument/2006/relationships/hyperlink" Target="about:blank" TargetMode="External"/><Relationship Id="rId1316" Type="http://schemas.openxmlformats.org/officeDocument/2006/relationships/hyperlink" Target="about:blank" TargetMode="External"/><Relationship Id="rId2647" Type="http://schemas.openxmlformats.org/officeDocument/2006/relationships/hyperlink" Target="https://fr.wikipedia.org/wiki/Chakhtar_Donetsk" TargetMode="External"/><Relationship Id="rId65" Type="http://schemas.openxmlformats.org/officeDocument/2006/relationships/hyperlink" Target="https://www.premierleague.com/en/clubs" TargetMode="External"/><Relationship Id="rId1317" Type="http://schemas.openxmlformats.org/officeDocument/2006/relationships/hyperlink" Target="https://en.wikipedia.org/wiki/2026%E2%80%9327_Ligue_2" TargetMode="External"/><Relationship Id="rId2648" Type="http://schemas.openxmlformats.org/officeDocument/2006/relationships/hyperlink" Target="about:blank" TargetMode="External"/><Relationship Id="rId68" Type="http://schemas.openxmlformats.org/officeDocument/2006/relationships/hyperlink" Target="about:blank" TargetMode="External"/><Relationship Id="rId1318" Type="http://schemas.openxmlformats.org/officeDocument/2006/relationships/hyperlink" Target="about:blank" TargetMode="External"/><Relationship Id="rId264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67" Type="http://schemas.openxmlformats.org/officeDocument/2006/relationships/hyperlink" Target="https://www.rsssf.org/colours/england.html" TargetMode="External"/><Relationship Id="rId1319" Type="http://schemas.openxmlformats.org/officeDocument/2006/relationships/hyperlink" Target="https://fr.wikipedia.org/wiki/Grenoble_Foot_38" TargetMode="External"/><Relationship Id="rId729" Type="http://schemas.openxmlformats.org/officeDocument/2006/relationships/hyperlink" Target="https://sport.virgilio.it/calcio/squadre/" TargetMode="External"/><Relationship Id="rId728" Type="http://schemas.openxmlformats.org/officeDocument/2006/relationships/hyperlink" Target="about:blank" TargetMode="External"/><Relationship Id="rId60" Type="http://schemas.openxmlformats.org/officeDocument/2006/relationships/hyperlink" Target="about:blank" TargetMode="External"/><Relationship Id="rId723" Type="http://schemas.openxmlformats.org/officeDocument/2006/relationships/hyperlink" Target="https://it.wikipedia.org/wiki/Societ%C3%A0_Sportiva_Juve_Stabia" TargetMode="External"/><Relationship Id="rId722" Type="http://schemas.openxmlformats.org/officeDocument/2006/relationships/hyperlink" Target="about:blank" TargetMode="External"/><Relationship Id="rId721" Type="http://schemas.openxmlformats.org/officeDocument/2006/relationships/hyperlink" Target="https://sport.virgilio.it/calcio/squadre/" TargetMode="External"/><Relationship Id="rId720" Type="http://schemas.openxmlformats.org/officeDocument/2006/relationships/hyperlink" Target="about:blank" TargetMode="External"/><Relationship Id="rId727" Type="http://schemas.openxmlformats.org/officeDocument/2006/relationships/hyperlink" Target="https://it.wikipedia.org/wiki/Mantova_1911" TargetMode="External"/><Relationship Id="rId726" Type="http://schemas.openxmlformats.org/officeDocument/2006/relationships/hyperlink" Target="about:blank" TargetMode="External"/><Relationship Id="rId725" Type="http://schemas.openxmlformats.org/officeDocument/2006/relationships/hyperlink" Target="https://sport.virgilio.it/calcio/squadre/" TargetMode="External"/><Relationship Id="rId724" Type="http://schemas.openxmlformats.org/officeDocument/2006/relationships/hyperlink" Target="about:blank" TargetMode="External"/><Relationship Id="rId69" Type="http://schemas.openxmlformats.org/officeDocument/2006/relationships/hyperlink" Target="https://www.premierleague.com/en/clubs" TargetMode="External"/><Relationship Id="rId1790" Type="http://schemas.openxmlformats.org/officeDocument/2006/relationships/hyperlink" Target="about:blank" TargetMode="External"/><Relationship Id="rId1791" Type="http://schemas.openxmlformats.org/officeDocument/2006/relationships/hyperlink" Target="about:blank" TargetMode="External"/><Relationship Id="rId1792" Type="http://schemas.openxmlformats.org/officeDocument/2006/relationships/hyperlink" Target="https://liga2.prosport.ro/liga-3/componenta-seriilor-noului-sezon-de-liga-3-editia-2026-2027-19397075" TargetMode="External"/><Relationship Id="rId1793" Type="http://schemas.openxmlformats.org/officeDocument/2006/relationships/hyperlink" Target="about:blank" TargetMode="External"/><Relationship Id="rId2640" Type="http://schemas.openxmlformats.org/officeDocument/2006/relationships/hyperlink" Target="about:blank" TargetMode="External"/><Relationship Id="rId1310" Type="http://schemas.openxmlformats.org/officeDocument/2006/relationships/hyperlink" Target="about:blank" TargetMode="External"/><Relationship Id="rId1794" Type="http://schemas.openxmlformats.org/officeDocument/2006/relationships/hyperlink" Target="https://en.wikipedia.org/wiki/CSM_Jiul_Petro%C8%99ani" TargetMode="External"/><Relationship Id="rId264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311" Type="http://schemas.openxmlformats.org/officeDocument/2006/relationships/hyperlink" Target="https://fr.wikipedia.org/wiki/Dijon_Football_C%C3%B4te-d%27Or" TargetMode="External"/><Relationship Id="rId1795" Type="http://schemas.openxmlformats.org/officeDocument/2006/relationships/hyperlink" Target="about:blank" TargetMode="External"/><Relationship Id="rId2642" Type="http://schemas.openxmlformats.org/officeDocument/2006/relationships/hyperlink" Target="about:blank" TargetMode="External"/><Relationship Id="rId51" Type="http://schemas.openxmlformats.org/officeDocument/2006/relationships/hyperlink" Target="https://www.rsssf.org/colours/england.html" TargetMode="External"/><Relationship Id="rId1301" Type="http://schemas.openxmlformats.org/officeDocument/2006/relationships/hyperlink" Target="https://en.wikipedia.org/wiki/2026%E2%80%9327_Ligue_2" TargetMode="External"/><Relationship Id="rId1785" Type="http://schemas.openxmlformats.org/officeDocument/2006/relationships/hyperlink" Target="about:blank" TargetMode="External"/><Relationship Id="rId2632" Type="http://schemas.openxmlformats.org/officeDocument/2006/relationships/hyperlink" Target="about:blank" TargetMode="External"/><Relationship Id="rId50" Type="http://schemas.openxmlformats.org/officeDocument/2006/relationships/hyperlink" Target="about:blank" TargetMode="External"/><Relationship Id="rId1302" Type="http://schemas.openxmlformats.org/officeDocument/2006/relationships/hyperlink" Target="about:blank" TargetMode="External"/><Relationship Id="rId1786" Type="http://schemas.openxmlformats.org/officeDocument/2006/relationships/hyperlink" Target="https://liga2.prosport.ro/liga-3/componenta-seriilor-noului-sezon-de-liga-3-editia-2026-2027-19397075" TargetMode="External"/><Relationship Id="rId26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3" Type="http://schemas.openxmlformats.org/officeDocument/2006/relationships/hyperlink" Target="https://www.premierleague.com/en/clubs" TargetMode="External"/><Relationship Id="rId1303" Type="http://schemas.openxmlformats.org/officeDocument/2006/relationships/hyperlink" Target="https://fr.wikipedia.org/wiki/Union_sportive_Boulogne_C%C3%B4te_d%27Opale" TargetMode="External"/><Relationship Id="rId1787" Type="http://schemas.openxmlformats.org/officeDocument/2006/relationships/hyperlink" Target="about:blank" TargetMode="External"/><Relationship Id="rId2634" Type="http://schemas.openxmlformats.org/officeDocument/2006/relationships/hyperlink" Target="about:blank" TargetMode="External"/><Relationship Id="rId52" Type="http://schemas.openxmlformats.org/officeDocument/2006/relationships/hyperlink" Target="about:blank" TargetMode="External"/><Relationship Id="rId1304" Type="http://schemas.openxmlformats.org/officeDocument/2006/relationships/hyperlink" Target="about:blank" TargetMode="External"/><Relationship Id="rId1788" Type="http://schemas.openxmlformats.org/officeDocument/2006/relationships/hyperlink" Target="about:blank" TargetMode="External"/><Relationship Id="rId2635" Type="http://schemas.openxmlformats.org/officeDocument/2006/relationships/hyperlink" Target="https://www.rsssf.org/colours/spain.html" TargetMode="External"/><Relationship Id="rId55" Type="http://schemas.openxmlformats.org/officeDocument/2006/relationships/hyperlink" Target="https://www.rsssf.org/colours/england.html" TargetMode="External"/><Relationship Id="rId1305" Type="http://schemas.openxmlformats.org/officeDocument/2006/relationships/hyperlink" Target="https://en.wikipedia.org/wiki/2026%E2%80%9327_Ligue_2" TargetMode="External"/><Relationship Id="rId1789" Type="http://schemas.openxmlformats.org/officeDocument/2006/relationships/hyperlink" Target="https://liga2.prosport.ro/liga-3/componenta-seriilor-noului-sezon-de-liga-3-editia-2026-2027-19397075" TargetMode="External"/><Relationship Id="rId2636" Type="http://schemas.openxmlformats.org/officeDocument/2006/relationships/hyperlink" Target="about:blank" TargetMode="External"/><Relationship Id="rId54" Type="http://schemas.openxmlformats.org/officeDocument/2006/relationships/hyperlink" Target="about:blank" TargetMode="External"/><Relationship Id="rId1306" Type="http://schemas.openxmlformats.org/officeDocument/2006/relationships/hyperlink" Target="about:blank" TargetMode="External"/><Relationship Id="rId263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7" Type="http://schemas.openxmlformats.org/officeDocument/2006/relationships/hyperlink" Target="https://www.premierleague.com/en/clubs" TargetMode="External"/><Relationship Id="rId1307" Type="http://schemas.openxmlformats.org/officeDocument/2006/relationships/hyperlink" Target="https://fr.wikipedia.org/wiki/Clermont_Foot_63" TargetMode="External"/><Relationship Id="rId2638" Type="http://schemas.openxmlformats.org/officeDocument/2006/relationships/hyperlink" Target="about:blank" TargetMode="External"/><Relationship Id="rId56" Type="http://schemas.openxmlformats.org/officeDocument/2006/relationships/hyperlink" Target="about:blank" TargetMode="External"/><Relationship Id="rId1308" Type="http://schemas.openxmlformats.org/officeDocument/2006/relationships/hyperlink" Target="about:blank" TargetMode="External"/><Relationship Id="rId2639" Type="http://schemas.openxmlformats.org/officeDocument/2006/relationships/hyperlink" Target="https://www.rsssf.org/colours/italy.html" TargetMode="External"/><Relationship Id="rId1309" Type="http://schemas.openxmlformats.org/officeDocument/2006/relationships/hyperlink" Target="https://en.wikipedia.org/wiki/2026%E2%80%9327_Ligue_2" TargetMode="External"/><Relationship Id="rId719" Type="http://schemas.openxmlformats.org/officeDocument/2006/relationships/hyperlink" Target="https://www.rsssf.org/colours/italy.html" TargetMode="External"/><Relationship Id="rId718" Type="http://schemas.openxmlformats.org/officeDocument/2006/relationships/hyperlink" Target="about:blank" TargetMode="External"/><Relationship Id="rId717" Type="http://schemas.openxmlformats.org/officeDocument/2006/relationships/hyperlink" Target="https://sport.virgilio.it/calcio/squadre/" TargetMode="External"/><Relationship Id="rId712" Type="http://schemas.openxmlformats.org/officeDocument/2006/relationships/hyperlink" Target="about:blank" TargetMode="External"/><Relationship Id="rId711" Type="http://schemas.openxmlformats.org/officeDocument/2006/relationships/hyperlink" Target="https://www.rsssf.org/colours/italy.html" TargetMode="External"/><Relationship Id="rId710" Type="http://schemas.openxmlformats.org/officeDocument/2006/relationships/hyperlink" Target="about:blank" TargetMode="External"/><Relationship Id="rId716" Type="http://schemas.openxmlformats.org/officeDocument/2006/relationships/hyperlink" Target="about:blank" TargetMode="External"/><Relationship Id="rId715" Type="http://schemas.openxmlformats.org/officeDocument/2006/relationships/hyperlink" Target="https://it.wikipedia.org/wiki/Empoli_Football_Club" TargetMode="External"/><Relationship Id="rId714" Type="http://schemas.openxmlformats.org/officeDocument/2006/relationships/hyperlink" Target="about:blank" TargetMode="External"/><Relationship Id="rId713" Type="http://schemas.openxmlformats.org/officeDocument/2006/relationships/hyperlink" Target="https://sport.virgilio.it/calcio/squadre/" TargetMode="External"/><Relationship Id="rId59" Type="http://schemas.openxmlformats.org/officeDocument/2006/relationships/hyperlink" Target="https://en.wikipedia.org/wiki/Liverpool_F.C." TargetMode="External"/><Relationship Id="rId58" Type="http://schemas.openxmlformats.org/officeDocument/2006/relationships/hyperlink" Target="about:blank" TargetMode="External"/><Relationship Id="rId1780" Type="http://schemas.openxmlformats.org/officeDocument/2006/relationships/hyperlink" Target="about:blank" TargetMode="External"/><Relationship Id="rId1781" Type="http://schemas.openxmlformats.org/officeDocument/2006/relationships/hyperlink" Target="https://en.wikipedia.org/wiki/CSO_Filia%C8%99i" TargetMode="External"/><Relationship Id="rId1782" Type="http://schemas.openxmlformats.org/officeDocument/2006/relationships/hyperlink" Target="about:blank" TargetMode="External"/><Relationship Id="rId1783" Type="http://schemas.openxmlformats.org/officeDocument/2006/relationships/hyperlink" Target="https://liga2.prosport.ro/liga-3/componenta-seriilor-noului-sezon-de-liga-3-editia-2026-2027-19397075" TargetMode="External"/><Relationship Id="rId2630" Type="http://schemas.openxmlformats.org/officeDocument/2006/relationships/hyperlink" Target="about:blank" TargetMode="External"/><Relationship Id="rId1300" Type="http://schemas.openxmlformats.org/officeDocument/2006/relationships/hyperlink" Target="about:blank" TargetMode="External"/><Relationship Id="rId1784" Type="http://schemas.openxmlformats.org/officeDocument/2006/relationships/hyperlink" Target="about:blank" TargetMode="External"/><Relationship Id="rId2631" Type="http://schemas.openxmlformats.org/officeDocument/2006/relationships/hyperlink" Target="https://www.rsssf.org/colours/spain.html" TargetMode="External"/><Relationship Id="rId2269" Type="http://schemas.openxmlformats.org/officeDocument/2006/relationships/hyperlink" Target="about:blank" TargetMode="External"/><Relationship Id="rId349" Type="http://schemas.openxmlformats.org/officeDocument/2006/relationships/hyperlink" Target="https://www.laliga.com/en-GB/laliga-easports/clubs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www.rsssf.org/colours/spain.html" TargetMode="External"/><Relationship Id="rId346" Type="http://schemas.openxmlformats.org/officeDocument/2006/relationships/hyperlink" Target="about:blank" TargetMode="External"/><Relationship Id="rId2260" Type="http://schemas.openxmlformats.org/officeDocument/2006/relationships/hyperlink" Target="https://www.epo.gr/el/competition/3/stage/1407/group/2072/matches" TargetMode="External"/><Relationship Id="rId341" Type="http://schemas.openxmlformats.org/officeDocument/2006/relationships/hyperlink" Target="https://www.laliga.com/en-GB/laliga-easports/clubs" TargetMode="External"/><Relationship Id="rId2261" Type="http://schemas.openxmlformats.org/officeDocument/2006/relationships/hyperlink" Target="about:blank" TargetMode="External"/><Relationship Id="rId340" Type="http://schemas.openxmlformats.org/officeDocument/2006/relationships/hyperlink" Target="about:blank" TargetMode="External"/><Relationship Id="rId2262" Type="http://schemas.openxmlformats.org/officeDocument/2006/relationships/hyperlink" Target="about:blank" TargetMode="External"/><Relationship Id="rId2263" Type="http://schemas.openxmlformats.org/officeDocument/2006/relationships/hyperlink" Target="https://www.epo.gr/el/competition/3/stage/1407/group/2072/matches" TargetMode="External"/><Relationship Id="rId2264" Type="http://schemas.openxmlformats.org/officeDocument/2006/relationships/hyperlink" Target="about:blank" TargetMode="External"/><Relationship Id="rId345" Type="http://schemas.openxmlformats.org/officeDocument/2006/relationships/hyperlink" Target="https://www.laliga.com/en-GB/laliga-easports/clubs" TargetMode="External"/><Relationship Id="rId2265" Type="http://schemas.openxmlformats.org/officeDocument/2006/relationships/hyperlink" Target="about:blank" TargetMode="External"/><Relationship Id="rId344" Type="http://schemas.openxmlformats.org/officeDocument/2006/relationships/hyperlink" Target="about:blank" TargetMode="External"/><Relationship Id="rId2266" Type="http://schemas.openxmlformats.org/officeDocument/2006/relationships/hyperlink" Target="https://www.epo.gr/el/competition/3/stage/1407/group/2072/matches" TargetMode="External"/><Relationship Id="rId343" Type="http://schemas.openxmlformats.org/officeDocument/2006/relationships/hyperlink" Target="https://www.rsssf.org/colours/spain.html" TargetMode="External"/><Relationship Id="rId2267" Type="http://schemas.openxmlformats.org/officeDocument/2006/relationships/hyperlink" Target="about:blank" TargetMode="External"/><Relationship Id="rId342" Type="http://schemas.openxmlformats.org/officeDocument/2006/relationships/hyperlink" Target="about:blank" TargetMode="External"/><Relationship Id="rId2268" Type="http://schemas.openxmlformats.org/officeDocument/2006/relationships/hyperlink" Target="https://www.rsssf.org/colours/greece.html" TargetMode="External"/><Relationship Id="rId2258" Type="http://schemas.openxmlformats.org/officeDocument/2006/relationships/hyperlink" Target="about:blank" TargetMode="External"/><Relationship Id="rId2259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www.laliga.com/en-GB/laliga-easports/clubs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https://www.rsssf.org/colours/spain.html" TargetMode="External"/><Relationship Id="rId339" Type="http://schemas.openxmlformats.org/officeDocument/2006/relationships/hyperlink" Target="https://www.rsssf.org/colours/spain.html" TargetMode="External"/><Relationship Id="rId330" Type="http://schemas.openxmlformats.org/officeDocument/2006/relationships/hyperlink" Target="about:blank" TargetMode="External"/><Relationship Id="rId2250" Type="http://schemas.openxmlformats.org/officeDocument/2006/relationships/hyperlink" Target="https://www.epo.gr/el/competition/3/stage/1407/group/2072/matches" TargetMode="External"/><Relationship Id="rId2251" Type="http://schemas.openxmlformats.org/officeDocument/2006/relationships/hyperlink" Target="about:blank" TargetMode="External"/><Relationship Id="rId2252" Type="http://schemas.openxmlformats.org/officeDocument/2006/relationships/hyperlink" Target="https://www.rsssf.org/colours/greece.html" TargetMode="External"/><Relationship Id="rId2253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2254" Type="http://schemas.openxmlformats.org/officeDocument/2006/relationships/hyperlink" Target="https://www.epo.gr/el/competition/3/stage/1407/group/2072/matches" TargetMode="External"/><Relationship Id="rId333" Type="http://schemas.openxmlformats.org/officeDocument/2006/relationships/hyperlink" Target="https://www.laliga.com/en-GB/laliga-easports/clubs" TargetMode="External"/><Relationship Id="rId2255" Type="http://schemas.openxmlformats.org/officeDocument/2006/relationships/hyperlink" Target="about:blank" TargetMode="External"/><Relationship Id="rId332" Type="http://schemas.openxmlformats.org/officeDocument/2006/relationships/hyperlink" Target="about:blank" TargetMode="External"/><Relationship Id="rId2256" Type="http://schemas.openxmlformats.org/officeDocument/2006/relationships/hyperlink" Target="about:blank" TargetMode="External"/><Relationship Id="rId331" Type="http://schemas.openxmlformats.org/officeDocument/2006/relationships/hyperlink" Target="https://www.rsssf.org/colours/spain.html" TargetMode="External"/><Relationship Id="rId2257" Type="http://schemas.openxmlformats.org/officeDocument/2006/relationships/hyperlink" Target="https://www.epo.gr/el/competition/3/stage/1407/group/2072/matches" TargetMode="External"/><Relationship Id="rId370" Type="http://schemas.openxmlformats.org/officeDocument/2006/relationships/hyperlink" Target="about:blank" TargetMode="External"/><Relationship Id="rId369" Type="http://schemas.openxmlformats.org/officeDocument/2006/relationships/hyperlink" Target="https://www.laliga.com/en-GB/laliga-hypermotion/clubs" TargetMode="External"/><Relationship Id="rId368" Type="http://schemas.openxmlformats.org/officeDocument/2006/relationships/hyperlink" Target="about:blank" TargetMode="External"/><Relationship Id="rId2280" Type="http://schemas.openxmlformats.org/officeDocument/2006/relationships/hyperlink" Target="about:blank" TargetMode="External"/><Relationship Id="rId2281" Type="http://schemas.openxmlformats.org/officeDocument/2006/relationships/hyperlink" Target="https://www.rsssf.org/colours/greece.html" TargetMode="External"/><Relationship Id="rId2282" Type="http://schemas.openxmlformats.org/officeDocument/2006/relationships/hyperlink" Target="about:blank" TargetMode="External"/><Relationship Id="rId363" Type="http://schemas.openxmlformats.org/officeDocument/2006/relationships/hyperlink" Target="https://fr.wikipedia.org/wiki/Albacete_Balompi%C3%A9" TargetMode="External"/><Relationship Id="rId2283" Type="http://schemas.openxmlformats.org/officeDocument/2006/relationships/hyperlink" Target="https://www.soccerway.com/greece/gamma-ethniki-group-8/" TargetMode="External"/><Relationship Id="rId362" Type="http://schemas.openxmlformats.org/officeDocument/2006/relationships/hyperlink" Target="about:blank" TargetMode="External"/><Relationship Id="rId2284" Type="http://schemas.openxmlformats.org/officeDocument/2006/relationships/hyperlink" Target="about:blank" TargetMode="External"/><Relationship Id="rId361" Type="http://schemas.openxmlformats.org/officeDocument/2006/relationships/hyperlink" Target="https://www.laliga.com/en-GB/laliga-hypermotion/clubs" TargetMode="External"/><Relationship Id="rId2285" Type="http://schemas.openxmlformats.org/officeDocument/2006/relationships/hyperlink" Target="https://www.rsssf.org/colours/greece.html" TargetMode="External"/><Relationship Id="rId360" Type="http://schemas.openxmlformats.org/officeDocument/2006/relationships/hyperlink" Target="about:blank" TargetMode="External"/><Relationship Id="rId2286" Type="http://schemas.openxmlformats.org/officeDocument/2006/relationships/hyperlink" Target="about:blank" TargetMode="External"/><Relationship Id="rId367" Type="http://schemas.openxmlformats.org/officeDocument/2006/relationships/hyperlink" Target="https://www.rsssf.org/colours/spain.html" TargetMode="External"/><Relationship Id="rId2287" Type="http://schemas.openxmlformats.org/officeDocument/2006/relationships/hyperlink" Target="https://www.soccerway.com/greece/gamma-ethniki-group-8/" TargetMode="External"/><Relationship Id="rId366" Type="http://schemas.openxmlformats.org/officeDocument/2006/relationships/hyperlink" Target="about:blank" TargetMode="External"/><Relationship Id="rId2288" Type="http://schemas.openxmlformats.org/officeDocument/2006/relationships/hyperlink" Target="about:blank" TargetMode="External"/><Relationship Id="rId365" Type="http://schemas.openxmlformats.org/officeDocument/2006/relationships/hyperlink" Target="https://www.laliga.com/en-GB/laliga-hypermotion/clubs" TargetMode="External"/><Relationship Id="rId2289" Type="http://schemas.openxmlformats.org/officeDocument/2006/relationships/hyperlink" Target="https://www.rsssf.org/colours/greece.html" TargetMode="External"/><Relationship Id="rId364" Type="http://schemas.openxmlformats.org/officeDocument/2006/relationships/hyperlink" Target="about:blank" TargetMode="External"/><Relationship Id="rId95" Type="http://schemas.openxmlformats.org/officeDocument/2006/relationships/hyperlink" Target="https://en.wikipedia.org/wiki/Bolton_Wanderers_F.C.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efl.com/news/2026/august/22/sky-bet-championship-results--table---stats/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england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england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efl.com/news/2026/august/22/sky-bet-championship-results--table---stats/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https://www.rtvce.es/articulo/deportes/tradicion-innovacion-nuevas-equipaciones-ad-ceuta/20260727200148101725.html" TargetMode="External"/><Relationship Id="rId358" Type="http://schemas.openxmlformats.org/officeDocument/2006/relationships/hyperlink" Target="about:blank" TargetMode="External"/><Relationship Id="rId357" Type="http://schemas.openxmlformats.org/officeDocument/2006/relationships/hyperlink" Target="https://www.laliga.com/en-GB/laliga-hypermotion/clubs" TargetMode="External"/><Relationship Id="rId2270" Type="http://schemas.openxmlformats.org/officeDocument/2006/relationships/hyperlink" Target="https://www.epo.gr/el/competition/3/stage/1407/group/2072/matches" TargetMode="External"/><Relationship Id="rId2271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2272" Type="http://schemas.openxmlformats.org/officeDocument/2006/relationships/hyperlink" Target="about:blank" TargetMode="External"/><Relationship Id="rId351" Type="http://schemas.openxmlformats.org/officeDocument/2006/relationships/hyperlink" Target="https://www.rsssf.org/colours/spain.html" TargetMode="External"/><Relationship Id="rId2273" Type="http://schemas.openxmlformats.org/officeDocument/2006/relationships/hyperlink" Target="https://www.soccerway.com/greece/gamma-ethniki-group-8/" TargetMode="External"/><Relationship Id="rId350" Type="http://schemas.openxmlformats.org/officeDocument/2006/relationships/hyperlink" Target="about:blank" TargetMode="External"/><Relationship Id="rId2274" Type="http://schemas.openxmlformats.org/officeDocument/2006/relationships/hyperlink" Target="about:blank" TargetMode="External"/><Relationship Id="rId2275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2276" Type="http://schemas.openxmlformats.org/officeDocument/2006/relationships/hyperlink" Target="https://www.soccerway.com/greece/gamma-ethniki-group-8/" TargetMode="External"/><Relationship Id="rId355" Type="http://schemas.openxmlformats.org/officeDocument/2006/relationships/hyperlink" Target="https://www.rsssf.org/colours/spain.html" TargetMode="External"/><Relationship Id="rId2277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2278" Type="http://schemas.openxmlformats.org/officeDocument/2006/relationships/hyperlink" Target="about:blank" TargetMode="External"/><Relationship Id="rId353" Type="http://schemas.openxmlformats.org/officeDocument/2006/relationships/hyperlink" Target="https://www.laliga.com/en-GB/laliga-easports/clubs" TargetMode="External"/><Relationship Id="rId2279" Type="http://schemas.openxmlformats.org/officeDocument/2006/relationships/hyperlink" Target="https://www.soccerway.com/greece/gamma-ethniki-group-8/" TargetMode="External"/><Relationship Id="rId1378" Type="http://schemas.openxmlformats.org/officeDocument/2006/relationships/hyperlink" Target="about:blank" TargetMode="External"/><Relationship Id="rId2225" Type="http://schemas.openxmlformats.org/officeDocument/2006/relationships/hyperlink" Target="https://en.wikipedia.org/wiki/2026%E2%80%9327_Gamma_Ethniki" TargetMode="External"/><Relationship Id="rId1379" Type="http://schemas.openxmlformats.org/officeDocument/2006/relationships/hyperlink" Target="https://www.rsssf.org/colours/france.html" TargetMode="External"/><Relationship Id="rId2226" Type="http://schemas.openxmlformats.org/officeDocument/2006/relationships/hyperlink" Target="about:blank" TargetMode="External"/><Relationship Id="rId2227" Type="http://schemas.openxmlformats.org/officeDocument/2006/relationships/hyperlink" Target="https://www.rsssf.org/colours/greece.html" TargetMode="External"/><Relationship Id="rId2228" Type="http://schemas.openxmlformats.org/officeDocument/2006/relationships/hyperlink" Target="about:blank" TargetMode="External"/><Relationship Id="rId2229" Type="http://schemas.openxmlformats.org/officeDocument/2006/relationships/hyperlink" Target="https://en.wikipedia.org/wiki/2026%E2%80%9327_Gamma_Ethniki" TargetMode="External"/><Relationship Id="rId305" Type="http://schemas.openxmlformats.org/officeDocument/2006/relationships/hyperlink" Target="https://www.laliga.com/en-GB/laliga-easports/clubs" TargetMode="External"/><Relationship Id="rId789" Type="http://schemas.openxmlformats.org/officeDocument/2006/relationships/hyperlink" Target="https://it.blastingnews.com/calcio/2026/07/ultimora-serie-c-svelati-i-gironi-ufficiali-2026-27-004083523.html" TargetMode="External"/><Relationship Id="rId304" Type="http://schemas.openxmlformats.org/officeDocument/2006/relationships/hyperlink" Target="about:blank" TargetMode="External"/><Relationship Id="rId788" Type="http://schemas.openxmlformats.org/officeDocument/2006/relationships/hyperlink" Target="about:blank" TargetMode="External"/><Relationship Id="rId303" Type="http://schemas.openxmlformats.org/officeDocument/2006/relationships/hyperlink" Target="https://www.rsssf.org/colours/spain.html" TargetMode="External"/><Relationship Id="rId787" Type="http://schemas.openxmlformats.org/officeDocument/2006/relationships/hyperlink" Target="https://it.wikipedia.org/wiki/Dolomiti_Bellunesi_(squadra_di_calcio)" TargetMode="External"/><Relationship Id="rId302" Type="http://schemas.openxmlformats.org/officeDocument/2006/relationships/hyperlink" Target="about:blank" TargetMode="External"/><Relationship Id="rId786" Type="http://schemas.openxmlformats.org/officeDocument/2006/relationships/hyperlink" Target="about:blank" TargetMode="External"/><Relationship Id="rId309" Type="http://schemas.openxmlformats.org/officeDocument/2006/relationships/hyperlink" Target="https://www.laliga.com/en-GB/laliga-easports/clubs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www.rsssf.org/colours/spain.html" TargetMode="External"/><Relationship Id="rId306" Type="http://schemas.openxmlformats.org/officeDocument/2006/relationships/hyperlink" Target="about:blank" TargetMode="External"/><Relationship Id="rId781" Type="http://schemas.openxmlformats.org/officeDocument/2006/relationships/hyperlink" Target="https://it.blastingnews.com/calcio/2026/07/ultimora-serie-c-svelati-i-gironi-ufficiali-2026-27-004083523.html" TargetMode="External"/><Relationship Id="rId1370" Type="http://schemas.openxmlformats.org/officeDocument/2006/relationships/hyperlink" Target="about:blank" TargetMode="External"/><Relationship Id="rId780" Type="http://schemas.openxmlformats.org/officeDocument/2006/relationships/hyperlink" Target="about:blank" TargetMode="External"/><Relationship Id="rId1371" Type="http://schemas.openxmlformats.org/officeDocument/2006/relationships/hyperlink" Target="https://fr.wikipedia.org/wiki/Amiens_Sporting_Club" TargetMode="External"/><Relationship Id="rId1372" Type="http://schemas.openxmlformats.org/officeDocument/2006/relationships/hyperlink" Target="about:blank" TargetMode="External"/><Relationship Id="rId1373" Type="http://schemas.openxmlformats.org/officeDocument/2006/relationships/hyperlink" Target="https://www.fff.fr/article/17022-le-calendrier-2026-2027-est-servi.html" TargetMode="External"/><Relationship Id="rId2220" Type="http://schemas.openxmlformats.org/officeDocument/2006/relationships/hyperlink" Target="about:blank" TargetMode="External"/><Relationship Id="rId301" Type="http://schemas.openxmlformats.org/officeDocument/2006/relationships/hyperlink" Target="https://www.laliga.com/en-GB/laliga-easports/clubs" TargetMode="External"/><Relationship Id="rId785" Type="http://schemas.openxmlformats.org/officeDocument/2006/relationships/hyperlink" Target="https://it.blastingnews.com/calcio/2026/07/ultimora-serie-c-svelati-i-gironi-ufficiali-2026-27-004083523.html" TargetMode="External"/><Relationship Id="rId1374" Type="http://schemas.openxmlformats.org/officeDocument/2006/relationships/hyperlink" Target="about:blank" TargetMode="External"/><Relationship Id="rId2221" Type="http://schemas.openxmlformats.org/officeDocument/2006/relationships/hyperlink" Target="https://en.wikipedia.org/wiki/2026%E2%80%9327_Gamma_Ethniki" TargetMode="External"/><Relationship Id="rId300" Type="http://schemas.openxmlformats.org/officeDocument/2006/relationships/hyperlink" Target="about:blank" TargetMode="External"/><Relationship Id="rId784" Type="http://schemas.openxmlformats.org/officeDocument/2006/relationships/hyperlink" Target="about:blank" TargetMode="External"/><Relationship Id="rId1375" Type="http://schemas.openxmlformats.org/officeDocument/2006/relationships/hyperlink" Target="https://fr.wikipedia.org/wiki/Aubagne_Football_Club" TargetMode="External"/><Relationship Id="rId2222" Type="http://schemas.openxmlformats.org/officeDocument/2006/relationships/hyperlink" Target="about:blank" TargetMode="External"/><Relationship Id="rId783" Type="http://schemas.openxmlformats.org/officeDocument/2006/relationships/hyperlink" Target="https://www.calciodesenzano.it/2026/08/18/desenzano-f-c-presentata-la-nuova-maglia-away-2026-2027/" TargetMode="External"/><Relationship Id="rId1376" Type="http://schemas.openxmlformats.org/officeDocument/2006/relationships/hyperlink" Target="about:blank" TargetMode="External"/><Relationship Id="rId2223" Type="http://schemas.openxmlformats.org/officeDocument/2006/relationships/hyperlink" Target="https://www.rsssf.org/colours/greece.html" TargetMode="External"/><Relationship Id="rId782" Type="http://schemas.openxmlformats.org/officeDocument/2006/relationships/hyperlink" Target="about:blank" TargetMode="External"/><Relationship Id="rId1377" Type="http://schemas.openxmlformats.org/officeDocument/2006/relationships/hyperlink" Target="https://www.fff.fr/article/17022-le-calendrier-2026-2027-est-servi.html" TargetMode="External"/><Relationship Id="rId2224" Type="http://schemas.openxmlformats.org/officeDocument/2006/relationships/hyperlink" Target="about:blank" TargetMode="External"/><Relationship Id="rId1367" Type="http://schemas.openxmlformats.org/officeDocument/2006/relationships/hyperlink" Target="https://www.rsssf.org/colours/france.html" TargetMode="External"/><Relationship Id="rId2214" Type="http://schemas.openxmlformats.org/officeDocument/2006/relationships/hyperlink" Target="https://en.wikipedia.org/wiki/2026%E2%80%9327_Gamma_Ethniki" TargetMode="External"/><Relationship Id="rId2698" Type="http://schemas.openxmlformats.org/officeDocument/2006/relationships/hyperlink" Target="about:blank" TargetMode="External"/><Relationship Id="rId1368" Type="http://schemas.openxmlformats.org/officeDocument/2006/relationships/hyperlink" Target="about:blank" TargetMode="External"/><Relationship Id="rId2215" Type="http://schemas.openxmlformats.org/officeDocument/2006/relationships/hyperlink" Target="about:blank" TargetMode="External"/><Relationship Id="rId2699" Type="http://schemas.openxmlformats.org/officeDocument/2006/relationships/hyperlink" Target="https://en.wikipedia.org/wiki/AFC_Bournemouth" TargetMode="External"/><Relationship Id="rId1369" Type="http://schemas.openxmlformats.org/officeDocument/2006/relationships/hyperlink" Target="https://www.fff.fr/article/17022-le-calendrier-2026-2027-est-servi.html" TargetMode="External"/><Relationship Id="rId2216" Type="http://schemas.openxmlformats.org/officeDocument/2006/relationships/hyperlink" Target="https://www.rsssf.org/colours/greece.html" TargetMode="External"/><Relationship Id="rId2217" Type="http://schemas.openxmlformats.org/officeDocument/2006/relationships/hyperlink" Target="about:blank" TargetMode="External"/><Relationship Id="rId2218" Type="http://schemas.openxmlformats.org/officeDocument/2006/relationships/hyperlink" Target="https://en.wikipedia.org/wiki/2026%E2%80%9327_Gamma_Ethniki" TargetMode="External"/><Relationship Id="rId2219" Type="http://schemas.openxmlformats.org/officeDocument/2006/relationships/hyperlink" Target="about:blank" TargetMode="External"/><Relationship Id="rId778" Type="http://schemas.openxmlformats.org/officeDocument/2006/relationships/hyperlink" Target="about:blank" TargetMode="External"/><Relationship Id="rId777" Type="http://schemas.openxmlformats.org/officeDocument/2006/relationships/hyperlink" Target="https://it.blastingnews.com/calcio/2026/07/ultimora-serie-c-svelati-i-gironi-ufficiali-2026-27-004083523.html" TargetMode="External"/><Relationship Id="rId776" Type="http://schemas.openxmlformats.org/officeDocument/2006/relationships/hyperlink" Target="about:blank" TargetMode="External"/><Relationship Id="rId775" Type="http://schemas.openxmlformats.org/officeDocument/2006/relationships/hyperlink" Target="https://it.wikipedia.org/wiki/Carpi_Football_Club_1909" TargetMode="External"/><Relationship Id="rId779" Type="http://schemas.openxmlformats.org/officeDocument/2006/relationships/hyperlink" Target="https://it.wikipedia.org/wiki/Associazione_Sportiva_Cittadella" TargetMode="External"/><Relationship Id="rId770" Type="http://schemas.openxmlformats.org/officeDocument/2006/relationships/hyperlink" Target="about:blank" TargetMode="External"/><Relationship Id="rId2690" Type="http://schemas.openxmlformats.org/officeDocument/2006/relationships/hyperlink" Target="about:blank" TargetMode="External"/><Relationship Id="rId1360" Type="http://schemas.openxmlformats.org/officeDocument/2006/relationships/hyperlink" Target="about:blank" TargetMode="External"/><Relationship Id="rId2691" Type="http://schemas.openxmlformats.org/officeDocument/2006/relationships/hyperlink" Target="https://www.rsssf.org/colours/portugal.html" TargetMode="External"/><Relationship Id="rId1361" Type="http://schemas.openxmlformats.org/officeDocument/2006/relationships/hyperlink" Target="https://en.wikipedia.org/wiki/2026%E2%80%9327_Ligue_2" TargetMode="External"/><Relationship Id="rId2692" Type="http://schemas.openxmlformats.org/officeDocument/2006/relationships/hyperlink" Target="about:blank" TargetMode="External"/><Relationship Id="rId1362" Type="http://schemas.openxmlformats.org/officeDocument/2006/relationships/hyperlink" Target="about:blank" TargetMode="External"/><Relationship Id="rId2693" Type="http://schemas.openxmlformats.org/officeDocument/2006/relationships/hyperlink" Target="https://www.uefa.com/uefaeuropaleague/clubs/" TargetMode="External"/><Relationship Id="rId774" Type="http://schemas.openxmlformats.org/officeDocument/2006/relationships/hyperlink" Target="about:blank" TargetMode="External"/><Relationship Id="rId1363" Type="http://schemas.openxmlformats.org/officeDocument/2006/relationships/hyperlink" Target="https://www.rsssf.org/colours/france.html" TargetMode="External"/><Relationship Id="rId2210" Type="http://schemas.openxmlformats.org/officeDocument/2006/relationships/hyperlink" Target="about:blank" TargetMode="External"/><Relationship Id="rId2694" Type="http://schemas.openxmlformats.org/officeDocument/2006/relationships/hyperlink" Target="about:blank" TargetMode="External"/><Relationship Id="rId773" Type="http://schemas.openxmlformats.org/officeDocument/2006/relationships/hyperlink" Target="https://it.blastingnews.com/calcio/2026/07/ultimora-serie-c-svelati-i-gironi-ufficiali-2026-27-004083523.html" TargetMode="External"/><Relationship Id="rId1364" Type="http://schemas.openxmlformats.org/officeDocument/2006/relationships/hyperlink" Target="about:blank" TargetMode="External"/><Relationship Id="rId2211" Type="http://schemas.openxmlformats.org/officeDocument/2006/relationships/hyperlink" Target="https://en.wikipedia.org/wiki/2026%E2%80%9327_Gamma_Ethniki" TargetMode="External"/><Relationship Id="rId2695" Type="http://schemas.openxmlformats.org/officeDocument/2006/relationships/hyperlink" Target="https://www.rsssf.org/colours/turkey.html" TargetMode="External"/><Relationship Id="rId772" Type="http://schemas.openxmlformats.org/officeDocument/2006/relationships/hyperlink" Target="about:blank" TargetMode="External"/><Relationship Id="rId1365" Type="http://schemas.openxmlformats.org/officeDocument/2006/relationships/hyperlink" Target="https://en.wikipedia.org/wiki/2026%E2%80%9327_Ligue_2" TargetMode="External"/><Relationship Id="rId2212" Type="http://schemas.openxmlformats.org/officeDocument/2006/relationships/hyperlink" Target="about:blank" TargetMode="External"/><Relationship Id="rId2696" Type="http://schemas.openxmlformats.org/officeDocument/2006/relationships/hyperlink" Target="about:blank" TargetMode="External"/><Relationship Id="rId771" Type="http://schemas.openxmlformats.org/officeDocument/2006/relationships/hyperlink" Target="https://it.wikipedia.org/wiki/Football_Club_Arzignano_Valchiampo" TargetMode="External"/><Relationship Id="rId1366" Type="http://schemas.openxmlformats.org/officeDocument/2006/relationships/hyperlink" Target="about:blank" TargetMode="External"/><Relationship Id="rId2213" Type="http://schemas.openxmlformats.org/officeDocument/2006/relationships/hyperlink" Target="about:blank" TargetMode="External"/><Relationship Id="rId2697" Type="http://schemas.openxmlformats.org/officeDocument/2006/relationships/hyperlink" Target="https://www.uefa.com/uefaeuropaleague/clubs/" TargetMode="External"/><Relationship Id="rId2247" Type="http://schemas.openxmlformats.org/officeDocument/2006/relationships/hyperlink" Target="https://www.epo.gr/el/competition/3/stage/1407/group/2072/matches" TargetMode="External"/><Relationship Id="rId2248" Type="http://schemas.openxmlformats.org/officeDocument/2006/relationships/hyperlink" Target="about:blank" TargetMode="External"/><Relationship Id="rId2249" Type="http://schemas.openxmlformats.org/officeDocument/2006/relationships/hyperlink" Target="about:blank" TargetMode="External"/><Relationship Id="rId327" Type="http://schemas.openxmlformats.org/officeDocument/2006/relationships/hyperlink" Target="https://www.rsssf.org/colours/spain.html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www.laliga.com/en-GB/laliga-easports/clubs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https://www.laliga.com/en-GB/laliga-easports/clubs" TargetMode="External"/><Relationship Id="rId1390" Type="http://schemas.openxmlformats.org/officeDocument/2006/relationships/hyperlink" Target="about:blank" TargetMode="External"/><Relationship Id="rId328" Type="http://schemas.openxmlformats.org/officeDocument/2006/relationships/hyperlink" Target="about:blank" TargetMode="External"/><Relationship Id="rId1391" Type="http://schemas.openxmlformats.org/officeDocument/2006/relationships/hyperlink" Target="https://fr.wikipedia.org/wiki/Association_sportive_de_Cannes_(football)" TargetMode="External"/><Relationship Id="rId1392" Type="http://schemas.openxmlformats.org/officeDocument/2006/relationships/hyperlink" Target="about:blank" TargetMode="External"/><Relationship Id="rId1393" Type="http://schemas.openxmlformats.org/officeDocument/2006/relationships/hyperlink" Target="https://www.fff.fr/article/17022-le-calendrier-2026-2027-est-servi.html" TargetMode="External"/><Relationship Id="rId2240" Type="http://schemas.openxmlformats.org/officeDocument/2006/relationships/hyperlink" Target="about:blank" TargetMode="External"/><Relationship Id="rId1394" Type="http://schemas.openxmlformats.org/officeDocument/2006/relationships/hyperlink" Target="about:blank" TargetMode="External"/><Relationship Id="rId2241" Type="http://schemas.openxmlformats.org/officeDocument/2006/relationships/hyperlink" Target="https://www.epo.gr/el/competition/3/stage/1407/group/2072/matches" TargetMode="External"/><Relationship Id="rId1395" Type="http://schemas.openxmlformats.org/officeDocument/2006/relationships/hyperlink" Target="https://fr.wikipedia.org/wiki/Union_sportive_concarnoise" TargetMode="External"/><Relationship Id="rId2242" Type="http://schemas.openxmlformats.org/officeDocument/2006/relationships/hyperlink" Target="about:blank" TargetMode="External"/><Relationship Id="rId323" Type="http://schemas.openxmlformats.org/officeDocument/2006/relationships/hyperlink" Target="https://fr.wikipedia.org/wiki/Club_Atl%C3%A9tico_Osasuna" TargetMode="External"/><Relationship Id="rId1396" Type="http://schemas.openxmlformats.org/officeDocument/2006/relationships/hyperlink" Target="about:blank" TargetMode="External"/><Relationship Id="rId2243" Type="http://schemas.openxmlformats.org/officeDocument/2006/relationships/hyperlink" Target="about:blank" TargetMode="External"/><Relationship Id="rId322" Type="http://schemas.openxmlformats.org/officeDocument/2006/relationships/hyperlink" Target="about:blank" TargetMode="External"/><Relationship Id="rId1397" Type="http://schemas.openxmlformats.org/officeDocument/2006/relationships/hyperlink" Target="https://www.fff.fr/article/17022-le-calendrier-2026-2027-est-servi.html" TargetMode="External"/><Relationship Id="rId2244" Type="http://schemas.openxmlformats.org/officeDocument/2006/relationships/hyperlink" Target="https://www.epo.gr/el/competition/3/stage/1407/group/2072/matches" TargetMode="External"/><Relationship Id="rId321" Type="http://schemas.openxmlformats.org/officeDocument/2006/relationships/hyperlink" Target="https://www.laliga.com/en-GB/laliga-easports/clubs" TargetMode="External"/><Relationship Id="rId1398" Type="http://schemas.openxmlformats.org/officeDocument/2006/relationships/hyperlink" Target="about:blank" TargetMode="External"/><Relationship Id="rId2245" Type="http://schemas.openxmlformats.org/officeDocument/2006/relationships/hyperlink" Target="about:blank" TargetMode="External"/><Relationship Id="rId320" Type="http://schemas.openxmlformats.org/officeDocument/2006/relationships/hyperlink" Target="about:blank" TargetMode="External"/><Relationship Id="rId1399" Type="http://schemas.openxmlformats.org/officeDocument/2006/relationships/hyperlink" Target="https://fr.wikipedia.org/wiki/Football_Club_Fleury_91" TargetMode="External"/><Relationship Id="rId2246" Type="http://schemas.openxmlformats.org/officeDocument/2006/relationships/hyperlink" Target="about:blank" TargetMode="External"/><Relationship Id="rId1389" Type="http://schemas.openxmlformats.org/officeDocument/2006/relationships/hyperlink" Target="https://www.fff.fr/article/17022-le-calendrier-2026-2027-est-servi.html" TargetMode="External"/><Relationship Id="rId2236" Type="http://schemas.openxmlformats.org/officeDocument/2006/relationships/hyperlink" Target="about:blank" TargetMode="External"/><Relationship Id="rId2237" Type="http://schemas.openxmlformats.org/officeDocument/2006/relationships/hyperlink" Target="https://www.epo.gr/el/competition/3/stage/1407/group/2072/matches" TargetMode="External"/><Relationship Id="rId2238" Type="http://schemas.openxmlformats.org/officeDocument/2006/relationships/hyperlink" Target="about:blank" TargetMode="External"/><Relationship Id="rId2239" Type="http://schemas.openxmlformats.org/officeDocument/2006/relationships/hyperlink" Target="https://www.rsssf.org/colours/greece.html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www.rsssf.org/colours/spain.html" TargetMode="External"/><Relationship Id="rId799" Type="http://schemas.openxmlformats.org/officeDocument/2006/relationships/hyperlink" Target="https://www.rsssf.org/colours/italy.html" TargetMode="External"/><Relationship Id="rId314" Type="http://schemas.openxmlformats.org/officeDocument/2006/relationships/hyperlink" Target="about:blank" TargetMode="External"/><Relationship Id="rId798" Type="http://schemas.openxmlformats.org/officeDocument/2006/relationships/hyperlink" Target="about:blank" TargetMode="External"/><Relationship Id="rId313" Type="http://schemas.openxmlformats.org/officeDocument/2006/relationships/hyperlink" Target="https://www.laliga.com/en-GB/laliga-easports/clubs" TargetMode="External"/><Relationship Id="rId797" Type="http://schemas.openxmlformats.org/officeDocument/2006/relationships/hyperlink" Target="https://it.blastingnews.com/calcio/2026/07/ultimora-serie-c-svelati-i-gironi-ufficiali-2026-27-004083523.html" TargetMode="External"/><Relationship Id="rId319" Type="http://schemas.openxmlformats.org/officeDocument/2006/relationships/hyperlink" Target="https://www.rsssf.org/colours/spain.html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www.laliga.com/en-GB/laliga-easports/clubs" TargetMode="External"/><Relationship Id="rId1380" Type="http://schemas.openxmlformats.org/officeDocument/2006/relationships/hyperlink" Target="about:blank" TargetMode="External"/><Relationship Id="rId792" Type="http://schemas.openxmlformats.org/officeDocument/2006/relationships/hyperlink" Target="about:blank" TargetMode="External"/><Relationship Id="rId1381" Type="http://schemas.openxmlformats.org/officeDocument/2006/relationships/hyperlink" Target="https://www.fff.fr/article/17022-le-calendrier-2026-2027-est-servi.html" TargetMode="External"/><Relationship Id="rId791" Type="http://schemas.openxmlformats.org/officeDocument/2006/relationships/hyperlink" Target="https://it.wikipedia.org/wiki/Unione_Sportiva_Folgore_Caratese" TargetMode="External"/><Relationship Id="rId1382" Type="http://schemas.openxmlformats.org/officeDocument/2006/relationships/hyperlink" Target="about:blank" TargetMode="External"/><Relationship Id="rId790" Type="http://schemas.openxmlformats.org/officeDocument/2006/relationships/hyperlink" Target="about:blank" TargetMode="External"/><Relationship Id="rId1383" Type="http://schemas.openxmlformats.org/officeDocument/2006/relationships/hyperlink" Target="https://fr.wikipedia.org/wiki/Football_Bourg-en-Bresse_P%C3%A9ronnas_01" TargetMode="External"/><Relationship Id="rId2230" Type="http://schemas.openxmlformats.org/officeDocument/2006/relationships/hyperlink" Target="about:blank" TargetMode="External"/><Relationship Id="rId1384" Type="http://schemas.openxmlformats.org/officeDocument/2006/relationships/hyperlink" Target="about:blank" TargetMode="External"/><Relationship Id="rId2231" Type="http://schemas.openxmlformats.org/officeDocument/2006/relationships/hyperlink" Target="https://www.rsssf.org/colours/greece.html" TargetMode="External"/><Relationship Id="rId312" Type="http://schemas.openxmlformats.org/officeDocument/2006/relationships/hyperlink" Target="about:blank" TargetMode="External"/><Relationship Id="rId796" Type="http://schemas.openxmlformats.org/officeDocument/2006/relationships/hyperlink" Target="about:blank" TargetMode="External"/><Relationship Id="rId1385" Type="http://schemas.openxmlformats.org/officeDocument/2006/relationships/hyperlink" Target="https://www.fff.fr/article/17022-le-calendrier-2026-2027-est-servi.html" TargetMode="External"/><Relationship Id="rId2232" Type="http://schemas.openxmlformats.org/officeDocument/2006/relationships/hyperlink" Target="about:blank" TargetMode="External"/><Relationship Id="rId311" Type="http://schemas.openxmlformats.org/officeDocument/2006/relationships/hyperlink" Target="https://www.rsssf.org/colours/spain.html" TargetMode="External"/><Relationship Id="rId795" Type="http://schemas.openxmlformats.org/officeDocument/2006/relationships/hyperlink" Target="https://it.wikipedia.org/wiki/Associazione_Sportiva_Giana_Erminio" TargetMode="External"/><Relationship Id="rId1386" Type="http://schemas.openxmlformats.org/officeDocument/2006/relationships/hyperlink" Target="about:blank" TargetMode="External"/><Relationship Id="rId2233" Type="http://schemas.openxmlformats.org/officeDocument/2006/relationships/hyperlink" Target="https://www.epo.gr/el/competition/3/stage/1407/group/2072/matches" TargetMode="External"/><Relationship Id="rId310" Type="http://schemas.openxmlformats.org/officeDocument/2006/relationships/hyperlink" Target="about:blank" TargetMode="External"/><Relationship Id="rId794" Type="http://schemas.openxmlformats.org/officeDocument/2006/relationships/hyperlink" Target="about:blank" TargetMode="External"/><Relationship Id="rId1387" Type="http://schemas.openxmlformats.org/officeDocument/2006/relationships/hyperlink" Target="https://www.rsssf.org/colours/france.html" TargetMode="External"/><Relationship Id="rId2234" Type="http://schemas.openxmlformats.org/officeDocument/2006/relationships/hyperlink" Target="about:blank" TargetMode="External"/><Relationship Id="rId793" Type="http://schemas.openxmlformats.org/officeDocument/2006/relationships/hyperlink" Target="https://it.blastingnews.com/calcio/2026/07/ultimora-serie-c-svelati-i-gironi-ufficiali-2026-27-004083523.html" TargetMode="External"/><Relationship Id="rId1388" Type="http://schemas.openxmlformats.org/officeDocument/2006/relationships/hyperlink" Target="about:blank" TargetMode="External"/><Relationship Id="rId2235" Type="http://schemas.openxmlformats.org/officeDocument/2006/relationships/hyperlink" Target="https://www.rsssf.org/colours/greece.html" TargetMode="External"/><Relationship Id="rId297" Type="http://schemas.openxmlformats.org/officeDocument/2006/relationships/hyperlink" Target="https://www.laliga.com/en-GB/laliga-easports/clubs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www.rsssf.org/colours/spain.html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www.rsssf.org/colours/spain.html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https://www.rsssf.org/colours/england.html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www.efl.com/competitions/efl-league-one/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en.wikipedia.org/wiki/Stevenage_F.C.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https://www.efl.com/competitions/efl-league-one/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www.rsssf.org/colours/england.html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www.efl.com/competitions/efl-league-one/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https://www.rsssf.org/colours/england.html" TargetMode="External"/><Relationship Id="rId258" Type="http://schemas.openxmlformats.org/officeDocument/2006/relationships/hyperlink" Target="about:blank" TargetMode="External"/><Relationship Id="rId2290" Type="http://schemas.openxmlformats.org/officeDocument/2006/relationships/hyperlink" Target="about:blank" TargetMode="External"/><Relationship Id="rId2291" Type="http://schemas.openxmlformats.org/officeDocument/2006/relationships/hyperlink" Target="https://www.soccerway.com/greece/gamma-ethniki-group-8/" TargetMode="External"/><Relationship Id="rId2292" Type="http://schemas.openxmlformats.org/officeDocument/2006/relationships/hyperlink" Target="about:blank" TargetMode="External"/><Relationship Id="rId2293" Type="http://schemas.openxmlformats.org/officeDocument/2006/relationships/hyperlink" Target="about:blank" TargetMode="External"/><Relationship Id="rId253" Type="http://schemas.openxmlformats.org/officeDocument/2006/relationships/hyperlink" Target="https://www.efl.com/competitions/efl-league-one/" TargetMode="External"/><Relationship Id="rId2294" Type="http://schemas.openxmlformats.org/officeDocument/2006/relationships/hyperlink" Target="https://www.soccerway.com/greece/gamma-ethniki-group-8/" TargetMode="External"/><Relationship Id="rId252" Type="http://schemas.openxmlformats.org/officeDocument/2006/relationships/hyperlink" Target="about:blank" TargetMode="External"/><Relationship Id="rId2295" Type="http://schemas.openxmlformats.org/officeDocument/2006/relationships/hyperlink" Target="about:blank" TargetMode="External"/><Relationship Id="rId251" Type="http://schemas.openxmlformats.org/officeDocument/2006/relationships/hyperlink" Target="https://www.rsssf.org/colours/england.html" TargetMode="External"/><Relationship Id="rId2296" Type="http://schemas.openxmlformats.org/officeDocument/2006/relationships/hyperlink" Target="https://www.rsssf.org/colours/greece.html" TargetMode="External"/><Relationship Id="rId250" Type="http://schemas.openxmlformats.org/officeDocument/2006/relationships/hyperlink" Target="about:blank" TargetMode="External"/><Relationship Id="rId2297" Type="http://schemas.openxmlformats.org/officeDocument/2006/relationships/hyperlink" Target="about:blank" TargetMode="External"/><Relationship Id="rId257" Type="http://schemas.openxmlformats.org/officeDocument/2006/relationships/hyperlink" Target="https://www.efl.com/competitions/efl-league-one/" TargetMode="External"/><Relationship Id="rId2298" Type="http://schemas.openxmlformats.org/officeDocument/2006/relationships/hyperlink" Target="https://www.soccerway.com/greece/gamma-ethniki-group-8/" TargetMode="External"/><Relationship Id="rId256" Type="http://schemas.openxmlformats.org/officeDocument/2006/relationships/hyperlink" Target="about:blank" TargetMode="External"/><Relationship Id="rId2299" Type="http://schemas.openxmlformats.org/officeDocument/2006/relationships/hyperlink" Target="about:blank" TargetMode="External"/><Relationship Id="rId255" Type="http://schemas.openxmlformats.org/officeDocument/2006/relationships/hyperlink" Target="https://www.rsssf.org/colours/england.html" TargetMode="External"/><Relationship Id="rId254" Type="http://schemas.openxmlformats.org/officeDocument/2006/relationships/hyperlink" Target="about:blank" TargetMode="External"/><Relationship Id="rId293" Type="http://schemas.openxmlformats.org/officeDocument/2006/relationships/hyperlink" Target="https://www.laliga.com/en-GB/laliga-easports/clubs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www.rsssf.org/colours/spain.html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5" Type="http://schemas.openxmlformats.org/officeDocument/2006/relationships/hyperlink" Target="https://www.laliga.com/en-GB/laliga-easports/clubs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https://www.rsssf.org/colours/spain.html" TargetMode="External"/><Relationship Id="rId289" Type="http://schemas.openxmlformats.org/officeDocument/2006/relationships/hyperlink" Target="https://www.laliga.com/en-GB/laliga-easports/clubs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https://www.rsssf.org/colours/spain.html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https://www.laliga.com/en-GB/laliga-easports/clubs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https://www.rsssf.org/colours/england.html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https://www.efl.com/competitions/efl-league-one/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hyperlink" Target="https://www.rsssf.org/colours/spain.html" TargetMode="External"/><Relationship Id="rId278" Type="http://schemas.openxmlformats.org/officeDocument/2006/relationships/hyperlink" Target="about:blank" TargetMode="External"/><Relationship Id="rId277" Type="http://schemas.openxmlformats.org/officeDocument/2006/relationships/hyperlink" Target="https://www.laliga.com/en-GB/laliga-easports/clubs" TargetMode="External"/><Relationship Id="rId276" Type="http://schemas.openxmlformats.org/officeDocument/2006/relationships/hyperlink" Target="about:blank" TargetMode="External"/><Relationship Id="rId1851" Type="http://schemas.openxmlformats.org/officeDocument/2006/relationships/hyperlink" Target="https://liga2.prosport.ro/liga-3/componenta-seriilor-noului-sezon-de-liga-3-editia-2026-2027-19397075" TargetMode="External"/><Relationship Id="rId1852" Type="http://schemas.openxmlformats.org/officeDocument/2006/relationships/hyperlink" Target="about:blank" TargetMode="External"/><Relationship Id="rId1853" Type="http://schemas.openxmlformats.org/officeDocument/2006/relationships/hyperlink" Target="about:blank" TargetMode="External"/><Relationship Id="rId2700" Type="http://schemas.openxmlformats.org/officeDocument/2006/relationships/hyperlink" Target="about:blank" TargetMode="External"/><Relationship Id="rId1854" Type="http://schemas.openxmlformats.org/officeDocument/2006/relationships/hyperlink" Target="https://liga2.prosport.ro/liga-3/componenta-seriilor-noului-sezon-de-liga-3-editia-2026-2027-19397075" TargetMode="External"/><Relationship Id="rId2701" Type="http://schemas.openxmlformats.org/officeDocument/2006/relationships/hyperlink" Target="https://www.uefa.com/uefaeuropaleague/clubs/" TargetMode="External"/><Relationship Id="rId1855" Type="http://schemas.openxmlformats.org/officeDocument/2006/relationships/hyperlink" Target="about:blank" TargetMode="External"/><Relationship Id="rId2702" Type="http://schemas.openxmlformats.org/officeDocument/2006/relationships/hyperlink" Target="about:blank" TargetMode="External"/><Relationship Id="rId1856" Type="http://schemas.openxmlformats.org/officeDocument/2006/relationships/hyperlink" Target="about:blank" TargetMode="External"/><Relationship Id="rId2703" Type="http://schemas.openxmlformats.org/officeDocument/2006/relationships/hyperlink" Target="https://fr.wikipedia.org/wiki/NK_Celje" TargetMode="External"/><Relationship Id="rId1857" Type="http://schemas.openxmlformats.org/officeDocument/2006/relationships/hyperlink" Target="https://liga2.prosport.ro/liga-3/componenta-seriilor-noului-sezon-de-liga-3-editia-2026-2027-19397075" TargetMode="External"/><Relationship Id="rId2704" Type="http://schemas.openxmlformats.org/officeDocument/2006/relationships/hyperlink" Target="about:blank" TargetMode="External"/><Relationship Id="rId1858" Type="http://schemas.openxmlformats.org/officeDocument/2006/relationships/hyperlink" Target="about:blank" TargetMode="External"/><Relationship Id="rId2705" Type="http://schemas.openxmlformats.org/officeDocument/2006/relationships/hyperlink" Target="https://www.uefa.com/uefaeuropaleague/clubs/" TargetMode="External"/><Relationship Id="rId1859" Type="http://schemas.openxmlformats.org/officeDocument/2006/relationships/hyperlink" Target="about:blank" TargetMode="External"/><Relationship Id="rId2706" Type="http://schemas.openxmlformats.org/officeDocument/2006/relationships/hyperlink" Target="about:blank" TargetMode="External"/><Relationship Id="rId2707" Type="http://schemas.openxmlformats.org/officeDocument/2006/relationships/hyperlink" Target="https://www.rsssf.org/colours/spain.html" TargetMode="External"/><Relationship Id="rId2708" Type="http://schemas.openxmlformats.org/officeDocument/2006/relationships/hyperlink" Target="about:blank" TargetMode="External"/><Relationship Id="rId2709" Type="http://schemas.openxmlformats.org/officeDocument/2006/relationships/hyperlink" Target="https://www.uefa.com/uefaeuropaleague/clubs/" TargetMode="External"/><Relationship Id="rId1850" Type="http://schemas.openxmlformats.org/officeDocument/2006/relationships/hyperlink" Target="about:blank" TargetMode="External"/><Relationship Id="rId1840" Type="http://schemas.openxmlformats.org/officeDocument/2006/relationships/hyperlink" Target="about:blank" TargetMode="External"/><Relationship Id="rId1841" Type="http://schemas.openxmlformats.org/officeDocument/2006/relationships/hyperlink" Target="https://liga2.prosport.ro/liga-3/componenta-seriilor-noului-sezon-de-liga-3-editia-2026-2027-19397075" TargetMode="External"/><Relationship Id="rId1842" Type="http://schemas.openxmlformats.org/officeDocument/2006/relationships/hyperlink" Target="about:blank" TargetMode="External"/><Relationship Id="rId1843" Type="http://schemas.openxmlformats.org/officeDocument/2006/relationships/hyperlink" Target="about:blank" TargetMode="External"/><Relationship Id="rId1844" Type="http://schemas.openxmlformats.org/officeDocument/2006/relationships/hyperlink" Target="https://liga2.prosport.ro/liga-3/componenta-seriilor-noului-sezon-de-liga-3-editia-2026-2027-19397075" TargetMode="External"/><Relationship Id="rId1845" Type="http://schemas.openxmlformats.org/officeDocument/2006/relationships/hyperlink" Target="about:blank" TargetMode="External"/><Relationship Id="rId1846" Type="http://schemas.openxmlformats.org/officeDocument/2006/relationships/hyperlink" Target="https://en.wikipedia.org/wiki/CSM_Unirea_Alba_Iulia" TargetMode="External"/><Relationship Id="rId1847" Type="http://schemas.openxmlformats.org/officeDocument/2006/relationships/hyperlink" Target="about:blank" TargetMode="External"/><Relationship Id="rId1848" Type="http://schemas.openxmlformats.org/officeDocument/2006/relationships/hyperlink" Target="https://liga2.prosport.ro/liga-3/componenta-seriilor-noului-sezon-de-liga-3-editia-2026-2027-19397075" TargetMode="External"/><Relationship Id="rId1849" Type="http://schemas.openxmlformats.org/officeDocument/2006/relationships/hyperlink" Target="about:blank" TargetMode="External"/><Relationship Id="rId1873" Type="http://schemas.openxmlformats.org/officeDocument/2006/relationships/hyperlink" Target="about:blank" TargetMode="External"/><Relationship Id="rId2720" Type="http://schemas.openxmlformats.org/officeDocument/2006/relationships/hyperlink" Target="about:blank" TargetMode="External"/><Relationship Id="rId1874" Type="http://schemas.openxmlformats.org/officeDocument/2006/relationships/hyperlink" Target="about:blank" TargetMode="External"/><Relationship Id="rId2721" Type="http://schemas.openxmlformats.org/officeDocument/2006/relationships/hyperlink" Target="https://www.uefa.com/uefaeuropaleague/clubs/" TargetMode="External"/><Relationship Id="rId1875" Type="http://schemas.openxmlformats.org/officeDocument/2006/relationships/hyperlink" Target="https://liga2.prosport.ro/liga-3/componenta-seriilor-noului-sezon-de-liga-3-editia-2026-2027-19397075" TargetMode="External"/><Relationship Id="rId2722" Type="http://schemas.openxmlformats.org/officeDocument/2006/relationships/hyperlink" Target="about:blank" TargetMode="External"/><Relationship Id="rId1876" Type="http://schemas.openxmlformats.org/officeDocument/2006/relationships/hyperlink" Target="about:blank" TargetMode="External"/><Relationship Id="rId2723" Type="http://schemas.openxmlformats.org/officeDocument/2006/relationships/hyperlink" Target="https://fr.wikipedia.org/wiki/Ferencv%C3%A1ros_TC_(football)" TargetMode="External"/><Relationship Id="rId1877" Type="http://schemas.openxmlformats.org/officeDocument/2006/relationships/hyperlink" Target="about:blank" TargetMode="External"/><Relationship Id="rId2724" Type="http://schemas.openxmlformats.org/officeDocument/2006/relationships/hyperlink" Target="about:blank" TargetMode="External"/><Relationship Id="rId1878" Type="http://schemas.openxmlformats.org/officeDocument/2006/relationships/hyperlink" Target="https://liga2.prosport.ro/liga-3/componenta-seriilor-noului-sezon-de-liga-3-editia-2026-2027-19397075" TargetMode="External"/><Relationship Id="rId2725" Type="http://schemas.openxmlformats.org/officeDocument/2006/relationships/hyperlink" Target="https://www.uefa.com/uefaeuropaleague/clubs/" TargetMode="External"/><Relationship Id="rId1879" Type="http://schemas.openxmlformats.org/officeDocument/2006/relationships/hyperlink" Target="about:blank" TargetMode="External"/><Relationship Id="rId2726" Type="http://schemas.openxmlformats.org/officeDocument/2006/relationships/hyperlink" Target="about:blank" TargetMode="External"/><Relationship Id="rId2727" Type="http://schemas.openxmlformats.org/officeDocument/2006/relationships/hyperlink" Target="https://fr.wikipedia.org/wiki/Hapo%C3%ABl_Beer-Sheva" TargetMode="External"/><Relationship Id="rId2728" Type="http://schemas.openxmlformats.org/officeDocument/2006/relationships/hyperlink" Target="about:blank" TargetMode="External"/><Relationship Id="rId2729" Type="http://schemas.openxmlformats.org/officeDocument/2006/relationships/hyperlink" Target="https://www.uefa.com/uefaeuropaleague/clubs/" TargetMode="External"/><Relationship Id="rId1870" Type="http://schemas.openxmlformats.org/officeDocument/2006/relationships/hyperlink" Target="about:blank" TargetMode="External"/><Relationship Id="rId1871" Type="http://schemas.openxmlformats.org/officeDocument/2006/relationships/hyperlink" Target="about:blank" TargetMode="External"/><Relationship Id="rId1872" Type="http://schemas.openxmlformats.org/officeDocument/2006/relationships/hyperlink" Target="https://liga2.prosport.ro/liga-3/componenta-seriilor-noului-sezon-de-liga-3-editia-2026-2027-19397075" TargetMode="External"/><Relationship Id="rId1862" Type="http://schemas.openxmlformats.org/officeDocument/2006/relationships/hyperlink" Target="about:blank" TargetMode="External"/><Relationship Id="rId1863" Type="http://schemas.openxmlformats.org/officeDocument/2006/relationships/hyperlink" Target="https://liga2.prosport.ro/liga-3/componenta-seriilor-noului-sezon-de-liga-3-editia-2026-2027-19397075" TargetMode="External"/><Relationship Id="rId2710" Type="http://schemas.openxmlformats.org/officeDocument/2006/relationships/hyperlink" Target="about:blank" TargetMode="External"/><Relationship Id="rId1864" Type="http://schemas.openxmlformats.org/officeDocument/2006/relationships/hyperlink" Target="about:blank" TargetMode="External"/><Relationship Id="rId2711" Type="http://schemas.openxmlformats.org/officeDocument/2006/relationships/hyperlink" Target="https://fr.wikipedia.org/wiki/Celtic_Football_Club" TargetMode="External"/><Relationship Id="rId1865" Type="http://schemas.openxmlformats.org/officeDocument/2006/relationships/hyperlink" Target="about:blank" TargetMode="External"/><Relationship Id="rId2712" Type="http://schemas.openxmlformats.org/officeDocument/2006/relationships/hyperlink" Target="about:blank" TargetMode="External"/><Relationship Id="rId1866" Type="http://schemas.openxmlformats.org/officeDocument/2006/relationships/hyperlink" Target="https://liga2.prosport.ro/liga-3/componenta-seriilor-noului-sezon-de-liga-3-editia-2026-2027-19397075" TargetMode="External"/><Relationship Id="rId2713" Type="http://schemas.openxmlformats.org/officeDocument/2006/relationships/hyperlink" Target="https://www.uefa.com/uefaeuropaleague/clubs/" TargetMode="External"/><Relationship Id="rId1867" Type="http://schemas.openxmlformats.org/officeDocument/2006/relationships/hyperlink" Target="about:blank" TargetMode="External"/><Relationship Id="rId2714" Type="http://schemas.openxmlformats.org/officeDocument/2006/relationships/hyperlink" Target="about:blank" TargetMode="External"/><Relationship Id="rId1868" Type="http://schemas.openxmlformats.org/officeDocument/2006/relationships/hyperlink" Target="about:blank" TargetMode="External"/><Relationship Id="rId2715" Type="http://schemas.openxmlformats.org/officeDocument/2006/relationships/hyperlink" Target="https://www.rsssf.org/colours/england.html" TargetMode="External"/><Relationship Id="rId1869" Type="http://schemas.openxmlformats.org/officeDocument/2006/relationships/hyperlink" Target="https://liga2.prosport.ro/liga-3/componenta-seriilor-noului-sezon-de-liga-3-editia-2026-2027-19397075" TargetMode="External"/><Relationship Id="rId2716" Type="http://schemas.openxmlformats.org/officeDocument/2006/relationships/hyperlink" Target="about:blank" TargetMode="External"/><Relationship Id="rId2717" Type="http://schemas.openxmlformats.org/officeDocument/2006/relationships/hyperlink" Target="https://www.uefa.com/uefaeuropaleague/clubs/" TargetMode="External"/><Relationship Id="rId2718" Type="http://schemas.openxmlformats.org/officeDocument/2006/relationships/hyperlink" Target="about:blank" TargetMode="External"/><Relationship Id="rId2719" Type="http://schemas.openxmlformats.org/officeDocument/2006/relationships/hyperlink" Target="https://fr.wikipedia.org/wiki/GNK_Dinamo_Zagreb" TargetMode="External"/><Relationship Id="rId1860" Type="http://schemas.openxmlformats.org/officeDocument/2006/relationships/hyperlink" Target="https://liga2.prosport.ro/liga-3/componenta-seriilor-noului-sezon-de-liga-3-editia-2026-2027-19397075" TargetMode="External"/><Relationship Id="rId1861" Type="http://schemas.openxmlformats.org/officeDocument/2006/relationships/hyperlink" Target="about:blank" TargetMode="External"/><Relationship Id="rId1810" Type="http://schemas.openxmlformats.org/officeDocument/2006/relationships/hyperlink" Target="about:blank" TargetMode="External"/><Relationship Id="rId1811" Type="http://schemas.openxmlformats.org/officeDocument/2006/relationships/hyperlink" Target="https://en.wikipedia.org/wiki/CS_Universitatea_Craiova" TargetMode="External"/><Relationship Id="rId1812" Type="http://schemas.openxmlformats.org/officeDocument/2006/relationships/hyperlink" Target="about:blank" TargetMode="External"/><Relationship Id="rId1813" Type="http://schemas.openxmlformats.org/officeDocument/2006/relationships/hyperlink" Target="https://liga2.prosport.ro/liga-3/componenta-seriilor-noului-sezon-de-liga-3-editia-2026-2027-19397075" TargetMode="External"/><Relationship Id="rId1814" Type="http://schemas.openxmlformats.org/officeDocument/2006/relationships/hyperlink" Target="about:blank" TargetMode="External"/><Relationship Id="rId1815" Type="http://schemas.openxmlformats.org/officeDocument/2006/relationships/hyperlink" Target="about:blank" TargetMode="External"/><Relationship Id="rId1816" Type="http://schemas.openxmlformats.org/officeDocument/2006/relationships/hyperlink" Target="https://liga2.prosport.ro/liga-3/componenta-seriilor-noului-sezon-de-liga-3-editia-2026-2027-19397075" TargetMode="External"/><Relationship Id="rId1817" Type="http://schemas.openxmlformats.org/officeDocument/2006/relationships/hyperlink" Target="about:blank" TargetMode="External"/><Relationship Id="rId1818" Type="http://schemas.openxmlformats.org/officeDocument/2006/relationships/hyperlink" Target="about:blank" TargetMode="External"/><Relationship Id="rId1819" Type="http://schemas.openxmlformats.org/officeDocument/2006/relationships/hyperlink" Target="https://liga2.prosport.ro/liga-3/componenta-seriilor-noului-sezon-de-liga-3-editia-2026-2027-19397075" TargetMode="External"/><Relationship Id="rId1800" Type="http://schemas.openxmlformats.org/officeDocument/2006/relationships/hyperlink" Target="https://liga2.prosport.ro/liga-3/componenta-seriilor-noului-sezon-de-liga-3-editia-2026-2027-19397075" TargetMode="External"/><Relationship Id="rId1801" Type="http://schemas.openxmlformats.org/officeDocument/2006/relationships/hyperlink" Target="about:blank" TargetMode="External"/><Relationship Id="rId1802" Type="http://schemas.openxmlformats.org/officeDocument/2006/relationships/hyperlink" Target="about:blank" TargetMode="External"/><Relationship Id="rId1803" Type="http://schemas.openxmlformats.org/officeDocument/2006/relationships/hyperlink" Target="https://liga2.prosport.ro/liga-3/componenta-seriilor-noului-sezon-de-liga-3-editia-2026-2027-19397075" TargetMode="External"/><Relationship Id="rId1804" Type="http://schemas.openxmlformats.org/officeDocument/2006/relationships/hyperlink" Target="about:blank" TargetMode="External"/><Relationship Id="rId1805" Type="http://schemas.openxmlformats.org/officeDocument/2006/relationships/hyperlink" Target="about:blank" TargetMode="External"/><Relationship Id="rId1806" Type="http://schemas.openxmlformats.org/officeDocument/2006/relationships/hyperlink" Target="https://liga2.prosport.ro/liga-3/componenta-seriilor-noului-sezon-de-liga-3-editia-2026-2027-19397075" TargetMode="External"/><Relationship Id="rId1807" Type="http://schemas.openxmlformats.org/officeDocument/2006/relationships/hyperlink" Target="about:blank" TargetMode="External"/><Relationship Id="rId1808" Type="http://schemas.openxmlformats.org/officeDocument/2006/relationships/hyperlink" Target="about:blank" TargetMode="External"/><Relationship Id="rId1809" Type="http://schemas.openxmlformats.org/officeDocument/2006/relationships/hyperlink" Target="https://liga2.prosport.ro/liga-3/componenta-seriilor-noului-sezon-de-liga-3-editia-2026-2027-19397075" TargetMode="External"/><Relationship Id="rId1830" Type="http://schemas.openxmlformats.org/officeDocument/2006/relationships/hyperlink" Target="about:blank" TargetMode="External"/><Relationship Id="rId1831" Type="http://schemas.openxmlformats.org/officeDocument/2006/relationships/hyperlink" Target="https://liga2.prosport.ro/liga-3/componenta-seriilor-noului-sezon-de-liga-3-editia-2026-2027-19397075" TargetMode="External"/><Relationship Id="rId1832" Type="http://schemas.openxmlformats.org/officeDocument/2006/relationships/hyperlink" Target="about:blank" TargetMode="External"/><Relationship Id="rId1833" Type="http://schemas.openxmlformats.org/officeDocument/2006/relationships/hyperlink" Target="about:blank" TargetMode="External"/><Relationship Id="rId1834" Type="http://schemas.openxmlformats.org/officeDocument/2006/relationships/hyperlink" Target="https://liga2.prosport.ro/liga-3/componenta-seriilor-noului-sezon-de-liga-3-editia-2026-2027-19397075" TargetMode="External"/><Relationship Id="rId1835" Type="http://schemas.openxmlformats.org/officeDocument/2006/relationships/hyperlink" Target="about:blank" TargetMode="External"/><Relationship Id="rId1836" Type="http://schemas.openxmlformats.org/officeDocument/2006/relationships/hyperlink" Target="https://en.wikipedia.org/wiki/SSU_Politehnica_Timi%C8%99oara" TargetMode="External"/><Relationship Id="rId1837" Type="http://schemas.openxmlformats.org/officeDocument/2006/relationships/hyperlink" Target="about:blank" TargetMode="External"/><Relationship Id="rId1838" Type="http://schemas.openxmlformats.org/officeDocument/2006/relationships/hyperlink" Target="https://liga2.prosport.ro/liga-3/componenta-seriilor-noului-sezon-de-liga-3-editia-2026-2027-19397075" TargetMode="External"/><Relationship Id="rId1839" Type="http://schemas.openxmlformats.org/officeDocument/2006/relationships/hyperlink" Target="about:blank" TargetMode="External"/><Relationship Id="rId1820" Type="http://schemas.openxmlformats.org/officeDocument/2006/relationships/hyperlink" Target="about:blank" TargetMode="External"/><Relationship Id="rId1821" Type="http://schemas.openxmlformats.org/officeDocument/2006/relationships/hyperlink" Target="about:blank" TargetMode="External"/><Relationship Id="rId1822" Type="http://schemas.openxmlformats.org/officeDocument/2006/relationships/hyperlink" Target="https://liga2.prosport.ro/liga-3/componenta-seriilor-noului-sezon-de-liga-3-editia-2026-2027-19397075" TargetMode="External"/><Relationship Id="rId1823" Type="http://schemas.openxmlformats.org/officeDocument/2006/relationships/hyperlink" Target="about:blank" TargetMode="External"/><Relationship Id="rId1824" Type="http://schemas.openxmlformats.org/officeDocument/2006/relationships/hyperlink" Target="about:blank" TargetMode="External"/><Relationship Id="rId1825" Type="http://schemas.openxmlformats.org/officeDocument/2006/relationships/hyperlink" Target="https://liga2.prosport.ro/liga-3/componenta-seriilor-noului-sezon-de-liga-3-editia-2026-2027-19397075" TargetMode="External"/><Relationship Id="rId1826" Type="http://schemas.openxmlformats.org/officeDocument/2006/relationships/hyperlink" Target="about:blank" TargetMode="External"/><Relationship Id="rId1827" Type="http://schemas.openxmlformats.org/officeDocument/2006/relationships/hyperlink" Target="about:blank" TargetMode="External"/><Relationship Id="rId1828" Type="http://schemas.openxmlformats.org/officeDocument/2006/relationships/hyperlink" Target="https://liga2.prosport.ro/liga-3/componenta-seriilor-noului-sezon-de-liga-3-editia-2026-2027-19397075" TargetMode="External"/><Relationship Id="rId1829" Type="http://schemas.openxmlformats.org/officeDocument/2006/relationships/hyperlink" Target="about:blank" TargetMode="External"/><Relationship Id="rId1455" Type="http://schemas.openxmlformats.org/officeDocument/2006/relationships/hyperlink" Target="https://ro.wikipedia.org/wiki/FC_Dinamo_Bucure%C8%99ti" TargetMode="External"/><Relationship Id="rId2302" Type="http://schemas.openxmlformats.org/officeDocument/2006/relationships/hyperlink" Target="https://www.soccerway.com/greece/gamma-ethniki-group-8/" TargetMode="External"/><Relationship Id="rId2786" Type="http://schemas.openxmlformats.org/officeDocument/2006/relationships/hyperlink" Target="about:blank" TargetMode="External"/><Relationship Id="rId1456" Type="http://schemas.openxmlformats.org/officeDocument/2006/relationships/hyperlink" Target="about:blank" TargetMode="External"/><Relationship Id="rId2303" Type="http://schemas.openxmlformats.org/officeDocument/2006/relationships/hyperlink" Target="about:blank" TargetMode="External"/><Relationship Id="rId2787" Type="http://schemas.openxmlformats.org/officeDocument/2006/relationships/hyperlink" Target="https://fr.wikipedia.org/wiki/Stade_rennais_football_club" TargetMode="External"/><Relationship Id="rId1457" Type="http://schemas.openxmlformats.org/officeDocument/2006/relationships/hyperlink" Target="https://lpf.ro/liga-1" TargetMode="External"/><Relationship Id="rId2304" Type="http://schemas.openxmlformats.org/officeDocument/2006/relationships/hyperlink" Target="https://www.rsssf.org/colours/greece.html" TargetMode="External"/><Relationship Id="rId2788" Type="http://schemas.openxmlformats.org/officeDocument/2006/relationships/hyperlink" Target="about:blank" TargetMode="External"/><Relationship Id="rId1458" Type="http://schemas.openxmlformats.org/officeDocument/2006/relationships/hyperlink" Target="about:blank" TargetMode="External"/><Relationship Id="rId2305" Type="http://schemas.openxmlformats.org/officeDocument/2006/relationships/hyperlink" Target="about:blank" TargetMode="External"/><Relationship Id="rId2789" Type="http://schemas.openxmlformats.org/officeDocument/2006/relationships/hyperlink" Target="https://www.uefa.com/uefaeuropaleague/clubs/" TargetMode="External"/><Relationship Id="rId1459" Type="http://schemas.openxmlformats.org/officeDocument/2006/relationships/hyperlink" Target="https://en.wikipedia.org/wiki/FCV_Farul_Constan%C8%9Ba" TargetMode="External"/><Relationship Id="rId2306" Type="http://schemas.openxmlformats.org/officeDocument/2006/relationships/hyperlink" Target="https://www.soccerway.com/greece/gamma-ethniki-group-8/" TargetMode="External"/><Relationship Id="rId2307" Type="http://schemas.openxmlformats.org/officeDocument/2006/relationships/hyperlink" Target="about:blank" TargetMode="External"/><Relationship Id="rId2308" Type="http://schemas.openxmlformats.org/officeDocument/2006/relationships/hyperlink" Target="https://www.rsssf.org/colours/greece.html" TargetMode="External"/><Relationship Id="rId2309" Type="http://schemas.openxmlformats.org/officeDocument/2006/relationships/hyperlink" Target="about:blank" TargetMode="External"/><Relationship Id="rId629" Type="http://schemas.openxmlformats.org/officeDocument/2006/relationships/hyperlink" Target="https://sport.virgilio.it/calcio/squadre/" TargetMode="External"/><Relationship Id="rId624" Type="http://schemas.openxmlformats.org/officeDocument/2006/relationships/hyperlink" Target="about:blank" TargetMode="External"/><Relationship Id="rId623" Type="http://schemas.openxmlformats.org/officeDocument/2006/relationships/hyperlink" Target="https://it.wikipedia.org/wiki/Frosinone_Calcio" TargetMode="External"/><Relationship Id="rId622" Type="http://schemas.openxmlformats.org/officeDocument/2006/relationships/hyperlink" Target="about:blank" TargetMode="External"/><Relationship Id="rId621" Type="http://schemas.openxmlformats.org/officeDocument/2006/relationships/hyperlink" Target="https://sport.virgilio.it/calcio/squadre/" TargetMode="External"/><Relationship Id="rId628" Type="http://schemas.openxmlformats.org/officeDocument/2006/relationships/hyperlink" Target="about:blank" TargetMode="External"/><Relationship Id="rId627" Type="http://schemas.openxmlformats.org/officeDocument/2006/relationships/hyperlink" Target="https://www.rsssf.org/colours/italy.html" TargetMode="External"/><Relationship Id="rId626" Type="http://schemas.openxmlformats.org/officeDocument/2006/relationships/hyperlink" Target="about:blank" TargetMode="External"/><Relationship Id="rId625" Type="http://schemas.openxmlformats.org/officeDocument/2006/relationships/hyperlink" Target="https://sport.virgilio.it/calcio/squadre/" TargetMode="External"/><Relationship Id="rId2780" Type="http://schemas.openxmlformats.org/officeDocument/2006/relationships/hyperlink" Target="about:blank" TargetMode="External"/><Relationship Id="rId1450" Type="http://schemas.openxmlformats.org/officeDocument/2006/relationships/hyperlink" Target="about:blank" TargetMode="External"/><Relationship Id="rId2781" Type="http://schemas.openxmlformats.org/officeDocument/2006/relationships/hyperlink" Target="https://www.uefa.com/uefaeuropaleague/clubs/" TargetMode="External"/><Relationship Id="rId620" Type="http://schemas.openxmlformats.org/officeDocument/2006/relationships/hyperlink" Target="about:blank" TargetMode="External"/><Relationship Id="rId1451" Type="http://schemas.openxmlformats.org/officeDocument/2006/relationships/hyperlink" Target="https://en.wikipedia.org/wiki/FK_Cs%C3%ADkszereda_Miercurea_Ciuc" TargetMode="External"/><Relationship Id="rId2782" Type="http://schemas.openxmlformats.org/officeDocument/2006/relationships/hyperlink" Target="about:blank" TargetMode="External"/><Relationship Id="rId1452" Type="http://schemas.openxmlformats.org/officeDocument/2006/relationships/hyperlink" Target="about:blank" TargetMode="External"/><Relationship Id="rId2783" Type="http://schemas.openxmlformats.org/officeDocument/2006/relationships/hyperlink" Target="https://de.wikipedia.org/wiki/FC_Red_Bull_Salzburg" TargetMode="External"/><Relationship Id="rId1453" Type="http://schemas.openxmlformats.org/officeDocument/2006/relationships/hyperlink" Target="https://lpf.ro/liga-1" TargetMode="External"/><Relationship Id="rId2300" Type="http://schemas.openxmlformats.org/officeDocument/2006/relationships/hyperlink" Target="https://www.rsssf.org/colours/greece.html" TargetMode="External"/><Relationship Id="rId2784" Type="http://schemas.openxmlformats.org/officeDocument/2006/relationships/hyperlink" Target="about:blank" TargetMode="External"/><Relationship Id="rId1454" Type="http://schemas.openxmlformats.org/officeDocument/2006/relationships/hyperlink" Target="about:blank" TargetMode="External"/><Relationship Id="rId2301" Type="http://schemas.openxmlformats.org/officeDocument/2006/relationships/hyperlink" Target="about:blank" TargetMode="External"/><Relationship Id="rId2785" Type="http://schemas.openxmlformats.org/officeDocument/2006/relationships/hyperlink" Target="https://www.uefa.com/uefaeuropaleague/clubs/" TargetMode="External"/><Relationship Id="rId1444" Type="http://schemas.openxmlformats.org/officeDocument/2006/relationships/hyperlink" Target="about:blank" TargetMode="External"/><Relationship Id="rId2775" Type="http://schemas.openxmlformats.org/officeDocument/2006/relationships/hyperlink" Target="https://fr.wikipedia.org/wiki/Om%C3%B3nia_Nicosie" TargetMode="External"/><Relationship Id="rId1445" Type="http://schemas.openxmlformats.org/officeDocument/2006/relationships/hyperlink" Target="https://lpf.ro/liga-1" TargetMode="External"/><Relationship Id="rId2776" Type="http://schemas.openxmlformats.org/officeDocument/2006/relationships/hyperlink" Target="about:blank" TargetMode="External"/><Relationship Id="rId1446" Type="http://schemas.openxmlformats.org/officeDocument/2006/relationships/hyperlink" Target="about:blank" TargetMode="External"/><Relationship Id="rId2777" Type="http://schemas.openxmlformats.org/officeDocument/2006/relationships/hyperlink" Target="https://www.uefa.com/uefaeuropaleague/clubs/" TargetMode="External"/><Relationship Id="rId1447" Type="http://schemas.openxmlformats.org/officeDocument/2006/relationships/hyperlink" Target="https://en.wikipedia.org/wiki/CS_Corvinul_Hunedoara" TargetMode="External"/><Relationship Id="rId2778" Type="http://schemas.openxmlformats.org/officeDocument/2006/relationships/hyperlink" Target="about:blank" TargetMode="External"/><Relationship Id="rId1448" Type="http://schemas.openxmlformats.org/officeDocument/2006/relationships/hyperlink" Target="about:blank" TargetMode="External"/><Relationship Id="rId2779" Type="http://schemas.openxmlformats.org/officeDocument/2006/relationships/hyperlink" Target="https://www.rsssf.org/colours/spain.html" TargetMode="External"/><Relationship Id="rId1449" Type="http://schemas.openxmlformats.org/officeDocument/2006/relationships/hyperlink" Target="https://lpf.ro/liga-1" TargetMode="External"/><Relationship Id="rId619" Type="http://schemas.openxmlformats.org/officeDocument/2006/relationships/hyperlink" Target="https://www.rsssf.org/colours/italy.html" TargetMode="External"/><Relationship Id="rId618" Type="http://schemas.openxmlformats.org/officeDocument/2006/relationships/hyperlink" Target="about:blank" TargetMode="External"/><Relationship Id="rId613" Type="http://schemas.openxmlformats.org/officeDocument/2006/relationships/hyperlink" Target="https://sport.virgilio.it/calcio/squadre/" TargetMode="External"/><Relationship Id="rId612" Type="http://schemas.openxmlformats.org/officeDocument/2006/relationships/hyperlink" Target="about:blank" TargetMode="External"/><Relationship Id="rId611" Type="http://schemas.openxmlformats.org/officeDocument/2006/relationships/hyperlink" Target="https://www.rsssf.org/colours/italy.html" TargetMode="External"/><Relationship Id="rId610" Type="http://schemas.openxmlformats.org/officeDocument/2006/relationships/hyperlink" Target="about:blank" TargetMode="External"/><Relationship Id="rId617" Type="http://schemas.openxmlformats.org/officeDocument/2006/relationships/hyperlink" Target="https://sport.virgilio.it/calcio/squadre/" TargetMode="External"/><Relationship Id="rId616" Type="http://schemas.openxmlformats.org/officeDocument/2006/relationships/hyperlink" Target="about:blank" TargetMode="External"/><Relationship Id="rId615" Type="http://schemas.openxmlformats.org/officeDocument/2006/relationships/hyperlink" Target="https://www.rsssf.org/colours/italy.html" TargetMode="External"/><Relationship Id="rId614" Type="http://schemas.openxmlformats.org/officeDocument/2006/relationships/hyperlink" Target="about:blank" TargetMode="External"/><Relationship Id="rId2770" Type="http://schemas.openxmlformats.org/officeDocument/2006/relationships/hyperlink" Target="about:blank" TargetMode="External"/><Relationship Id="rId1440" Type="http://schemas.openxmlformats.org/officeDocument/2006/relationships/hyperlink" Target="about:blank" TargetMode="External"/><Relationship Id="rId2771" Type="http://schemas.openxmlformats.org/officeDocument/2006/relationships/hyperlink" Target="https://www.rsssf.org/colours/greece.html" TargetMode="External"/><Relationship Id="rId1441" Type="http://schemas.openxmlformats.org/officeDocument/2006/relationships/hyperlink" Target="https://lpf.ro/liga-1" TargetMode="External"/><Relationship Id="rId2772" Type="http://schemas.openxmlformats.org/officeDocument/2006/relationships/hyperlink" Target="about:blank" TargetMode="External"/><Relationship Id="rId1442" Type="http://schemas.openxmlformats.org/officeDocument/2006/relationships/hyperlink" Target="about:blank" TargetMode="External"/><Relationship Id="rId2773" Type="http://schemas.openxmlformats.org/officeDocument/2006/relationships/hyperlink" Target="https://www.uefa.com/uefaeuropaleague/clubs/" TargetMode="External"/><Relationship Id="rId1443" Type="http://schemas.openxmlformats.org/officeDocument/2006/relationships/hyperlink" Target="https://en.wikipedia.org/wiki/CFR_Cluj" TargetMode="External"/><Relationship Id="rId2774" Type="http://schemas.openxmlformats.org/officeDocument/2006/relationships/hyperlink" Target="about:blank" TargetMode="External"/><Relationship Id="rId1477" Type="http://schemas.openxmlformats.org/officeDocument/2006/relationships/hyperlink" Target="https://lpf.ro/liga-1" TargetMode="External"/><Relationship Id="rId2324" Type="http://schemas.openxmlformats.org/officeDocument/2006/relationships/hyperlink" Target="https://en.wikipedia.org/wiki/2026%E2%80%9327_Gamma_Ethniki" TargetMode="External"/><Relationship Id="rId1478" Type="http://schemas.openxmlformats.org/officeDocument/2006/relationships/hyperlink" Target="about:blank" TargetMode="External"/><Relationship Id="rId2325" Type="http://schemas.openxmlformats.org/officeDocument/2006/relationships/hyperlink" Target="about:blank" TargetMode="External"/><Relationship Id="rId1479" Type="http://schemas.openxmlformats.org/officeDocument/2006/relationships/hyperlink" Target="https://en.wikipedia.org/wiki/ASC_O%C8%9Belul_Gala%C8%9Bi" TargetMode="External"/><Relationship Id="rId2326" Type="http://schemas.openxmlformats.org/officeDocument/2006/relationships/hyperlink" Target="https://www.rsssf.org/colours/greece.html" TargetMode="External"/><Relationship Id="rId2327" Type="http://schemas.openxmlformats.org/officeDocument/2006/relationships/hyperlink" Target="about:blank" TargetMode="External"/><Relationship Id="rId2328" Type="http://schemas.openxmlformats.org/officeDocument/2006/relationships/hyperlink" Target="https://en.wikipedia.org/wiki/2026%E2%80%9327_Gamma_Ethniki" TargetMode="External"/><Relationship Id="rId2329" Type="http://schemas.openxmlformats.org/officeDocument/2006/relationships/hyperlink" Target="about:blank" TargetMode="External"/><Relationship Id="rId646" Type="http://schemas.openxmlformats.org/officeDocument/2006/relationships/hyperlink" Target="about:blank" TargetMode="External"/><Relationship Id="rId645" Type="http://schemas.openxmlformats.org/officeDocument/2006/relationships/hyperlink" Target="https://sport.virgilio.it/calcio/squadre/" TargetMode="External"/><Relationship Id="rId644" Type="http://schemas.openxmlformats.org/officeDocument/2006/relationships/hyperlink" Target="about:blank" TargetMode="External"/><Relationship Id="rId643" Type="http://schemas.openxmlformats.org/officeDocument/2006/relationships/hyperlink" Target="https://www.rsssf.org/colours/italy.html" TargetMode="External"/><Relationship Id="rId649" Type="http://schemas.openxmlformats.org/officeDocument/2006/relationships/hyperlink" Target="https://sport.virgilio.it/calcio/squadre/" TargetMode="External"/><Relationship Id="rId648" Type="http://schemas.openxmlformats.org/officeDocument/2006/relationships/hyperlink" Target="about:blank" TargetMode="External"/><Relationship Id="rId647" Type="http://schemas.openxmlformats.org/officeDocument/2006/relationships/hyperlink" Target="https://www.rsssf.org/colours/italy.html" TargetMode="External"/><Relationship Id="rId1470" Type="http://schemas.openxmlformats.org/officeDocument/2006/relationships/hyperlink" Target="about:blank" TargetMode="External"/><Relationship Id="rId1471" Type="http://schemas.openxmlformats.org/officeDocument/2006/relationships/hyperlink" Target="https://www.the-sports.org/football-soccer-fc-voluntari-results-identity-equ44644.html" TargetMode="External"/><Relationship Id="rId1472" Type="http://schemas.openxmlformats.org/officeDocument/2006/relationships/hyperlink" Target="about:blank" TargetMode="External"/><Relationship Id="rId642" Type="http://schemas.openxmlformats.org/officeDocument/2006/relationships/hyperlink" Target="about:blank" TargetMode="External"/><Relationship Id="rId1473" Type="http://schemas.openxmlformats.org/officeDocument/2006/relationships/hyperlink" Target="https://lpf.ro/liga-1" TargetMode="External"/><Relationship Id="rId2320" Type="http://schemas.openxmlformats.org/officeDocument/2006/relationships/hyperlink" Target="about:blank" TargetMode="External"/><Relationship Id="rId641" Type="http://schemas.openxmlformats.org/officeDocument/2006/relationships/hyperlink" Target="https://sport.virgilio.it/calcio/squadre/" TargetMode="External"/><Relationship Id="rId1474" Type="http://schemas.openxmlformats.org/officeDocument/2006/relationships/hyperlink" Target="about:blank" TargetMode="External"/><Relationship Id="rId2321" Type="http://schemas.openxmlformats.org/officeDocument/2006/relationships/hyperlink" Target="https://en.wikipedia.org/wiki/2026%E2%80%9327_Gamma_Ethniki" TargetMode="External"/><Relationship Id="rId640" Type="http://schemas.openxmlformats.org/officeDocument/2006/relationships/hyperlink" Target="about:blank" TargetMode="External"/><Relationship Id="rId1475" Type="http://schemas.openxmlformats.org/officeDocument/2006/relationships/hyperlink" Target="https://en.wikipedia.org/wiki/FCSB" TargetMode="External"/><Relationship Id="rId2322" Type="http://schemas.openxmlformats.org/officeDocument/2006/relationships/hyperlink" Target="about:blank" TargetMode="External"/><Relationship Id="rId1476" Type="http://schemas.openxmlformats.org/officeDocument/2006/relationships/hyperlink" Target="about:blank" TargetMode="External"/><Relationship Id="rId2323" Type="http://schemas.openxmlformats.org/officeDocument/2006/relationships/hyperlink" Target="about:blank" TargetMode="External"/><Relationship Id="rId1466" Type="http://schemas.openxmlformats.org/officeDocument/2006/relationships/hyperlink" Target="about:blank" TargetMode="External"/><Relationship Id="rId2313" Type="http://schemas.openxmlformats.org/officeDocument/2006/relationships/hyperlink" Target="about:blank" TargetMode="External"/><Relationship Id="rId2797" Type="http://schemas.openxmlformats.org/officeDocument/2006/relationships/hyperlink" Target="https://www.uefa.com/uefaeuropaleague/clubs/" TargetMode="External"/><Relationship Id="rId1467" Type="http://schemas.openxmlformats.org/officeDocument/2006/relationships/hyperlink" Target="https://ro.wikipedia.org/wiki/FC_Boto%C8%99ani" TargetMode="External"/><Relationship Id="rId2314" Type="http://schemas.openxmlformats.org/officeDocument/2006/relationships/hyperlink" Target="https://www.soccerway.com/greece/gamma-ethniki-group-8/" TargetMode="External"/><Relationship Id="rId2798" Type="http://schemas.openxmlformats.org/officeDocument/2006/relationships/hyperlink" Target="about:blank" TargetMode="External"/><Relationship Id="rId1468" Type="http://schemas.openxmlformats.org/officeDocument/2006/relationships/hyperlink" Target="about:blank" TargetMode="External"/><Relationship Id="rId2315" Type="http://schemas.openxmlformats.org/officeDocument/2006/relationships/hyperlink" Target="about:blank" TargetMode="External"/><Relationship Id="rId2799" Type="http://schemas.openxmlformats.org/officeDocument/2006/relationships/hyperlink" Target="https://www.rsssf.org/colours/england.html" TargetMode="External"/><Relationship Id="rId1469" Type="http://schemas.openxmlformats.org/officeDocument/2006/relationships/hyperlink" Target="https://lpf.ro/liga-1" TargetMode="External"/><Relationship Id="rId2316" Type="http://schemas.openxmlformats.org/officeDocument/2006/relationships/hyperlink" Target="https://fr.wikipedia.org/wiki/AO_Proodeftiki" TargetMode="External"/><Relationship Id="rId2317" Type="http://schemas.openxmlformats.org/officeDocument/2006/relationships/hyperlink" Target="about:blank" TargetMode="External"/><Relationship Id="rId2318" Type="http://schemas.openxmlformats.org/officeDocument/2006/relationships/hyperlink" Target="https://en.wikipedia.org/wiki/2026%E2%80%9327_Gamma_Ethniki" TargetMode="External"/><Relationship Id="rId2319" Type="http://schemas.openxmlformats.org/officeDocument/2006/relationships/hyperlink" Target="about:blank" TargetMode="External"/><Relationship Id="rId635" Type="http://schemas.openxmlformats.org/officeDocument/2006/relationships/hyperlink" Target="https://www.rsssf.org/colours/italy.html" TargetMode="External"/><Relationship Id="rId634" Type="http://schemas.openxmlformats.org/officeDocument/2006/relationships/hyperlink" Target="about:blank" TargetMode="External"/><Relationship Id="rId633" Type="http://schemas.openxmlformats.org/officeDocument/2006/relationships/hyperlink" Target="https://sport.virgilio.it/calcio/squadre/" TargetMode="External"/><Relationship Id="rId632" Type="http://schemas.openxmlformats.org/officeDocument/2006/relationships/hyperlink" Target="about:blank" TargetMode="External"/><Relationship Id="rId639" Type="http://schemas.openxmlformats.org/officeDocument/2006/relationships/hyperlink" Target="https://www.rsssf.org/colours/italy.html" TargetMode="External"/><Relationship Id="rId638" Type="http://schemas.openxmlformats.org/officeDocument/2006/relationships/hyperlink" Target="about:blank" TargetMode="External"/><Relationship Id="rId637" Type="http://schemas.openxmlformats.org/officeDocument/2006/relationships/hyperlink" Target="https://sport.virgilio.it/calcio/squadre/" TargetMode="External"/><Relationship Id="rId636" Type="http://schemas.openxmlformats.org/officeDocument/2006/relationships/hyperlink" Target="about:blank" TargetMode="External"/><Relationship Id="rId2790" Type="http://schemas.openxmlformats.org/officeDocument/2006/relationships/hyperlink" Target="about:blank" TargetMode="External"/><Relationship Id="rId1460" Type="http://schemas.openxmlformats.org/officeDocument/2006/relationships/hyperlink" Target="about:blank" TargetMode="External"/><Relationship Id="rId2791" Type="http://schemas.openxmlformats.org/officeDocument/2006/relationships/hyperlink" Target="https://fr.wikipedia.org/wiki/AC_Sparta_Prague" TargetMode="External"/><Relationship Id="rId1461" Type="http://schemas.openxmlformats.org/officeDocument/2006/relationships/hyperlink" Target="https://lpf.ro/liga-1" TargetMode="External"/><Relationship Id="rId2792" Type="http://schemas.openxmlformats.org/officeDocument/2006/relationships/hyperlink" Target="about:blank" TargetMode="External"/><Relationship Id="rId631" Type="http://schemas.openxmlformats.org/officeDocument/2006/relationships/hyperlink" Target="https://www.rsssf.org/colours/italy.html" TargetMode="External"/><Relationship Id="rId1462" Type="http://schemas.openxmlformats.org/officeDocument/2006/relationships/hyperlink" Target="about:blank" TargetMode="External"/><Relationship Id="rId2793" Type="http://schemas.openxmlformats.org/officeDocument/2006/relationships/hyperlink" Target="https://www.uefa.com/uefaeuropaleague/clubs/" TargetMode="External"/><Relationship Id="rId630" Type="http://schemas.openxmlformats.org/officeDocument/2006/relationships/hyperlink" Target="about:blank" TargetMode="External"/><Relationship Id="rId1463" Type="http://schemas.openxmlformats.org/officeDocument/2006/relationships/hyperlink" Target="https://ro.wikipedia.org/wiki/FC_Arge%C8%99_Pite%C8%99ti" TargetMode="External"/><Relationship Id="rId2310" Type="http://schemas.openxmlformats.org/officeDocument/2006/relationships/hyperlink" Target="https://www.soccerway.com/greece/gamma-ethniki-group-8/" TargetMode="External"/><Relationship Id="rId2794" Type="http://schemas.openxmlformats.org/officeDocument/2006/relationships/hyperlink" Target="about:blank" TargetMode="External"/><Relationship Id="rId1464" Type="http://schemas.openxmlformats.org/officeDocument/2006/relationships/hyperlink" Target="about:blank" TargetMode="External"/><Relationship Id="rId2311" Type="http://schemas.openxmlformats.org/officeDocument/2006/relationships/hyperlink" Target="about:blank" TargetMode="External"/><Relationship Id="rId2795" Type="http://schemas.openxmlformats.org/officeDocument/2006/relationships/hyperlink" Target="https://fr.wikipedia.org/wiki/SK_Sturm_Graz" TargetMode="External"/><Relationship Id="rId1465" Type="http://schemas.openxmlformats.org/officeDocument/2006/relationships/hyperlink" Target="https://lpf.ro/liga-1" TargetMode="External"/><Relationship Id="rId2312" Type="http://schemas.openxmlformats.org/officeDocument/2006/relationships/hyperlink" Target="https://www.rsssf.org/colours/greece.html" TargetMode="External"/><Relationship Id="rId2796" Type="http://schemas.openxmlformats.org/officeDocument/2006/relationships/hyperlink" Target="about:blank" TargetMode="External"/><Relationship Id="rId1411" Type="http://schemas.openxmlformats.org/officeDocument/2006/relationships/hyperlink" Target="https://www.rsssf.org/colours/france.html" TargetMode="External"/><Relationship Id="rId1895" Type="http://schemas.openxmlformats.org/officeDocument/2006/relationships/hyperlink" Target="https://www.slgr.gr/en/teams/" TargetMode="External"/><Relationship Id="rId2742" Type="http://schemas.openxmlformats.org/officeDocument/2006/relationships/hyperlink" Target="about:blank" TargetMode="External"/><Relationship Id="rId1412" Type="http://schemas.openxmlformats.org/officeDocument/2006/relationships/hyperlink" Target="about:blank" TargetMode="External"/><Relationship Id="rId1896" Type="http://schemas.openxmlformats.org/officeDocument/2006/relationships/hyperlink" Target="about:blank" TargetMode="External"/><Relationship Id="rId2743" Type="http://schemas.openxmlformats.org/officeDocument/2006/relationships/hyperlink" Target="https://fr.wikipedia.org/wiki/PFK_Levski_Sofia" TargetMode="External"/><Relationship Id="rId1413" Type="http://schemas.openxmlformats.org/officeDocument/2006/relationships/hyperlink" Target="https://www.fff.fr/article/17022-le-calendrier-2026-2027-est-servi.html" TargetMode="External"/><Relationship Id="rId1897" Type="http://schemas.openxmlformats.org/officeDocument/2006/relationships/hyperlink" Target="https://www.rsssf.org/colours/greece.html" TargetMode="External"/><Relationship Id="rId2744" Type="http://schemas.openxmlformats.org/officeDocument/2006/relationships/hyperlink" Target="about:blank" TargetMode="External"/><Relationship Id="rId1414" Type="http://schemas.openxmlformats.org/officeDocument/2006/relationships/hyperlink" Target="about:blank" TargetMode="External"/><Relationship Id="rId1898" Type="http://schemas.openxmlformats.org/officeDocument/2006/relationships/hyperlink" Target="about:blank" TargetMode="External"/><Relationship Id="rId2745" Type="http://schemas.openxmlformats.org/officeDocument/2006/relationships/hyperlink" Target="https://www.uefa.com/uefaeuropaleague/clubs/" TargetMode="External"/><Relationship Id="rId1415" Type="http://schemas.openxmlformats.org/officeDocument/2006/relationships/hyperlink" Target="https://fr.wikipedia.org/wiki/Paris_13_Atletico" TargetMode="External"/><Relationship Id="rId1899" Type="http://schemas.openxmlformats.org/officeDocument/2006/relationships/hyperlink" Target="https://www.slgr.gr/en/teams/" TargetMode="External"/><Relationship Id="rId2746" Type="http://schemas.openxmlformats.org/officeDocument/2006/relationships/hyperlink" Target="about:blank" TargetMode="External"/><Relationship Id="rId1416" Type="http://schemas.openxmlformats.org/officeDocument/2006/relationships/hyperlink" Target="about:blank" TargetMode="External"/><Relationship Id="rId2747" Type="http://schemas.openxmlformats.org/officeDocument/2006/relationships/hyperlink" Target="https://www.rsssf.org/colours/norway.html" TargetMode="External"/><Relationship Id="rId1417" Type="http://schemas.openxmlformats.org/officeDocument/2006/relationships/hyperlink" Target="https://www.fff.fr/article/17022-le-calendrier-2026-2027-est-servi.html" TargetMode="External"/><Relationship Id="rId2748" Type="http://schemas.openxmlformats.org/officeDocument/2006/relationships/hyperlink" Target="about:blank" TargetMode="External"/><Relationship Id="rId1418" Type="http://schemas.openxmlformats.org/officeDocument/2006/relationships/hyperlink" Target="about:blank" TargetMode="External"/><Relationship Id="rId2749" Type="http://schemas.openxmlformats.org/officeDocument/2006/relationships/hyperlink" Target="https://www.uefa.com/uefaeuropaleague/clubs/" TargetMode="External"/><Relationship Id="rId1419" Type="http://schemas.openxmlformats.org/officeDocument/2006/relationships/hyperlink" Target="https://fr.wikipedia.org/wiki/Union_sportive_Quevilly-Rouen_M%C3%A9tropole" TargetMode="External"/><Relationship Id="rId1890" Type="http://schemas.openxmlformats.org/officeDocument/2006/relationships/hyperlink" Target="about:blank" TargetMode="External"/><Relationship Id="rId1891" Type="http://schemas.openxmlformats.org/officeDocument/2006/relationships/hyperlink" Target="https://www.slgr.gr/en/teams/" TargetMode="External"/><Relationship Id="rId1892" Type="http://schemas.openxmlformats.org/officeDocument/2006/relationships/hyperlink" Target="about:blank" TargetMode="External"/><Relationship Id="rId1893" Type="http://schemas.openxmlformats.org/officeDocument/2006/relationships/hyperlink" Target="https://www.rsssf.org/colours/greece.html" TargetMode="External"/><Relationship Id="rId2740" Type="http://schemas.openxmlformats.org/officeDocument/2006/relationships/hyperlink" Target="about:blank" TargetMode="External"/><Relationship Id="rId1410" Type="http://schemas.openxmlformats.org/officeDocument/2006/relationships/hyperlink" Target="about:blank" TargetMode="External"/><Relationship Id="rId1894" Type="http://schemas.openxmlformats.org/officeDocument/2006/relationships/hyperlink" Target="about:blank" TargetMode="External"/><Relationship Id="rId2741" Type="http://schemas.openxmlformats.org/officeDocument/2006/relationships/hyperlink" Target="https://www.uefa.com/uefaeuropaleague/clubs/" TargetMode="External"/><Relationship Id="rId1400" Type="http://schemas.openxmlformats.org/officeDocument/2006/relationships/hyperlink" Target="about:blank" TargetMode="External"/><Relationship Id="rId1884" Type="http://schemas.openxmlformats.org/officeDocument/2006/relationships/hyperlink" Target="about:blank" TargetMode="External"/><Relationship Id="rId2731" Type="http://schemas.openxmlformats.org/officeDocument/2006/relationships/hyperlink" Target="https://fr.wikipedia.org/wiki/Jagiellonia_Bia%C5%82ystok" TargetMode="External"/><Relationship Id="rId1401" Type="http://schemas.openxmlformats.org/officeDocument/2006/relationships/hyperlink" Target="https://www.fff.fr/article/17022-le-calendrier-2026-2027-est-servi.html" TargetMode="External"/><Relationship Id="rId1885" Type="http://schemas.openxmlformats.org/officeDocument/2006/relationships/hyperlink" Target="https://liga2.prosport.ro/liga-3/componenta-seriilor-noului-sezon-de-liga-3-editia-2026-2027-19397075" TargetMode="External"/><Relationship Id="rId2732" Type="http://schemas.openxmlformats.org/officeDocument/2006/relationships/hyperlink" Target="about:blank" TargetMode="External"/><Relationship Id="rId1402" Type="http://schemas.openxmlformats.org/officeDocument/2006/relationships/hyperlink" Target="about:blank" TargetMode="External"/><Relationship Id="rId1886" Type="http://schemas.openxmlformats.org/officeDocument/2006/relationships/hyperlink" Target="about:blank" TargetMode="External"/><Relationship Id="rId2733" Type="http://schemas.openxmlformats.org/officeDocument/2006/relationships/hyperlink" Target="https://www.uefa.com/uefaeuropaleague/clubs/" TargetMode="External"/><Relationship Id="rId1403" Type="http://schemas.openxmlformats.org/officeDocument/2006/relationships/hyperlink" Target="https://fr.wikipedia.org/wiki/Vend%C3%A9e_Foot_Club_La_Roche-sur-Yon" TargetMode="External"/><Relationship Id="rId1887" Type="http://schemas.openxmlformats.org/officeDocument/2006/relationships/hyperlink" Target="about:blank" TargetMode="External"/><Relationship Id="rId2734" Type="http://schemas.openxmlformats.org/officeDocument/2006/relationships/hyperlink" Target="about:blank" TargetMode="External"/><Relationship Id="rId1404" Type="http://schemas.openxmlformats.org/officeDocument/2006/relationships/hyperlink" Target="about:blank" TargetMode="External"/><Relationship Id="rId1888" Type="http://schemas.openxmlformats.org/officeDocument/2006/relationships/hyperlink" Target="https://liga2.prosport.ro/liga-3/componenta-seriilor-noului-sezon-de-liga-3-editia-2026-2027-19397075" TargetMode="External"/><Relationship Id="rId2735" Type="http://schemas.openxmlformats.org/officeDocument/2006/relationships/hyperlink" Target="https://www.rsssf.org/colours/italy.html" TargetMode="External"/><Relationship Id="rId1405" Type="http://schemas.openxmlformats.org/officeDocument/2006/relationships/hyperlink" Target="https://www.fff.fr/article/17022-le-calendrier-2026-2027-est-servi.html" TargetMode="External"/><Relationship Id="rId1889" Type="http://schemas.openxmlformats.org/officeDocument/2006/relationships/hyperlink" Target="about:blank" TargetMode="External"/><Relationship Id="rId2736" Type="http://schemas.openxmlformats.org/officeDocument/2006/relationships/hyperlink" Target="about:blank" TargetMode="External"/><Relationship Id="rId1406" Type="http://schemas.openxmlformats.org/officeDocument/2006/relationships/hyperlink" Target="about:blank" TargetMode="External"/><Relationship Id="rId2737" Type="http://schemas.openxmlformats.org/officeDocument/2006/relationships/hyperlink" Target="https://www.uefa.com/uefaeuropaleague/clubs/" TargetMode="External"/><Relationship Id="rId1407" Type="http://schemas.openxmlformats.org/officeDocument/2006/relationships/hyperlink" Target="https://fr.wikipedia.org/wiki/Le_Puy_Foot_43_Auvergne" TargetMode="External"/><Relationship Id="rId2738" Type="http://schemas.openxmlformats.org/officeDocument/2006/relationships/hyperlink" Target="about:blank" TargetMode="External"/><Relationship Id="rId1408" Type="http://schemas.openxmlformats.org/officeDocument/2006/relationships/hyperlink" Target="about:blank" TargetMode="External"/><Relationship Id="rId2739" Type="http://schemas.openxmlformats.org/officeDocument/2006/relationships/hyperlink" Target="https://fr.wikipedia.org/wiki/Lech_Pozna%C5%84" TargetMode="External"/><Relationship Id="rId1409" Type="http://schemas.openxmlformats.org/officeDocument/2006/relationships/hyperlink" Target="https://www.fff.fr/article/17022-le-calendrier-2026-2027-est-servi.html" TargetMode="External"/><Relationship Id="rId1880" Type="http://schemas.openxmlformats.org/officeDocument/2006/relationships/hyperlink" Target="about:blank" TargetMode="External"/><Relationship Id="rId1881" Type="http://schemas.openxmlformats.org/officeDocument/2006/relationships/hyperlink" Target="https://liga2.prosport.ro/liga-3/componenta-seriilor-noului-sezon-de-liga-3-editia-2026-2027-19397075" TargetMode="External"/><Relationship Id="rId1882" Type="http://schemas.openxmlformats.org/officeDocument/2006/relationships/hyperlink" Target="about:blank" TargetMode="External"/><Relationship Id="rId1883" Type="http://schemas.openxmlformats.org/officeDocument/2006/relationships/hyperlink" Target="https://en.wikipedia.org/wiki/FC_Unirea_Dej" TargetMode="External"/><Relationship Id="rId2730" Type="http://schemas.openxmlformats.org/officeDocument/2006/relationships/hyperlink" Target="about:blank" TargetMode="External"/><Relationship Id="rId1433" Type="http://schemas.openxmlformats.org/officeDocument/2006/relationships/hyperlink" Target="https://www.fff.fr/article/17022-le-calendrier-2026-2027-est-servi.html" TargetMode="External"/><Relationship Id="rId2764" Type="http://schemas.openxmlformats.org/officeDocument/2006/relationships/hyperlink" Target="about:blank" TargetMode="External"/><Relationship Id="rId1434" Type="http://schemas.openxmlformats.org/officeDocument/2006/relationships/hyperlink" Target="about:blank" TargetMode="External"/><Relationship Id="rId2765" Type="http://schemas.openxmlformats.org/officeDocument/2006/relationships/hyperlink" Target="https://www.uefa.com/uefaeuropaleague/clubs/" TargetMode="External"/><Relationship Id="rId1435" Type="http://schemas.openxmlformats.org/officeDocument/2006/relationships/hyperlink" Target="https://fr.wikipedia.org/wiki/Football_Club_Versailles_78" TargetMode="External"/><Relationship Id="rId2766" Type="http://schemas.openxmlformats.org/officeDocument/2006/relationships/hyperlink" Target="about:blank" TargetMode="External"/><Relationship Id="rId1436" Type="http://schemas.openxmlformats.org/officeDocument/2006/relationships/hyperlink" Target="about:blank" TargetMode="External"/><Relationship Id="rId2767" Type="http://schemas.openxmlformats.org/officeDocument/2006/relationships/hyperlink" Target="https://www.rsssf.org/colours/greece.html" TargetMode="External"/><Relationship Id="rId1437" Type="http://schemas.openxmlformats.org/officeDocument/2006/relationships/hyperlink" Target="https://www.fff.fr/article/17022-le-calendrier-2026-2027-est-servi.html" TargetMode="External"/><Relationship Id="rId2768" Type="http://schemas.openxmlformats.org/officeDocument/2006/relationships/hyperlink" Target="about:blank" TargetMode="External"/><Relationship Id="rId1438" Type="http://schemas.openxmlformats.org/officeDocument/2006/relationships/hyperlink" Target="about:blank" TargetMode="External"/><Relationship Id="rId2769" Type="http://schemas.openxmlformats.org/officeDocument/2006/relationships/hyperlink" Target="https://www.uefa.com/uefaeuropaleague/clubs/" TargetMode="External"/><Relationship Id="rId1439" Type="http://schemas.openxmlformats.org/officeDocument/2006/relationships/hyperlink" Target="https://fr.wikipedia.org/wiki/Football_Club_Villefranche_Beaujolais" TargetMode="External"/><Relationship Id="rId609" Type="http://schemas.openxmlformats.org/officeDocument/2006/relationships/hyperlink" Target="https://sport.virgilio.it/calcio/squadre/" TargetMode="External"/><Relationship Id="rId608" Type="http://schemas.openxmlformats.org/officeDocument/2006/relationships/hyperlink" Target="about:blank" TargetMode="External"/><Relationship Id="rId607" Type="http://schemas.openxmlformats.org/officeDocument/2006/relationships/hyperlink" Target="https://www.rsssf.org/colours/italy.html" TargetMode="External"/><Relationship Id="rId602" Type="http://schemas.openxmlformats.org/officeDocument/2006/relationships/hyperlink" Target="about:blank" TargetMode="External"/><Relationship Id="rId601" Type="http://schemas.openxmlformats.org/officeDocument/2006/relationships/hyperlink" Target="https://sport.virgilio.it/calcio/squadre/" TargetMode="External"/><Relationship Id="rId600" Type="http://schemas.openxmlformats.org/officeDocument/2006/relationships/hyperlink" Target="about:blank" TargetMode="External"/><Relationship Id="rId606" Type="http://schemas.openxmlformats.org/officeDocument/2006/relationships/hyperlink" Target="about:blank" TargetMode="External"/><Relationship Id="rId605" Type="http://schemas.openxmlformats.org/officeDocument/2006/relationships/hyperlink" Target="https://sport.virgilio.it/calcio/squadre/" TargetMode="External"/><Relationship Id="rId604" Type="http://schemas.openxmlformats.org/officeDocument/2006/relationships/hyperlink" Target="about:blank" TargetMode="External"/><Relationship Id="rId603" Type="http://schemas.openxmlformats.org/officeDocument/2006/relationships/hyperlink" Target="https://www.rsssf.org/colours/italy.html" TargetMode="External"/><Relationship Id="rId2760" Type="http://schemas.openxmlformats.org/officeDocument/2006/relationships/hyperlink" Target="about:blank" TargetMode="External"/><Relationship Id="rId1430" Type="http://schemas.openxmlformats.org/officeDocument/2006/relationships/hyperlink" Target="about:blank" TargetMode="External"/><Relationship Id="rId2761" Type="http://schemas.openxmlformats.org/officeDocument/2006/relationships/hyperlink" Target="https://www.uefa.com/uefaeuropaleague/clubs/" TargetMode="External"/><Relationship Id="rId1431" Type="http://schemas.openxmlformats.org/officeDocument/2006/relationships/hyperlink" Target="https://www.rsssf.org/colours/france.html" TargetMode="External"/><Relationship Id="rId2762" Type="http://schemas.openxmlformats.org/officeDocument/2006/relationships/hyperlink" Target="about:blank" TargetMode="External"/><Relationship Id="rId1432" Type="http://schemas.openxmlformats.org/officeDocument/2006/relationships/hyperlink" Target="about:blank" TargetMode="External"/><Relationship Id="rId2763" Type="http://schemas.openxmlformats.org/officeDocument/2006/relationships/hyperlink" Target="https://fr.wikipedia.org/wiki/NEC_Nim%C3%A8gue" TargetMode="External"/><Relationship Id="rId1422" Type="http://schemas.openxmlformats.org/officeDocument/2006/relationships/hyperlink" Target="about:blank" TargetMode="External"/><Relationship Id="rId2753" Type="http://schemas.openxmlformats.org/officeDocument/2006/relationships/hyperlink" Target="https://www.uefa.com/uefaeuropaleague/clubs/" TargetMode="External"/><Relationship Id="rId1423" Type="http://schemas.openxmlformats.org/officeDocument/2006/relationships/hyperlink" Target="https://www.rsssf.org/colours/france.html" TargetMode="External"/><Relationship Id="rId2754" Type="http://schemas.openxmlformats.org/officeDocument/2006/relationships/hyperlink" Target="about:blank" TargetMode="External"/><Relationship Id="rId1424" Type="http://schemas.openxmlformats.org/officeDocument/2006/relationships/hyperlink" Target="about:blank" TargetMode="External"/><Relationship Id="rId2755" Type="http://schemas.openxmlformats.org/officeDocument/2006/relationships/hyperlink" Target="https://www.rsssf.org/colours/france.html" TargetMode="External"/><Relationship Id="rId1425" Type="http://schemas.openxmlformats.org/officeDocument/2006/relationships/hyperlink" Target="https://www.fff.fr/article/17022-le-calendrier-2026-2027-est-servi.html" TargetMode="External"/><Relationship Id="rId2756" Type="http://schemas.openxmlformats.org/officeDocument/2006/relationships/hyperlink" Target="about:blank" TargetMode="External"/><Relationship Id="rId1426" Type="http://schemas.openxmlformats.org/officeDocument/2006/relationships/hyperlink" Target="about:blank" TargetMode="External"/><Relationship Id="rId2757" Type="http://schemas.openxmlformats.org/officeDocument/2006/relationships/hyperlink" Target="https://www.uefa.com/uefaeuropaleague/clubs/" TargetMode="External"/><Relationship Id="rId1427" Type="http://schemas.openxmlformats.org/officeDocument/2006/relationships/hyperlink" Target="https://fr.wikipedia.org/wiki/Union_sportive_Thionville_Lusitanos" TargetMode="External"/><Relationship Id="rId2758" Type="http://schemas.openxmlformats.org/officeDocument/2006/relationships/hyperlink" Target="about:blank" TargetMode="External"/><Relationship Id="rId1428" Type="http://schemas.openxmlformats.org/officeDocument/2006/relationships/hyperlink" Target="about:blank" TargetMode="External"/><Relationship Id="rId2759" Type="http://schemas.openxmlformats.org/officeDocument/2006/relationships/hyperlink" Target="https://www.rsssf.org/colours/italy.html" TargetMode="External"/><Relationship Id="rId1429" Type="http://schemas.openxmlformats.org/officeDocument/2006/relationships/hyperlink" Target="https://www.fff.fr/article/17022-le-calendrier-2026-2027-est-servi.html" TargetMode="External"/><Relationship Id="rId2750" Type="http://schemas.openxmlformats.org/officeDocument/2006/relationships/hyperlink" Target="about:blank" TargetMode="External"/><Relationship Id="rId1420" Type="http://schemas.openxmlformats.org/officeDocument/2006/relationships/hyperlink" Target="about:blank" TargetMode="External"/><Relationship Id="rId2751" Type="http://schemas.openxmlformats.org/officeDocument/2006/relationships/hyperlink" Target="https://www.rsssf.org/colours/france.html" TargetMode="External"/><Relationship Id="rId1421" Type="http://schemas.openxmlformats.org/officeDocument/2006/relationships/hyperlink" Target="https://www.fff.fr/article/17022-le-calendrier-2026-2027-est-servi.html" TargetMode="External"/><Relationship Id="rId2752" Type="http://schemas.openxmlformats.org/officeDocument/2006/relationships/hyperlink" Target="about:blank" TargetMode="External"/><Relationship Id="rId1059" Type="http://schemas.openxmlformats.org/officeDocument/2006/relationships/hyperlink" Target="https://de.wikipedia.org/wiki/TSG_1899_Hoffenheim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en.wikipedia.org/wiki/Luton_Town_F.C.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efl.com/competitions/efl-league-one/" TargetMode="External"/><Relationship Id="rId2380" Type="http://schemas.openxmlformats.org/officeDocument/2006/relationships/hyperlink" Target="about:blank" TargetMode="External"/><Relationship Id="rId229" Type="http://schemas.openxmlformats.org/officeDocument/2006/relationships/hyperlink" Target="https://www.efl.com/competitions/efl-league-one/" TargetMode="External"/><Relationship Id="rId1050" Type="http://schemas.openxmlformats.org/officeDocument/2006/relationships/hyperlink" Target="about:blank" TargetMode="External"/><Relationship Id="rId2381" Type="http://schemas.openxmlformats.org/officeDocument/2006/relationships/hyperlink" Target="https://www.epo.gr/el/competition/3/stage/1407/group/2075/matches" TargetMode="External"/><Relationship Id="rId220" Type="http://schemas.openxmlformats.org/officeDocument/2006/relationships/hyperlink" Target="about:blank" TargetMode="External"/><Relationship Id="rId1051" Type="http://schemas.openxmlformats.org/officeDocument/2006/relationships/hyperlink" Target="https://www.rsssf.org/colours/germany.html" TargetMode="External"/><Relationship Id="rId2382" Type="http://schemas.openxmlformats.org/officeDocument/2006/relationships/hyperlink" Target="about:blank" TargetMode="External"/><Relationship Id="rId1052" Type="http://schemas.openxmlformats.org/officeDocument/2006/relationships/hyperlink" Target="about:blank" TargetMode="External"/><Relationship Id="rId2383" Type="http://schemas.openxmlformats.org/officeDocument/2006/relationships/hyperlink" Target="about:blank" TargetMode="External"/><Relationship Id="rId1053" Type="http://schemas.openxmlformats.org/officeDocument/2006/relationships/hyperlink" Target="https://en.wikipedia.org/wiki/2026%E2%80%9327_Bundesliga" TargetMode="External"/><Relationship Id="rId2384" Type="http://schemas.openxmlformats.org/officeDocument/2006/relationships/hyperlink" Target="https://www.epo.gr/el/competition/3/stage/1407/group/2075/matches" TargetMode="External"/><Relationship Id="rId1054" Type="http://schemas.openxmlformats.org/officeDocument/2006/relationships/hyperlink" Target="about:blank" TargetMode="External"/><Relationship Id="rId2385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1055" Type="http://schemas.openxmlformats.org/officeDocument/2006/relationships/hyperlink" Target="https://de.wikipedia.org/wiki/SV_Elversberg" TargetMode="External"/><Relationship Id="rId2386" Type="http://schemas.openxmlformats.org/officeDocument/2006/relationships/hyperlink" Target="https://www.rsssf.org/colours/greece.html" TargetMode="External"/><Relationship Id="rId223" Type="http://schemas.openxmlformats.org/officeDocument/2006/relationships/hyperlink" Target="https://www.rsssf.org/colours/england.html" TargetMode="External"/><Relationship Id="rId1056" Type="http://schemas.openxmlformats.org/officeDocument/2006/relationships/hyperlink" Target="about:blank" TargetMode="External"/><Relationship Id="rId2387" Type="http://schemas.openxmlformats.org/officeDocument/2006/relationships/hyperlink" Target="about:blank" TargetMode="External"/><Relationship Id="rId222" Type="http://schemas.openxmlformats.org/officeDocument/2006/relationships/hyperlink" Target="about:blank" TargetMode="External"/><Relationship Id="rId1057" Type="http://schemas.openxmlformats.org/officeDocument/2006/relationships/hyperlink" Target="https://en.wikipedia.org/wiki/2026%E2%80%9327_Bundesliga" TargetMode="External"/><Relationship Id="rId2388" Type="http://schemas.openxmlformats.org/officeDocument/2006/relationships/hyperlink" Target="https://www.epo.gr/el/competition/3/stage/1407/group/2075/matches" TargetMode="External"/><Relationship Id="rId221" Type="http://schemas.openxmlformats.org/officeDocument/2006/relationships/hyperlink" Target="https://www.efl.com/competitions/efl-league-one/" TargetMode="External"/><Relationship Id="rId1058" Type="http://schemas.openxmlformats.org/officeDocument/2006/relationships/hyperlink" Target="about:blank" TargetMode="External"/><Relationship Id="rId2389" Type="http://schemas.openxmlformats.org/officeDocument/2006/relationships/hyperlink" Target="about:blank" TargetMode="External"/><Relationship Id="rId1048" Type="http://schemas.openxmlformats.org/officeDocument/2006/relationships/hyperlink" Target="about:blank" TargetMode="External"/><Relationship Id="rId2379" Type="http://schemas.openxmlformats.org/officeDocument/2006/relationships/hyperlink" Target="about:blank" TargetMode="External"/><Relationship Id="rId1049" Type="http://schemas.openxmlformats.org/officeDocument/2006/relationships/hyperlink" Target="https://en.wikipedia.org/wiki/2026%E2%80%9327_Bundesliga" TargetMode="External"/><Relationship Id="rId217" Type="http://schemas.openxmlformats.org/officeDocument/2006/relationships/hyperlink" Target="https://www.efl.com/competitions/efl-league-one/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www.rsssf.org/colours/england.html" TargetMode="External"/><Relationship Id="rId699" Type="http://schemas.openxmlformats.org/officeDocument/2006/relationships/hyperlink" Target="https://it.wikipedia.org/wiki/Carrarese_Calcio_1908" TargetMode="External"/><Relationship Id="rId214" Type="http://schemas.openxmlformats.org/officeDocument/2006/relationships/hyperlink" Target="about:blank" TargetMode="External"/><Relationship Id="rId698" Type="http://schemas.openxmlformats.org/officeDocument/2006/relationships/hyperlink" Target="about:blank" TargetMode="External"/><Relationship Id="rId219" Type="http://schemas.openxmlformats.org/officeDocument/2006/relationships/hyperlink" Target="https://www.rsssf.org/colours/england.html" TargetMode="External"/><Relationship Id="rId218" Type="http://schemas.openxmlformats.org/officeDocument/2006/relationships/hyperlink" Target="about:blank" TargetMode="External"/><Relationship Id="rId2370" Type="http://schemas.openxmlformats.org/officeDocument/2006/relationships/hyperlink" Target="about:blank" TargetMode="External"/><Relationship Id="rId693" Type="http://schemas.openxmlformats.org/officeDocument/2006/relationships/hyperlink" Target="https://sport.virgilio.it/calcio/squadre/" TargetMode="External"/><Relationship Id="rId1040" Type="http://schemas.openxmlformats.org/officeDocument/2006/relationships/hyperlink" Target="about:blank" TargetMode="External"/><Relationship Id="rId2371" Type="http://schemas.openxmlformats.org/officeDocument/2006/relationships/hyperlink" Target="https://www.epo.gr/el/competition/3/stage/1407/group/2075/matches" TargetMode="External"/><Relationship Id="rId692" Type="http://schemas.openxmlformats.org/officeDocument/2006/relationships/hyperlink" Target="about:blank" TargetMode="External"/><Relationship Id="rId1041" Type="http://schemas.openxmlformats.org/officeDocument/2006/relationships/hyperlink" Target="https://en.wikipedia.org/wiki/2026%E2%80%9327_Bundesliga" TargetMode="External"/><Relationship Id="rId2372" Type="http://schemas.openxmlformats.org/officeDocument/2006/relationships/hyperlink" Target="about:blank" TargetMode="External"/><Relationship Id="rId691" Type="http://schemas.openxmlformats.org/officeDocument/2006/relationships/hyperlink" Target="https://www.rsssf.org/colours/italy.html" TargetMode="External"/><Relationship Id="rId1042" Type="http://schemas.openxmlformats.org/officeDocument/2006/relationships/hyperlink" Target="about:blank" TargetMode="External"/><Relationship Id="rId2373" Type="http://schemas.openxmlformats.org/officeDocument/2006/relationships/hyperlink" Target="https://www.rsssf.org/colours/greece.html" TargetMode="External"/><Relationship Id="rId690" Type="http://schemas.openxmlformats.org/officeDocument/2006/relationships/hyperlink" Target="about:blank" TargetMode="External"/><Relationship Id="rId1043" Type="http://schemas.openxmlformats.org/officeDocument/2006/relationships/hyperlink" Target="https://www.rsssf.org/colours/germany.html" TargetMode="External"/><Relationship Id="rId2374" Type="http://schemas.openxmlformats.org/officeDocument/2006/relationships/hyperlink" Target="about:blank" TargetMode="External"/><Relationship Id="rId213" Type="http://schemas.openxmlformats.org/officeDocument/2006/relationships/hyperlink" Target="https://www.efl.com/competitions/efl-league-one/" TargetMode="External"/><Relationship Id="rId697" Type="http://schemas.openxmlformats.org/officeDocument/2006/relationships/hyperlink" Target="https://sport.virgilio.it/calcio/squadre/" TargetMode="External"/><Relationship Id="rId1044" Type="http://schemas.openxmlformats.org/officeDocument/2006/relationships/hyperlink" Target="about:blank" TargetMode="External"/><Relationship Id="rId2375" Type="http://schemas.openxmlformats.org/officeDocument/2006/relationships/hyperlink" Target="https://www.epo.gr/el/competition/3/stage/1407/group/2075/matches" TargetMode="External"/><Relationship Id="rId212" Type="http://schemas.openxmlformats.org/officeDocument/2006/relationships/hyperlink" Target="about:blank" TargetMode="External"/><Relationship Id="rId696" Type="http://schemas.openxmlformats.org/officeDocument/2006/relationships/hyperlink" Target="about:blank" TargetMode="External"/><Relationship Id="rId1045" Type="http://schemas.openxmlformats.org/officeDocument/2006/relationships/hyperlink" Target="https://en.wikipedia.org/wiki/2026%E2%80%9327_Bundesliga" TargetMode="External"/><Relationship Id="rId2376" Type="http://schemas.openxmlformats.org/officeDocument/2006/relationships/hyperlink" Target="about:blank" TargetMode="External"/><Relationship Id="rId211" Type="http://schemas.openxmlformats.org/officeDocument/2006/relationships/hyperlink" Target="https://www.rsssf.org/colours/england.html" TargetMode="External"/><Relationship Id="rId695" Type="http://schemas.openxmlformats.org/officeDocument/2006/relationships/hyperlink" Target="https://it.wikipedia.org/wiki/Benevento_Calcio" TargetMode="External"/><Relationship Id="rId1046" Type="http://schemas.openxmlformats.org/officeDocument/2006/relationships/hyperlink" Target="about:blank" TargetMode="External"/><Relationship Id="rId2377" Type="http://schemas.openxmlformats.org/officeDocument/2006/relationships/hyperlink" Target="about:blank" TargetMode="External"/><Relationship Id="rId210" Type="http://schemas.openxmlformats.org/officeDocument/2006/relationships/hyperlink" Target="about:blank" TargetMode="External"/><Relationship Id="rId694" Type="http://schemas.openxmlformats.org/officeDocument/2006/relationships/hyperlink" Target="about:blank" TargetMode="External"/><Relationship Id="rId1047" Type="http://schemas.openxmlformats.org/officeDocument/2006/relationships/hyperlink" Target="https://de.wikipedia.org/wiki/SC_Paderborn_07" TargetMode="External"/><Relationship Id="rId2378" Type="http://schemas.openxmlformats.org/officeDocument/2006/relationships/hyperlink" Target="https://www.epo.gr/el/competition/3/stage/1407/group/2075/matches" TargetMode="External"/><Relationship Id="rId249" Type="http://schemas.openxmlformats.org/officeDocument/2006/relationships/hyperlink" Target="https://www.efl.com/competitions/efl-league-one/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https://www.rsssf.org/colours/england.html" TargetMode="External"/><Relationship Id="rId1070" Type="http://schemas.openxmlformats.org/officeDocument/2006/relationships/hyperlink" Target="about:blank" TargetMode="External"/><Relationship Id="rId1071" Type="http://schemas.openxmlformats.org/officeDocument/2006/relationships/hyperlink" Target="https://www.rsssf.org/colours/germany.html" TargetMode="External"/><Relationship Id="rId1072" Type="http://schemas.openxmlformats.org/officeDocument/2006/relationships/hyperlink" Target="about:blank" TargetMode="External"/><Relationship Id="rId242" Type="http://schemas.openxmlformats.org/officeDocument/2006/relationships/hyperlink" Target="about:blank" TargetMode="External"/><Relationship Id="rId1073" Type="http://schemas.openxmlformats.org/officeDocument/2006/relationships/hyperlink" Target="https://www.bundesliga.com/de/2bundesliga/tabelle?view=full" TargetMode="External"/><Relationship Id="rId241" Type="http://schemas.openxmlformats.org/officeDocument/2006/relationships/hyperlink" Target="https://www.efl.com/competitions/efl-league-one/" TargetMode="External"/><Relationship Id="rId1074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1075" Type="http://schemas.openxmlformats.org/officeDocument/2006/relationships/hyperlink" Target="https://de.wikipedia.org/wiki/1._FC_Heidenheim" TargetMode="External"/><Relationship Id="rId1076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1077" Type="http://schemas.openxmlformats.org/officeDocument/2006/relationships/hyperlink" Target="https://www.bundesliga.com/de/2bundesliga/tabelle?view=full" TargetMode="External"/><Relationship Id="rId245" Type="http://schemas.openxmlformats.org/officeDocument/2006/relationships/hyperlink" Target="https://www.efl.com/competitions/efl-league-one/" TargetMode="External"/><Relationship Id="rId1078" Type="http://schemas.openxmlformats.org/officeDocument/2006/relationships/hyperlink" Target="about:blank" TargetMode="External"/><Relationship Id="rId244" Type="http://schemas.openxmlformats.org/officeDocument/2006/relationships/hyperlink" Target="about:blank" TargetMode="External"/><Relationship Id="rId1079" Type="http://schemas.openxmlformats.org/officeDocument/2006/relationships/hyperlink" Target="https://www.rsssf.org/colours/germany.html" TargetMode="External"/><Relationship Id="rId243" Type="http://schemas.openxmlformats.org/officeDocument/2006/relationships/hyperlink" Target="https://www.football-stadiums.co.uk/articles/football-club-kit-colours/" TargetMode="External"/><Relationship Id="rId239" Type="http://schemas.openxmlformats.org/officeDocument/2006/relationships/hyperlink" Target="https://www.rsssf.org/colours/england.html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www.efl.com/competitions/efl-league-one/" TargetMode="External"/><Relationship Id="rId236" Type="http://schemas.openxmlformats.org/officeDocument/2006/relationships/hyperlink" Target="about:blank" TargetMode="External"/><Relationship Id="rId2390" Type="http://schemas.openxmlformats.org/officeDocument/2006/relationships/hyperlink" Target="about:blank" TargetMode="External"/><Relationship Id="rId1060" Type="http://schemas.openxmlformats.org/officeDocument/2006/relationships/hyperlink" Target="about:blank" TargetMode="External"/><Relationship Id="rId2391" Type="http://schemas.openxmlformats.org/officeDocument/2006/relationships/hyperlink" Target="https://www.epo.gr/el/competition/3/stage/1407/group/2075/matches" TargetMode="External"/><Relationship Id="rId1061" Type="http://schemas.openxmlformats.org/officeDocument/2006/relationships/hyperlink" Target="https://en.wikipedia.org/wiki/2026%E2%80%9327_Bundesliga" TargetMode="External"/><Relationship Id="rId2392" Type="http://schemas.openxmlformats.org/officeDocument/2006/relationships/hyperlink" Target="about:blank" TargetMode="External"/><Relationship Id="rId231" Type="http://schemas.openxmlformats.org/officeDocument/2006/relationships/hyperlink" Target="https://www.rsssf.org/colours/england.html" TargetMode="External"/><Relationship Id="rId1062" Type="http://schemas.openxmlformats.org/officeDocument/2006/relationships/hyperlink" Target="about:blank" TargetMode="External"/><Relationship Id="rId2393" Type="http://schemas.openxmlformats.org/officeDocument/2006/relationships/hyperlink" Target="about:blank" TargetMode="External"/><Relationship Id="rId230" Type="http://schemas.openxmlformats.org/officeDocument/2006/relationships/hyperlink" Target="about:blank" TargetMode="External"/><Relationship Id="rId1063" Type="http://schemas.openxmlformats.org/officeDocument/2006/relationships/hyperlink" Target="https://www.rsssf.org/colours/germany.html" TargetMode="External"/><Relationship Id="rId2394" Type="http://schemas.openxmlformats.org/officeDocument/2006/relationships/hyperlink" Target="https://www.veikkausliiga.com/tilastot/joukkueet/" TargetMode="External"/><Relationship Id="rId1064" Type="http://schemas.openxmlformats.org/officeDocument/2006/relationships/hyperlink" Target="about:blank" TargetMode="External"/><Relationship Id="rId2395" Type="http://schemas.openxmlformats.org/officeDocument/2006/relationships/hyperlink" Target="about:blank" TargetMode="External"/><Relationship Id="rId1065" Type="http://schemas.openxmlformats.org/officeDocument/2006/relationships/hyperlink" Target="https://en.wikipedia.org/wiki/2026%E2%80%9327_Bundesliga" TargetMode="External"/><Relationship Id="rId2396" Type="http://schemas.openxmlformats.org/officeDocument/2006/relationships/hyperlink" Target="https://fi.wikipedia.org/wiki/AC_Oulu" TargetMode="External"/><Relationship Id="rId235" Type="http://schemas.openxmlformats.org/officeDocument/2006/relationships/hyperlink" Target="https://www.rsssf.org/colours/england.html" TargetMode="External"/><Relationship Id="rId1066" Type="http://schemas.openxmlformats.org/officeDocument/2006/relationships/hyperlink" Target="about:blank" TargetMode="External"/><Relationship Id="rId2397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1067" Type="http://schemas.openxmlformats.org/officeDocument/2006/relationships/hyperlink" Target="https://www.rsssf.org/colours/germany.html" TargetMode="External"/><Relationship Id="rId2398" Type="http://schemas.openxmlformats.org/officeDocument/2006/relationships/hyperlink" Target="https://www.veikkausliiga.com/tilastot/joukkueet/" TargetMode="External"/><Relationship Id="rId233" Type="http://schemas.openxmlformats.org/officeDocument/2006/relationships/hyperlink" Target="https://www.efl.com/competitions/efl-league-one/" TargetMode="External"/><Relationship Id="rId1068" Type="http://schemas.openxmlformats.org/officeDocument/2006/relationships/hyperlink" Target="about:blank" TargetMode="External"/><Relationship Id="rId2399" Type="http://schemas.openxmlformats.org/officeDocument/2006/relationships/hyperlink" Target="about:blank" TargetMode="External"/><Relationship Id="rId232" Type="http://schemas.openxmlformats.org/officeDocument/2006/relationships/hyperlink" Target="about:blank" TargetMode="External"/><Relationship Id="rId1069" Type="http://schemas.openxmlformats.org/officeDocument/2006/relationships/hyperlink" Target="https://en.wikipedia.org/wiki/2026%E2%80%9327_Bundesliga" TargetMode="External"/><Relationship Id="rId1015" Type="http://schemas.openxmlformats.org/officeDocument/2006/relationships/hyperlink" Target="https://www.rsssf.org/colours/germany.html" TargetMode="External"/><Relationship Id="rId1499" Type="http://schemas.openxmlformats.org/officeDocument/2006/relationships/hyperlink" Target="https://en.wikipedia.org/wiki/CS_Universitatea_Craiova" TargetMode="External"/><Relationship Id="rId2346" Type="http://schemas.openxmlformats.org/officeDocument/2006/relationships/hyperlink" Target="about:blank" TargetMode="External"/><Relationship Id="rId1016" Type="http://schemas.openxmlformats.org/officeDocument/2006/relationships/hyperlink" Target="about:blank" TargetMode="External"/><Relationship Id="rId2347" Type="http://schemas.openxmlformats.org/officeDocument/2006/relationships/hyperlink" Target="https://www.rsssf.org/colours/greece.html" TargetMode="External"/><Relationship Id="rId1017" Type="http://schemas.openxmlformats.org/officeDocument/2006/relationships/hyperlink" Target="https://en.wikipedia.org/wiki/2026%E2%80%9327_Bundesliga" TargetMode="External"/><Relationship Id="rId2348" Type="http://schemas.openxmlformats.org/officeDocument/2006/relationships/hyperlink" Target="about:blank" TargetMode="External"/><Relationship Id="rId1018" Type="http://schemas.openxmlformats.org/officeDocument/2006/relationships/hyperlink" Target="about:blank" TargetMode="External"/><Relationship Id="rId2349" Type="http://schemas.openxmlformats.org/officeDocument/2006/relationships/hyperlink" Target="https://en.wikipedia.org/wiki/2026%E2%80%9327_Gamma_Ethniki" TargetMode="External"/><Relationship Id="rId1019" Type="http://schemas.openxmlformats.org/officeDocument/2006/relationships/hyperlink" Target="https://de.wikipedia.org/wiki/Borussia_M%C3%B6nchengladbach" TargetMode="External"/><Relationship Id="rId668" Type="http://schemas.openxmlformats.org/officeDocument/2006/relationships/hyperlink" Target="about:blank" TargetMode="External"/><Relationship Id="rId667" Type="http://schemas.openxmlformats.org/officeDocument/2006/relationships/hyperlink" Target="https://it.wikipedia.org/wiki/Unione_Sportiva_Sassuolo_Calcio" TargetMode="External"/><Relationship Id="rId666" Type="http://schemas.openxmlformats.org/officeDocument/2006/relationships/hyperlink" Target="about:blank" TargetMode="External"/><Relationship Id="rId665" Type="http://schemas.openxmlformats.org/officeDocument/2006/relationships/hyperlink" Target="https://sport.virgilio.it/calcio/squadre/" TargetMode="External"/><Relationship Id="rId669" Type="http://schemas.openxmlformats.org/officeDocument/2006/relationships/hyperlink" Target="https://sport.virgilio.it/calcio/squadre/" TargetMode="External"/><Relationship Id="rId1490" Type="http://schemas.openxmlformats.org/officeDocument/2006/relationships/hyperlink" Target="about:blank" TargetMode="External"/><Relationship Id="rId660" Type="http://schemas.openxmlformats.org/officeDocument/2006/relationships/hyperlink" Target="about:blank" TargetMode="External"/><Relationship Id="rId1491" Type="http://schemas.openxmlformats.org/officeDocument/2006/relationships/hyperlink" Target="https://en.wikipedia.org/wiki/Sepsi_OSK_Sf%C3%A2ntu_Gheorghe" TargetMode="External"/><Relationship Id="rId1492" Type="http://schemas.openxmlformats.org/officeDocument/2006/relationships/hyperlink" Target="about:blank" TargetMode="External"/><Relationship Id="rId1493" Type="http://schemas.openxmlformats.org/officeDocument/2006/relationships/hyperlink" Target="https://lpf.ro/liga-1" TargetMode="External"/><Relationship Id="rId2340" Type="http://schemas.openxmlformats.org/officeDocument/2006/relationships/hyperlink" Target="about:blank" TargetMode="External"/><Relationship Id="rId1010" Type="http://schemas.openxmlformats.org/officeDocument/2006/relationships/hyperlink" Target="about:blank" TargetMode="External"/><Relationship Id="rId1494" Type="http://schemas.openxmlformats.org/officeDocument/2006/relationships/hyperlink" Target="about:blank" TargetMode="External"/><Relationship Id="rId2341" Type="http://schemas.openxmlformats.org/officeDocument/2006/relationships/hyperlink" Target="about:blank" TargetMode="External"/><Relationship Id="rId664" Type="http://schemas.openxmlformats.org/officeDocument/2006/relationships/hyperlink" Target="about:blank" TargetMode="External"/><Relationship Id="rId1011" Type="http://schemas.openxmlformats.org/officeDocument/2006/relationships/hyperlink" Target="https://www.rsssf.org/colours/germany.html" TargetMode="External"/><Relationship Id="rId1495" Type="http://schemas.openxmlformats.org/officeDocument/2006/relationships/hyperlink" Target="https://ro.wikipedia.org/wiki/FC_Universitatea_Cluj" TargetMode="External"/><Relationship Id="rId2342" Type="http://schemas.openxmlformats.org/officeDocument/2006/relationships/hyperlink" Target="https://en.wikipedia.org/wiki/2026%E2%80%9327_Gamma_Ethniki" TargetMode="External"/><Relationship Id="rId663" Type="http://schemas.openxmlformats.org/officeDocument/2006/relationships/hyperlink" Target="https://www.rsssf.org/colours/italy.html" TargetMode="External"/><Relationship Id="rId1012" Type="http://schemas.openxmlformats.org/officeDocument/2006/relationships/hyperlink" Target="about:blank" TargetMode="External"/><Relationship Id="rId1496" Type="http://schemas.openxmlformats.org/officeDocument/2006/relationships/hyperlink" Target="about:blank" TargetMode="External"/><Relationship Id="rId2343" Type="http://schemas.openxmlformats.org/officeDocument/2006/relationships/hyperlink" Target="about:blank" TargetMode="External"/><Relationship Id="rId662" Type="http://schemas.openxmlformats.org/officeDocument/2006/relationships/hyperlink" Target="about:blank" TargetMode="External"/><Relationship Id="rId1013" Type="http://schemas.openxmlformats.org/officeDocument/2006/relationships/hyperlink" Target="https://en.wikipedia.org/wiki/2026%E2%80%9327_Bundesliga" TargetMode="External"/><Relationship Id="rId1497" Type="http://schemas.openxmlformats.org/officeDocument/2006/relationships/hyperlink" Target="https://lpf.ro/liga-1" TargetMode="External"/><Relationship Id="rId2344" Type="http://schemas.openxmlformats.org/officeDocument/2006/relationships/hyperlink" Target="about:blank" TargetMode="External"/><Relationship Id="rId661" Type="http://schemas.openxmlformats.org/officeDocument/2006/relationships/hyperlink" Target="https://sport.virgilio.it/calcio/squadre/" TargetMode="External"/><Relationship Id="rId1014" Type="http://schemas.openxmlformats.org/officeDocument/2006/relationships/hyperlink" Target="about:blank" TargetMode="External"/><Relationship Id="rId1498" Type="http://schemas.openxmlformats.org/officeDocument/2006/relationships/hyperlink" Target="about:blank" TargetMode="External"/><Relationship Id="rId2345" Type="http://schemas.openxmlformats.org/officeDocument/2006/relationships/hyperlink" Target="https://en.wikipedia.org/wiki/2026%E2%80%9327_Gamma_Ethniki" TargetMode="External"/><Relationship Id="rId1004" Type="http://schemas.openxmlformats.org/officeDocument/2006/relationships/hyperlink" Target="about:blank" TargetMode="External"/><Relationship Id="rId1488" Type="http://schemas.openxmlformats.org/officeDocument/2006/relationships/hyperlink" Target="about:blank" TargetMode="External"/><Relationship Id="rId2335" Type="http://schemas.openxmlformats.org/officeDocument/2006/relationships/hyperlink" Target="https://en.wikipedia.org/wiki/2026%E2%80%9327_Gamma_Ethniki" TargetMode="External"/><Relationship Id="rId1005" Type="http://schemas.openxmlformats.org/officeDocument/2006/relationships/hyperlink" Target="https://en.wikipedia.org/wiki/2026%E2%80%9327_Bundesliga" TargetMode="External"/><Relationship Id="rId1489" Type="http://schemas.openxmlformats.org/officeDocument/2006/relationships/hyperlink" Target="https://lpf.ro/liga-1" TargetMode="External"/><Relationship Id="rId2336" Type="http://schemas.openxmlformats.org/officeDocument/2006/relationships/hyperlink" Target="about:blank" TargetMode="External"/><Relationship Id="rId1006" Type="http://schemas.openxmlformats.org/officeDocument/2006/relationships/hyperlink" Target="about:blank" TargetMode="External"/><Relationship Id="rId2337" Type="http://schemas.openxmlformats.org/officeDocument/2006/relationships/hyperlink" Target="https://www.rsssf.org/colours/greece.html" TargetMode="External"/><Relationship Id="rId1007" Type="http://schemas.openxmlformats.org/officeDocument/2006/relationships/hyperlink" Target="https://www.rsssf.org/colours/germany.html" TargetMode="External"/><Relationship Id="rId2338" Type="http://schemas.openxmlformats.org/officeDocument/2006/relationships/hyperlink" Target="about:blank" TargetMode="External"/><Relationship Id="rId1008" Type="http://schemas.openxmlformats.org/officeDocument/2006/relationships/hyperlink" Target="about:blank" TargetMode="External"/><Relationship Id="rId2339" Type="http://schemas.openxmlformats.org/officeDocument/2006/relationships/hyperlink" Target="https://en.wikipedia.org/wiki/2026%E2%80%9327_Gamma_Ethniki" TargetMode="External"/><Relationship Id="rId1009" Type="http://schemas.openxmlformats.org/officeDocument/2006/relationships/hyperlink" Target="https://en.wikipedia.org/wiki/2026%E2%80%9327_Bundesliga" TargetMode="External"/><Relationship Id="rId657" Type="http://schemas.openxmlformats.org/officeDocument/2006/relationships/hyperlink" Target="https://sport.virgilio.it/calcio/squadre/" TargetMode="External"/><Relationship Id="rId656" Type="http://schemas.openxmlformats.org/officeDocument/2006/relationships/hyperlink" Target="about:blank" TargetMode="External"/><Relationship Id="rId655" Type="http://schemas.openxmlformats.org/officeDocument/2006/relationships/hyperlink" Target="https://www.rsssf.org/colours/italy.html" TargetMode="External"/><Relationship Id="rId654" Type="http://schemas.openxmlformats.org/officeDocument/2006/relationships/hyperlink" Target="about:blank" TargetMode="External"/><Relationship Id="rId659" Type="http://schemas.openxmlformats.org/officeDocument/2006/relationships/hyperlink" Target="https://www.rsssf.org/colours/italy.html" TargetMode="External"/><Relationship Id="rId658" Type="http://schemas.openxmlformats.org/officeDocument/2006/relationships/hyperlink" Target="about:blank" TargetMode="External"/><Relationship Id="rId1480" Type="http://schemas.openxmlformats.org/officeDocument/2006/relationships/hyperlink" Target="about:blank" TargetMode="External"/><Relationship Id="rId1481" Type="http://schemas.openxmlformats.org/officeDocument/2006/relationships/hyperlink" Target="https://lpf.ro/liga-1" TargetMode="External"/><Relationship Id="rId1482" Type="http://schemas.openxmlformats.org/officeDocument/2006/relationships/hyperlink" Target="about:blank" TargetMode="External"/><Relationship Id="rId1483" Type="http://schemas.openxmlformats.org/officeDocument/2006/relationships/hyperlink" Target="https://en.wikipedia.org/wiki/FC_Petrolul_Ploie%C8%99ti" TargetMode="External"/><Relationship Id="rId2330" Type="http://schemas.openxmlformats.org/officeDocument/2006/relationships/hyperlink" Target="https://www.rsssf.org/colours/greece.html" TargetMode="External"/><Relationship Id="rId653" Type="http://schemas.openxmlformats.org/officeDocument/2006/relationships/hyperlink" Target="https://sport.virgilio.it/calcio/squadre/" TargetMode="External"/><Relationship Id="rId1000" Type="http://schemas.openxmlformats.org/officeDocument/2006/relationships/hyperlink" Target="about:blank" TargetMode="External"/><Relationship Id="rId1484" Type="http://schemas.openxmlformats.org/officeDocument/2006/relationships/hyperlink" Target="about:blank" TargetMode="External"/><Relationship Id="rId2331" Type="http://schemas.openxmlformats.org/officeDocument/2006/relationships/hyperlink" Target="about:blank" TargetMode="External"/><Relationship Id="rId652" Type="http://schemas.openxmlformats.org/officeDocument/2006/relationships/hyperlink" Target="about:blank" TargetMode="External"/><Relationship Id="rId1001" Type="http://schemas.openxmlformats.org/officeDocument/2006/relationships/hyperlink" Target="https://en.wikipedia.org/wiki/2026%E2%80%9327_Bundesliga" TargetMode="External"/><Relationship Id="rId1485" Type="http://schemas.openxmlformats.org/officeDocument/2006/relationships/hyperlink" Target="https://lpf.ro/liga-1" TargetMode="External"/><Relationship Id="rId2332" Type="http://schemas.openxmlformats.org/officeDocument/2006/relationships/hyperlink" Target="https://en.wikipedia.org/wiki/2026%E2%80%9327_Gamma_Ethniki" TargetMode="External"/><Relationship Id="rId651" Type="http://schemas.openxmlformats.org/officeDocument/2006/relationships/hyperlink" Target="https://www.rsssf.org/colours/italy.html" TargetMode="External"/><Relationship Id="rId1002" Type="http://schemas.openxmlformats.org/officeDocument/2006/relationships/hyperlink" Target="about:blank" TargetMode="External"/><Relationship Id="rId1486" Type="http://schemas.openxmlformats.org/officeDocument/2006/relationships/hyperlink" Target="about:blank" TargetMode="External"/><Relationship Id="rId2333" Type="http://schemas.openxmlformats.org/officeDocument/2006/relationships/hyperlink" Target="about:blank" TargetMode="External"/><Relationship Id="rId650" Type="http://schemas.openxmlformats.org/officeDocument/2006/relationships/hyperlink" Target="about:blank" TargetMode="External"/><Relationship Id="rId1003" Type="http://schemas.openxmlformats.org/officeDocument/2006/relationships/hyperlink" Target="https://www.rsssf.org/colours/germany.html" TargetMode="External"/><Relationship Id="rId1487" Type="http://schemas.openxmlformats.org/officeDocument/2006/relationships/hyperlink" Target="https://ro.wikipedia.org/wiki/FC_Rapid_Bucure%C8%99ti" TargetMode="External"/><Relationship Id="rId2334" Type="http://schemas.openxmlformats.org/officeDocument/2006/relationships/hyperlink" Target="about:blank" TargetMode="External"/><Relationship Id="rId1037" Type="http://schemas.openxmlformats.org/officeDocument/2006/relationships/hyperlink" Target="https://en.wikipedia.org/wiki/2026%E2%80%9327_Bundesliga" TargetMode="External"/><Relationship Id="rId2368" Type="http://schemas.openxmlformats.org/officeDocument/2006/relationships/hyperlink" Target="https://www.epo.gr/el/competition/3/stage/1407/group/2075/matches" TargetMode="External"/><Relationship Id="rId1038" Type="http://schemas.openxmlformats.org/officeDocument/2006/relationships/hyperlink" Target="about:blank" TargetMode="External"/><Relationship Id="rId2369" Type="http://schemas.openxmlformats.org/officeDocument/2006/relationships/hyperlink" Target="about:blank" TargetMode="External"/><Relationship Id="rId1039" Type="http://schemas.openxmlformats.org/officeDocument/2006/relationships/hyperlink" Target="https://de.wikipedia.org/wiki/RB_Leipzig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efl.com/competitions/efl-league-one/" TargetMode="External"/><Relationship Id="rId689" Type="http://schemas.openxmlformats.org/officeDocument/2006/relationships/hyperlink" Target="https://sport.virgilio.it/calcio/squadre/" TargetMode="External"/><Relationship Id="rId204" Type="http://schemas.openxmlformats.org/officeDocument/2006/relationships/hyperlink" Target="about:blank" TargetMode="External"/><Relationship Id="rId688" Type="http://schemas.openxmlformats.org/officeDocument/2006/relationships/hyperlink" Target="about:blank" TargetMode="External"/><Relationship Id="rId203" Type="http://schemas.openxmlformats.org/officeDocument/2006/relationships/hyperlink" Target="https://en.wikipedia.org/wiki/Burton_Albion_F.C." TargetMode="External"/><Relationship Id="rId687" Type="http://schemas.openxmlformats.org/officeDocument/2006/relationships/hyperlink" Target="https://www.rsssf.org/colours/italy.html" TargetMode="External"/><Relationship Id="rId209" Type="http://schemas.openxmlformats.org/officeDocument/2006/relationships/hyperlink" Target="https://www.efl.com/competitions/efl-league-one/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en.wikipedia.org/wiki/Cambridge_United_F.C." TargetMode="External"/><Relationship Id="rId682" Type="http://schemas.openxmlformats.org/officeDocument/2006/relationships/hyperlink" Target="about:blank" TargetMode="External"/><Relationship Id="rId2360" Type="http://schemas.openxmlformats.org/officeDocument/2006/relationships/hyperlink" Target="https://www.rsssf.org/colours/greece.html" TargetMode="External"/><Relationship Id="rId681" Type="http://schemas.openxmlformats.org/officeDocument/2006/relationships/hyperlink" Target="https://sport.virgilio.it/calcio/squadre/" TargetMode="External"/><Relationship Id="rId1030" Type="http://schemas.openxmlformats.org/officeDocument/2006/relationships/hyperlink" Target="about:blank" TargetMode="External"/><Relationship Id="rId2361" Type="http://schemas.openxmlformats.org/officeDocument/2006/relationships/hyperlink" Target="about:blank" TargetMode="External"/><Relationship Id="rId680" Type="http://schemas.openxmlformats.org/officeDocument/2006/relationships/hyperlink" Target="about:blank" TargetMode="External"/><Relationship Id="rId1031" Type="http://schemas.openxmlformats.org/officeDocument/2006/relationships/hyperlink" Target="https://de.wikipedia.org/wiki/Hamburger_SV" TargetMode="External"/><Relationship Id="rId2362" Type="http://schemas.openxmlformats.org/officeDocument/2006/relationships/hyperlink" Target="https://www.epo.gr/el/competition/3/stage/1407/group/2075/matches" TargetMode="External"/><Relationship Id="rId1032" Type="http://schemas.openxmlformats.org/officeDocument/2006/relationships/hyperlink" Target="about:blank" TargetMode="External"/><Relationship Id="rId2363" Type="http://schemas.openxmlformats.org/officeDocument/2006/relationships/hyperlink" Target="about:blank" TargetMode="External"/><Relationship Id="rId202" Type="http://schemas.openxmlformats.org/officeDocument/2006/relationships/hyperlink" Target="about:blank" TargetMode="External"/><Relationship Id="rId686" Type="http://schemas.openxmlformats.org/officeDocument/2006/relationships/hyperlink" Target="about:blank" TargetMode="External"/><Relationship Id="rId1033" Type="http://schemas.openxmlformats.org/officeDocument/2006/relationships/hyperlink" Target="https://en.wikipedia.org/wiki/2026%E2%80%9327_Bundesliga" TargetMode="External"/><Relationship Id="rId2364" Type="http://schemas.openxmlformats.org/officeDocument/2006/relationships/hyperlink" Target="about:blank" TargetMode="External"/><Relationship Id="rId201" Type="http://schemas.openxmlformats.org/officeDocument/2006/relationships/hyperlink" Target="https://www.efl.com/competitions/efl-league-one/" TargetMode="External"/><Relationship Id="rId685" Type="http://schemas.openxmlformats.org/officeDocument/2006/relationships/hyperlink" Target="https://sport.virgilio.it/calcio/squadre/" TargetMode="External"/><Relationship Id="rId1034" Type="http://schemas.openxmlformats.org/officeDocument/2006/relationships/hyperlink" Target="about:blank" TargetMode="External"/><Relationship Id="rId2365" Type="http://schemas.openxmlformats.org/officeDocument/2006/relationships/hyperlink" Target="https://www.epo.gr/el/competition/3/stage/1407/group/2075/matches" TargetMode="External"/><Relationship Id="rId200" Type="http://schemas.openxmlformats.org/officeDocument/2006/relationships/hyperlink" Target="about:blank" TargetMode="External"/><Relationship Id="rId684" Type="http://schemas.openxmlformats.org/officeDocument/2006/relationships/hyperlink" Target="about:blank" TargetMode="External"/><Relationship Id="rId1035" Type="http://schemas.openxmlformats.org/officeDocument/2006/relationships/hyperlink" Target="https://de.wikipedia.org/wiki/1._FSV_Mainz_05" TargetMode="External"/><Relationship Id="rId2366" Type="http://schemas.openxmlformats.org/officeDocument/2006/relationships/hyperlink" Target="about:blank" TargetMode="External"/><Relationship Id="rId683" Type="http://schemas.openxmlformats.org/officeDocument/2006/relationships/hyperlink" Target="https://it.wikipedia.org/wiki/Societ%C3%A0_Sportiva_Arezzo" TargetMode="External"/><Relationship Id="rId1036" Type="http://schemas.openxmlformats.org/officeDocument/2006/relationships/hyperlink" Target="about:blank" TargetMode="External"/><Relationship Id="rId2367" Type="http://schemas.openxmlformats.org/officeDocument/2006/relationships/hyperlink" Target="about:blank" TargetMode="External"/><Relationship Id="rId1026" Type="http://schemas.openxmlformats.org/officeDocument/2006/relationships/hyperlink" Target="about:blank" TargetMode="External"/><Relationship Id="rId2357" Type="http://schemas.openxmlformats.org/officeDocument/2006/relationships/hyperlink" Target="about:blank" TargetMode="External"/><Relationship Id="rId1027" Type="http://schemas.openxmlformats.org/officeDocument/2006/relationships/hyperlink" Target="https://de.wikipedia.org/wiki/FC_Augsburg" TargetMode="External"/><Relationship Id="rId2358" Type="http://schemas.openxmlformats.org/officeDocument/2006/relationships/hyperlink" Target="https://www.epo.gr/el/competition/3/stage/1407/group/2075/matches" TargetMode="External"/><Relationship Id="rId1028" Type="http://schemas.openxmlformats.org/officeDocument/2006/relationships/hyperlink" Target="about:blank" TargetMode="External"/><Relationship Id="rId2359" Type="http://schemas.openxmlformats.org/officeDocument/2006/relationships/hyperlink" Target="about:blank" TargetMode="External"/><Relationship Id="rId1029" Type="http://schemas.openxmlformats.org/officeDocument/2006/relationships/hyperlink" Target="https://en.wikipedia.org/wiki/2026%E2%80%9327_Bundesliga" TargetMode="External"/><Relationship Id="rId679" Type="http://schemas.openxmlformats.org/officeDocument/2006/relationships/hyperlink" Target="https://www.rsssf.org/colours/italy.html" TargetMode="External"/><Relationship Id="rId678" Type="http://schemas.openxmlformats.org/officeDocument/2006/relationships/hyperlink" Target="about:blank" TargetMode="External"/><Relationship Id="rId677" Type="http://schemas.openxmlformats.org/officeDocument/2006/relationships/hyperlink" Target="https://sport.virgilio.it/calcio/squadre/" TargetMode="External"/><Relationship Id="rId676" Type="http://schemas.openxmlformats.org/officeDocument/2006/relationships/hyperlink" Target="about:blank" TargetMode="External"/><Relationship Id="rId671" Type="http://schemas.openxmlformats.org/officeDocument/2006/relationships/hyperlink" Target="https://www.rsssf.org/colours/italy.html" TargetMode="External"/><Relationship Id="rId670" Type="http://schemas.openxmlformats.org/officeDocument/2006/relationships/hyperlink" Target="about:blank" TargetMode="External"/><Relationship Id="rId2350" Type="http://schemas.openxmlformats.org/officeDocument/2006/relationships/hyperlink" Target="about:blank" TargetMode="External"/><Relationship Id="rId1020" Type="http://schemas.openxmlformats.org/officeDocument/2006/relationships/hyperlink" Target="about:blank" TargetMode="External"/><Relationship Id="rId2351" Type="http://schemas.openxmlformats.org/officeDocument/2006/relationships/hyperlink" Target="about:blank" TargetMode="External"/><Relationship Id="rId1021" Type="http://schemas.openxmlformats.org/officeDocument/2006/relationships/hyperlink" Target="https://en.wikipedia.org/wiki/2026%E2%80%9327_Bundesliga" TargetMode="External"/><Relationship Id="rId2352" Type="http://schemas.openxmlformats.org/officeDocument/2006/relationships/hyperlink" Target="https://en.wikipedia.org/wiki/2026%E2%80%9327_Gamma_Ethniki" TargetMode="External"/><Relationship Id="rId675" Type="http://schemas.openxmlformats.org/officeDocument/2006/relationships/hyperlink" Target="https://www.rsssf.org/colours/italy.html" TargetMode="External"/><Relationship Id="rId1022" Type="http://schemas.openxmlformats.org/officeDocument/2006/relationships/hyperlink" Target="about:blank" TargetMode="External"/><Relationship Id="rId2353" Type="http://schemas.openxmlformats.org/officeDocument/2006/relationships/hyperlink" Target="about:blank" TargetMode="External"/><Relationship Id="rId674" Type="http://schemas.openxmlformats.org/officeDocument/2006/relationships/hyperlink" Target="about:blank" TargetMode="External"/><Relationship Id="rId1023" Type="http://schemas.openxmlformats.org/officeDocument/2006/relationships/hyperlink" Target="https://www.rsssf.org/colours/germany.html" TargetMode="External"/><Relationship Id="rId2354" Type="http://schemas.openxmlformats.org/officeDocument/2006/relationships/hyperlink" Target="about:blank" TargetMode="External"/><Relationship Id="rId673" Type="http://schemas.openxmlformats.org/officeDocument/2006/relationships/hyperlink" Target="https://sport.virgilio.it/calcio/squadre/" TargetMode="External"/><Relationship Id="rId1024" Type="http://schemas.openxmlformats.org/officeDocument/2006/relationships/hyperlink" Target="about:blank" TargetMode="External"/><Relationship Id="rId2355" Type="http://schemas.openxmlformats.org/officeDocument/2006/relationships/hyperlink" Target="https://www.epo.gr/el/competition/3/stage/1407/group/2075/matches" TargetMode="External"/><Relationship Id="rId672" Type="http://schemas.openxmlformats.org/officeDocument/2006/relationships/hyperlink" Target="about:blank" TargetMode="External"/><Relationship Id="rId1025" Type="http://schemas.openxmlformats.org/officeDocument/2006/relationships/hyperlink" Target="https://en.wikipedia.org/wiki/2026%E2%80%9327_Bundesliga" TargetMode="External"/><Relationship Id="rId2356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efl.com/competitions/efl-league-one/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england.html" TargetMode="External"/><Relationship Id="rId187" Type="http://schemas.openxmlformats.org/officeDocument/2006/relationships/hyperlink" Target="https://www.rsssf.org/colours/england.html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efl.com/competitions/efl-league-one/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efl.com/competitions/efl-league-one/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en.wikipedia.org/wiki/AFC_Wimbledon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efl.com/competitions/efl-league-one/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www.rsssf.org/colours/england.html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efl.com/news/2026/august/22/sky-bet-championship-results--table---stats/" TargetMode="External"/><Relationship Id="rId179" Type="http://schemas.openxmlformats.org/officeDocument/2006/relationships/hyperlink" Target="https://en.wikipedia.org/wiki/Wrexham_A.F.C.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efl.com/news/2026/august/22/sky-bet-championship-results--table---stats/" TargetMode="External"/><Relationship Id="rId1910" Type="http://schemas.openxmlformats.org/officeDocument/2006/relationships/hyperlink" Target="about:blank" TargetMode="External"/><Relationship Id="rId1911" Type="http://schemas.openxmlformats.org/officeDocument/2006/relationships/hyperlink" Target="https://www.slgr.gr/en/teams/" TargetMode="External"/><Relationship Id="rId1912" Type="http://schemas.openxmlformats.org/officeDocument/2006/relationships/hyperlink" Target="about:blank" TargetMode="External"/><Relationship Id="rId1913" Type="http://schemas.openxmlformats.org/officeDocument/2006/relationships/hyperlink" Target="https://www.rsssf.org/colours/greece.html" TargetMode="External"/><Relationship Id="rId1914" Type="http://schemas.openxmlformats.org/officeDocument/2006/relationships/hyperlink" Target="about:blank" TargetMode="External"/><Relationship Id="rId1915" Type="http://schemas.openxmlformats.org/officeDocument/2006/relationships/hyperlink" Target="https://www.slgr.gr/en/teams/" TargetMode="External"/><Relationship Id="rId1916" Type="http://schemas.openxmlformats.org/officeDocument/2006/relationships/hyperlink" Target="about:blank" TargetMode="External"/><Relationship Id="rId1917" Type="http://schemas.openxmlformats.org/officeDocument/2006/relationships/hyperlink" Target="https://en.wikipedia.org/wiki/A.E._Kifisia_F.C." TargetMode="External"/><Relationship Id="rId1918" Type="http://schemas.openxmlformats.org/officeDocument/2006/relationships/hyperlink" Target="about:blank" TargetMode="External"/><Relationship Id="rId1919" Type="http://schemas.openxmlformats.org/officeDocument/2006/relationships/hyperlink" Target="https://www.slgr.gr/en/teams/" TargetMode="External"/><Relationship Id="rId1900" Type="http://schemas.openxmlformats.org/officeDocument/2006/relationships/hyperlink" Target="about:blank" TargetMode="External"/><Relationship Id="rId1901" Type="http://schemas.openxmlformats.org/officeDocument/2006/relationships/hyperlink" Target="https://www.rsssf.org/colours/greece.html" TargetMode="External"/><Relationship Id="rId1902" Type="http://schemas.openxmlformats.org/officeDocument/2006/relationships/hyperlink" Target="about:blank" TargetMode="External"/><Relationship Id="rId1903" Type="http://schemas.openxmlformats.org/officeDocument/2006/relationships/hyperlink" Target="https://www.slgr.gr/en/teams/" TargetMode="External"/><Relationship Id="rId1904" Type="http://schemas.openxmlformats.org/officeDocument/2006/relationships/hyperlink" Target="about:blank" TargetMode="External"/><Relationship Id="rId1905" Type="http://schemas.openxmlformats.org/officeDocument/2006/relationships/hyperlink" Target="https://www.rsssf.org/colours/greece.html" TargetMode="External"/><Relationship Id="rId1906" Type="http://schemas.openxmlformats.org/officeDocument/2006/relationships/hyperlink" Target="about:blank" TargetMode="External"/><Relationship Id="rId1907" Type="http://schemas.openxmlformats.org/officeDocument/2006/relationships/hyperlink" Target="https://www.slgr.gr/en/teams/" TargetMode="External"/><Relationship Id="rId1908" Type="http://schemas.openxmlformats.org/officeDocument/2006/relationships/hyperlink" Target="about:blank" TargetMode="External"/><Relationship Id="rId1909" Type="http://schemas.openxmlformats.org/officeDocument/2006/relationships/hyperlink" Target="https://www.rsssf.org/colours/greece.html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efl.com/competitions/efl-league-one/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www.rsssf.org/colours/england.html" TargetMode="External"/><Relationship Id="rId199" Type="http://schemas.openxmlformats.org/officeDocument/2006/relationships/hyperlink" Target="https://teamcolorcodes.com/bromley-f-c-color-codes/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efl.com/news/2026/august/22/sky-bet-championship-results--table---stats/" TargetMode="External"/><Relationship Id="rId148" Type="http://schemas.openxmlformats.org/officeDocument/2006/relationships/hyperlink" Target="about:blank" TargetMode="External"/><Relationship Id="rId1090" Type="http://schemas.openxmlformats.org/officeDocument/2006/relationships/hyperlink" Target="about:blank" TargetMode="External"/><Relationship Id="rId1091" Type="http://schemas.openxmlformats.org/officeDocument/2006/relationships/hyperlink" Target="https://www.rsssf.org/colours/germany.html" TargetMode="External"/><Relationship Id="rId1092" Type="http://schemas.openxmlformats.org/officeDocument/2006/relationships/hyperlink" Target="about:blank" TargetMode="External"/><Relationship Id="rId1093" Type="http://schemas.openxmlformats.org/officeDocument/2006/relationships/hyperlink" Target="https://www.bundesliga.com/de/2bundesliga/tabelle?view=full" TargetMode="External"/><Relationship Id="rId1094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england.html" TargetMode="External"/><Relationship Id="rId1095" Type="http://schemas.openxmlformats.org/officeDocument/2006/relationships/hyperlink" Target="https://www.rsssf.org/colours/germany.html" TargetMode="External"/><Relationship Id="rId142" Type="http://schemas.openxmlformats.org/officeDocument/2006/relationships/hyperlink" Target="about:blank" TargetMode="External"/><Relationship Id="rId1096" Type="http://schemas.openxmlformats.org/officeDocument/2006/relationships/hyperlink" Target="about:blank" TargetMode="External"/><Relationship Id="rId141" Type="http://schemas.openxmlformats.org/officeDocument/2006/relationships/hyperlink" Target="https://www.efl.com/news/2026/august/22/sky-bet-championship-results--table---stats/" TargetMode="External"/><Relationship Id="rId1097" Type="http://schemas.openxmlformats.org/officeDocument/2006/relationships/hyperlink" Target="https://www.bundesliga.com/de/2bundesliga/tabelle?view=full" TargetMode="External"/><Relationship Id="rId140" Type="http://schemas.openxmlformats.org/officeDocument/2006/relationships/hyperlink" Target="about:blank" TargetMode="External"/><Relationship Id="rId1098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england.html" TargetMode="External"/><Relationship Id="rId1099" Type="http://schemas.openxmlformats.org/officeDocument/2006/relationships/hyperlink" Target="https://www.rsssf.org/colours/germany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efl.com/news/2026/august/22/sky-bet-championship-results--table---stats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england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efl.com/news/2026/august/22/sky-bet-championship-results--table---stats/" TargetMode="External"/><Relationship Id="rId1080" Type="http://schemas.openxmlformats.org/officeDocument/2006/relationships/hyperlink" Target="about:blank" TargetMode="External"/><Relationship Id="rId1081" Type="http://schemas.openxmlformats.org/officeDocument/2006/relationships/hyperlink" Target="https://www.bundesliga.com/de/2bundesliga/tabelle?view=full" TargetMode="External"/><Relationship Id="rId1082" Type="http://schemas.openxmlformats.org/officeDocument/2006/relationships/hyperlink" Target="about:blank" TargetMode="External"/><Relationship Id="rId1083" Type="http://schemas.openxmlformats.org/officeDocument/2006/relationships/hyperlink" Target="https://www.rsssf.org/colours/germany.html" TargetMode="External"/><Relationship Id="rId132" Type="http://schemas.openxmlformats.org/officeDocument/2006/relationships/hyperlink" Target="about:blank" TargetMode="External"/><Relationship Id="rId1084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england.html" TargetMode="External"/><Relationship Id="rId1085" Type="http://schemas.openxmlformats.org/officeDocument/2006/relationships/hyperlink" Target="https://www.bundesliga.com/de/2bundesliga/tabelle?view=full" TargetMode="External"/><Relationship Id="rId130" Type="http://schemas.openxmlformats.org/officeDocument/2006/relationships/hyperlink" Target="about:blank" TargetMode="External"/><Relationship Id="rId1086" Type="http://schemas.openxmlformats.org/officeDocument/2006/relationships/hyperlink" Target="about:blank" TargetMode="External"/><Relationship Id="rId1087" Type="http://schemas.openxmlformats.org/officeDocument/2006/relationships/hyperlink" Target="https://www.rsssf.org/colours/germany.html" TargetMode="External"/><Relationship Id="rId136" Type="http://schemas.openxmlformats.org/officeDocument/2006/relationships/hyperlink" Target="about:blank" TargetMode="External"/><Relationship Id="rId1088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england.html" TargetMode="External"/><Relationship Id="rId1089" Type="http://schemas.openxmlformats.org/officeDocument/2006/relationships/hyperlink" Target="https://www.bundesliga.com/de/2bundesliga/tabelle?view=ful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efl.com/news/2026/august/22/sky-bet-championship-results--table---stats/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www.rsssf.org/colours/england.html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efl.com/news/2026/august/22/sky-bet-championship-results--table---stats/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football-stadiums.co.uk/articles/football-club-kit-colours/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efl.com/news/2026/august/22/sky-bet-championship-results--table---stats/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en.wikipedia.org/wiki/West_Bromwich_Albion_F.C.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efl.com/news/2026/august/22/sky-bet-championship-results--table---stats/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england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efl.com/news/2026/august/22/sky-bet-championship-results--table---stats/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england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efl.com/news/2026/august/22/sky-bet-championship-results--table---stats/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www.rsssf.org/colours/england.html" TargetMode="External"/><Relationship Id="rId1972" Type="http://schemas.openxmlformats.org/officeDocument/2006/relationships/hyperlink" Target="about:blank" TargetMode="External"/><Relationship Id="rId1973" Type="http://schemas.openxmlformats.org/officeDocument/2006/relationships/hyperlink" Target="https://en.wikipedia.org/wiki/2026%E2%80%9327_Super_League_Greece_2" TargetMode="External"/><Relationship Id="rId2820" Type="http://schemas.openxmlformats.org/officeDocument/2006/relationships/hyperlink" Target="about:blank" TargetMode="External"/><Relationship Id="rId1974" Type="http://schemas.openxmlformats.org/officeDocument/2006/relationships/hyperlink" Target="about:blank" TargetMode="External"/><Relationship Id="rId282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975" Type="http://schemas.openxmlformats.org/officeDocument/2006/relationships/hyperlink" Target="https://www.rsssf.org/colours/greece.html" TargetMode="External"/><Relationship Id="rId2822" Type="http://schemas.openxmlformats.org/officeDocument/2006/relationships/hyperlink" Target="about:blank" TargetMode="External"/><Relationship Id="rId1976" Type="http://schemas.openxmlformats.org/officeDocument/2006/relationships/hyperlink" Target="about:blank" TargetMode="External"/><Relationship Id="rId2823" Type="http://schemas.openxmlformats.org/officeDocument/2006/relationships/hyperlink" Target="https://www.rsssf.org/colours/netherlands.html" TargetMode="External"/><Relationship Id="rId1977" Type="http://schemas.openxmlformats.org/officeDocument/2006/relationships/hyperlink" Target="https://en.wikipedia.org/wiki/2026%E2%80%9327_Super_League_Greece_2" TargetMode="External"/><Relationship Id="rId2824" Type="http://schemas.openxmlformats.org/officeDocument/2006/relationships/hyperlink" Target="about:blank" TargetMode="External"/><Relationship Id="rId1978" Type="http://schemas.openxmlformats.org/officeDocument/2006/relationships/hyperlink" Target="about:blank" TargetMode="External"/><Relationship Id="rId282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979" Type="http://schemas.openxmlformats.org/officeDocument/2006/relationships/hyperlink" Target="https://www.rsssf.org/colours/greece.html" TargetMode="External"/><Relationship Id="rId2826" Type="http://schemas.openxmlformats.org/officeDocument/2006/relationships/hyperlink" Target="about:blank" TargetMode="External"/><Relationship Id="rId2827" Type="http://schemas.openxmlformats.org/officeDocument/2006/relationships/hyperlink" Target="https://www.rsssf.org/colours/italy.html" TargetMode="External"/><Relationship Id="rId2828" Type="http://schemas.openxmlformats.org/officeDocument/2006/relationships/hyperlink" Target="about:blank" TargetMode="External"/><Relationship Id="rId282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970" Type="http://schemas.openxmlformats.org/officeDocument/2006/relationships/hyperlink" Target="about:blank" TargetMode="External"/><Relationship Id="rId1971" Type="http://schemas.openxmlformats.org/officeDocument/2006/relationships/hyperlink" Target="https://www.rsssf.org/colours/greece.html" TargetMode="External"/><Relationship Id="rId1961" Type="http://schemas.openxmlformats.org/officeDocument/2006/relationships/hyperlink" Target="https://en.wikipedia.org/wiki/2026%E2%80%9327_Super_League_Greece_2" TargetMode="External"/><Relationship Id="rId1962" Type="http://schemas.openxmlformats.org/officeDocument/2006/relationships/hyperlink" Target="about:blank" TargetMode="External"/><Relationship Id="rId1963" Type="http://schemas.openxmlformats.org/officeDocument/2006/relationships/hyperlink" Target="https://www.rsssf.org/colours/greece.html" TargetMode="External"/><Relationship Id="rId2810" Type="http://schemas.openxmlformats.org/officeDocument/2006/relationships/hyperlink" Target="about:blank" TargetMode="External"/><Relationship Id="rId1964" Type="http://schemas.openxmlformats.org/officeDocument/2006/relationships/hyperlink" Target="about:blank" TargetMode="External"/><Relationship Id="rId2811" Type="http://schemas.openxmlformats.org/officeDocument/2006/relationships/hyperlink" Target="https://fr.wikipedia.org/wiki/Royale_Union_saint-gilloise" TargetMode="External"/><Relationship Id="rId1965" Type="http://schemas.openxmlformats.org/officeDocument/2006/relationships/hyperlink" Target="https://en.wikipedia.org/wiki/2026%E2%80%9327_Super_League_Greece_2" TargetMode="External"/><Relationship Id="rId2812" Type="http://schemas.openxmlformats.org/officeDocument/2006/relationships/hyperlink" Target="about:blank" TargetMode="External"/><Relationship Id="rId1966" Type="http://schemas.openxmlformats.org/officeDocument/2006/relationships/hyperlink" Target="about:blank" TargetMode="External"/><Relationship Id="rId2813" Type="http://schemas.openxmlformats.org/officeDocument/2006/relationships/hyperlink" Target="https://www.uefa.com/uefaeuropaleague/clubs/" TargetMode="External"/><Relationship Id="rId1967" Type="http://schemas.openxmlformats.org/officeDocument/2006/relationships/hyperlink" Target="https://en.wikipedia.org/wiki/Hellas_Syros_F.C." TargetMode="External"/><Relationship Id="rId2814" Type="http://schemas.openxmlformats.org/officeDocument/2006/relationships/hyperlink" Target="about:blank" TargetMode="External"/><Relationship Id="rId1968" Type="http://schemas.openxmlformats.org/officeDocument/2006/relationships/hyperlink" Target="about:blank" TargetMode="External"/><Relationship Id="rId2815" Type="http://schemas.openxmlformats.org/officeDocument/2006/relationships/hyperlink" Target="https://fr.wikipedia.org/wiki/FC_Viktoria_Plze%C5%88" TargetMode="External"/><Relationship Id="rId1969" Type="http://schemas.openxmlformats.org/officeDocument/2006/relationships/hyperlink" Target="https://en.wikipedia.org/wiki/2026%E2%80%9327_Super_League_Greece_2" TargetMode="External"/><Relationship Id="rId2816" Type="http://schemas.openxmlformats.org/officeDocument/2006/relationships/hyperlink" Target="about:blank" TargetMode="External"/><Relationship Id="rId281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818" Type="http://schemas.openxmlformats.org/officeDocument/2006/relationships/hyperlink" Target="about:blank" TargetMode="External"/><Relationship Id="rId2819" Type="http://schemas.openxmlformats.org/officeDocument/2006/relationships/hyperlink" Target="https://fr.wikipedia.org/wiki/AGF_Aarhus" TargetMode="External"/><Relationship Id="rId1960" Type="http://schemas.openxmlformats.org/officeDocument/2006/relationships/hyperlink" Target="about:blank" TargetMode="External"/><Relationship Id="rId1510" Type="http://schemas.openxmlformats.org/officeDocument/2006/relationships/hyperlink" Target="about:blank" TargetMode="External"/><Relationship Id="rId1994" Type="http://schemas.openxmlformats.org/officeDocument/2006/relationships/hyperlink" Target="about:blank" TargetMode="External"/><Relationship Id="rId284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1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995" Type="http://schemas.openxmlformats.org/officeDocument/2006/relationships/hyperlink" Target="https://en.wikipedia.org/wiki/Panthrakikos_F.C." TargetMode="External"/><Relationship Id="rId2842" Type="http://schemas.openxmlformats.org/officeDocument/2006/relationships/hyperlink" Target="about:blank" TargetMode="External"/><Relationship Id="rId1512" Type="http://schemas.openxmlformats.org/officeDocument/2006/relationships/hyperlink" Target="about:blank" TargetMode="External"/><Relationship Id="rId1996" Type="http://schemas.openxmlformats.org/officeDocument/2006/relationships/hyperlink" Target="about:blank" TargetMode="External"/><Relationship Id="rId2843" Type="http://schemas.openxmlformats.org/officeDocument/2006/relationships/hyperlink" Target="https://www.rsssf.org/colours/england.html" TargetMode="External"/><Relationship Id="rId1513" Type="http://schemas.openxmlformats.org/officeDocument/2006/relationships/hyperlink" Target="https://en.wikipedia.org/wiki/AFC_Chindia_T%C3%A2rgovi%C8%99te" TargetMode="External"/><Relationship Id="rId1997" Type="http://schemas.openxmlformats.org/officeDocument/2006/relationships/hyperlink" Target="https://en.wikipedia.org/wiki/2026%E2%80%9327_Super_League_Greece_2" TargetMode="External"/><Relationship Id="rId2844" Type="http://schemas.openxmlformats.org/officeDocument/2006/relationships/hyperlink" Target="about:blank" TargetMode="External"/><Relationship Id="rId1514" Type="http://schemas.openxmlformats.org/officeDocument/2006/relationships/hyperlink" Target="about:blank" TargetMode="External"/><Relationship Id="rId1998" Type="http://schemas.openxmlformats.org/officeDocument/2006/relationships/hyperlink" Target="about:blank" TargetMode="External"/><Relationship Id="rId284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1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999" Type="http://schemas.openxmlformats.org/officeDocument/2006/relationships/hyperlink" Target="https://www.rsssf.org/colours/greece.html" TargetMode="External"/><Relationship Id="rId2846" Type="http://schemas.openxmlformats.org/officeDocument/2006/relationships/hyperlink" Target="about:blank" TargetMode="External"/><Relationship Id="rId1516" Type="http://schemas.openxmlformats.org/officeDocument/2006/relationships/hyperlink" Target="about:blank" TargetMode="External"/><Relationship Id="rId2847" Type="http://schemas.openxmlformats.org/officeDocument/2006/relationships/hyperlink" Target="https://fr.wikipedia.org/wiki/%C3%89toile_rouge_de_Belgrade_(football)" TargetMode="External"/><Relationship Id="rId1517" Type="http://schemas.openxmlformats.org/officeDocument/2006/relationships/hyperlink" Target="https://en.wikipedia.org/wiki/CS_Concordia_Chiajna" TargetMode="External"/><Relationship Id="rId2848" Type="http://schemas.openxmlformats.org/officeDocument/2006/relationships/hyperlink" Target="about:blank" TargetMode="External"/><Relationship Id="rId1518" Type="http://schemas.openxmlformats.org/officeDocument/2006/relationships/hyperlink" Target="about:blank" TargetMode="External"/><Relationship Id="rId284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1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990" Type="http://schemas.openxmlformats.org/officeDocument/2006/relationships/hyperlink" Target="about:blank" TargetMode="External"/><Relationship Id="rId1991" Type="http://schemas.openxmlformats.org/officeDocument/2006/relationships/hyperlink" Target="https://www.rsssf.org/colours/greece.html" TargetMode="External"/><Relationship Id="rId1992" Type="http://schemas.openxmlformats.org/officeDocument/2006/relationships/hyperlink" Target="about:blank" TargetMode="External"/><Relationship Id="rId1993" Type="http://schemas.openxmlformats.org/officeDocument/2006/relationships/hyperlink" Target="https://en.wikipedia.org/wiki/2026%E2%80%9327_Super_League_Greece_2" TargetMode="External"/><Relationship Id="rId2840" Type="http://schemas.openxmlformats.org/officeDocument/2006/relationships/hyperlink" Target="about:blank" TargetMode="External"/><Relationship Id="rId1983" Type="http://schemas.openxmlformats.org/officeDocument/2006/relationships/hyperlink" Target="https://www.rsssf.org/colours/greece.html" TargetMode="External"/><Relationship Id="rId2830" Type="http://schemas.openxmlformats.org/officeDocument/2006/relationships/hyperlink" Target="about:blank" TargetMode="External"/><Relationship Id="rId1500" Type="http://schemas.openxmlformats.org/officeDocument/2006/relationships/hyperlink" Target="about:blank" TargetMode="External"/><Relationship Id="rId1984" Type="http://schemas.openxmlformats.org/officeDocument/2006/relationships/hyperlink" Target="about:blank" TargetMode="External"/><Relationship Id="rId2831" Type="http://schemas.openxmlformats.org/officeDocument/2006/relationships/hyperlink" Target="https://fr.wikipedia.org/wiki/FK_Borac_Banja_Luka" TargetMode="External"/><Relationship Id="rId1501" Type="http://schemas.openxmlformats.org/officeDocument/2006/relationships/hyperlink" Target="https://lpf.ro/liga-1" TargetMode="External"/><Relationship Id="rId1985" Type="http://schemas.openxmlformats.org/officeDocument/2006/relationships/hyperlink" Target="https://en.wikipedia.org/wiki/2026%E2%80%9327_Super_League_Greece_2" TargetMode="External"/><Relationship Id="rId2832" Type="http://schemas.openxmlformats.org/officeDocument/2006/relationships/hyperlink" Target="about:blank" TargetMode="External"/><Relationship Id="rId1502" Type="http://schemas.openxmlformats.org/officeDocument/2006/relationships/hyperlink" Target="about:blank" TargetMode="External"/><Relationship Id="rId1986" Type="http://schemas.openxmlformats.org/officeDocument/2006/relationships/hyperlink" Target="about:blank" TargetMode="External"/><Relationship Id="rId283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03" Type="http://schemas.openxmlformats.org/officeDocument/2006/relationships/hyperlink" Target="https://ro.wikipedia.org/wiki/FC_UTA_Arad" TargetMode="External"/><Relationship Id="rId1987" Type="http://schemas.openxmlformats.org/officeDocument/2006/relationships/hyperlink" Target="https://www.rsssf.org/colours/greece.html" TargetMode="External"/><Relationship Id="rId2834" Type="http://schemas.openxmlformats.org/officeDocument/2006/relationships/hyperlink" Target="about:blank" TargetMode="External"/><Relationship Id="rId1504" Type="http://schemas.openxmlformats.org/officeDocument/2006/relationships/hyperlink" Target="about:blank" TargetMode="External"/><Relationship Id="rId1988" Type="http://schemas.openxmlformats.org/officeDocument/2006/relationships/hyperlink" Target="about:blank" TargetMode="External"/><Relationship Id="rId2835" Type="http://schemas.openxmlformats.org/officeDocument/2006/relationships/hyperlink" Target="https://www.rsssf.org/colours/portugal.html" TargetMode="External"/><Relationship Id="rId150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989" Type="http://schemas.openxmlformats.org/officeDocument/2006/relationships/hyperlink" Target="https://en.wikipedia.org/wiki/2026%E2%80%9327_Super_League_Greece_2" TargetMode="External"/><Relationship Id="rId2836" Type="http://schemas.openxmlformats.org/officeDocument/2006/relationships/hyperlink" Target="about:blank" TargetMode="External"/><Relationship Id="rId1506" Type="http://schemas.openxmlformats.org/officeDocument/2006/relationships/hyperlink" Target="about:blank" TargetMode="External"/><Relationship Id="rId283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07" Type="http://schemas.openxmlformats.org/officeDocument/2006/relationships/hyperlink" Target="about:blank" TargetMode="External"/><Relationship Id="rId2838" Type="http://schemas.openxmlformats.org/officeDocument/2006/relationships/hyperlink" Target="about:blank" TargetMode="External"/><Relationship Id="rId1508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39" Type="http://schemas.openxmlformats.org/officeDocument/2006/relationships/hyperlink" Target="https://www.rsssf.org/colours/norway.html" TargetMode="External"/><Relationship Id="rId1509" Type="http://schemas.openxmlformats.org/officeDocument/2006/relationships/hyperlink" Target="about:blank" TargetMode="External"/><Relationship Id="rId1980" Type="http://schemas.openxmlformats.org/officeDocument/2006/relationships/hyperlink" Target="about:blank" TargetMode="External"/><Relationship Id="rId1981" Type="http://schemas.openxmlformats.org/officeDocument/2006/relationships/hyperlink" Target="https://en.wikipedia.org/wiki/2026%E2%80%9327_Super_League_Greece_2" TargetMode="External"/><Relationship Id="rId1982" Type="http://schemas.openxmlformats.org/officeDocument/2006/relationships/hyperlink" Target="about:blank" TargetMode="External"/><Relationship Id="rId1930" Type="http://schemas.openxmlformats.org/officeDocument/2006/relationships/hyperlink" Target="https://www.slgr.gr/en/teams/" TargetMode="External"/><Relationship Id="rId1931" Type="http://schemas.openxmlformats.org/officeDocument/2006/relationships/hyperlink" Target="about:blank" TargetMode="External"/><Relationship Id="rId1932" Type="http://schemas.openxmlformats.org/officeDocument/2006/relationships/hyperlink" Target="https://www.rsssf.org/colours/greece.html" TargetMode="External"/><Relationship Id="rId1933" Type="http://schemas.openxmlformats.org/officeDocument/2006/relationships/hyperlink" Target="about:blank" TargetMode="External"/><Relationship Id="rId1934" Type="http://schemas.openxmlformats.org/officeDocument/2006/relationships/hyperlink" Target="https://www.slgr.gr/en/teams/" TargetMode="External"/><Relationship Id="rId1935" Type="http://schemas.openxmlformats.org/officeDocument/2006/relationships/hyperlink" Target="about:blank" TargetMode="External"/><Relationship Id="rId1936" Type="http://schemas.openxmlformats.org/officeDocument/2006/relationships/hyperlink" Target="https://www.rsssf.org/colours/greece.html" TargetMode="External"/><Relationship Id="rId1937" Type="http://schemas.openxmlformats.org/officeDocument/2006/relationships/hyperlink" Target="about:blank" TargetMode="External"/><Relationship Id="rId1938" Type="http://schemas.openxmlformats.org/officeDocument/2006/relationships/hyperlink" Target="https://www.slgr.gr/en/teams/" TargetMode="External"/><Relationship Id="rId1939" Type="http://schemas.openxmlformats.org/officeDocument/2006/relationships/hyperlink" Target="about:blank" TargetMode="External"/><Relationship Id="rId1920" Type="http://schemas.openxmlformats.org/officeDocument/2006/relationships/hyperlink" Target="about:blank" TargetMode="External"/><Relationship Id="rId1921" Type="http://schemas.openxmlformats.org/officeDocument/2006/relationships/hyperlink" Target="about:blank" TargetMode="External"/><Relationship Id="rId1922" Type="http://schemas.openxmlformats.org/officeDocument/2006/relationships/hyperlink" Target="https://www.slgr.gr/en/teams/" TargetMode="External"/><Relationship Id="rId1923" Type="http://schemas.openxmlformats.org/officeDocument/2006/relationships/hyperlink" Target="about:blank" TargetMode="External"/><Relationship Id="rId1924" Type="http://schemas.openxmlformats.org/officeDocument/2006/relationships/hyperlink" Target="https://www.rsssf.org/colours/greece.html" TargetMode="External"/><Relationship Id="rId1925" Type="http://schemas.openxmlformats.org/officeDocument/2006/relationships/hyperlink" Target="about:blank" TargetMode="External"/><Relationship Id="rId1926" Type="http://schemas.openxmlformats.org/officeDocument/2006/relationships/hyperlink" Target="https://www.slgr.gr/en/teams/" TargetMode="External"/><Relationship Id="rId1927" Type="http://schemas.openxmlformats.org/officeDocument/2006/relationships/hyperlink" Target="about:blank" TargetMode="External"/><Relationship Id="rId1928" Type="http://schemas.openxmlformats.org/officeDocument/2006/relationships/hyperlink" Target="https://www.rsssf.org/colours/greece.html" TargetMode="External"/><Relationship Id="rId1929" Type="http://schemas.openxmlformats.org/officeDocument/2006/relationships/hyperlink" Target="about:blank" TargetMode="External"/><Relationship Id="rId1950" Type="http://schemas.openxmlformats.org/officeDocument/2006/relationships/hyperlink" Target="about:blank" TargetMode="External"/><Relationship Id="rId1951" Type="http://schemas.openxmlformats.org/officeDocument/2006/relationships/hyperlink" Target="https://www.rsssf.org/colours/greece.html" TargetMode="External"/><Relationship Id="rId1952" Type="http://schemas.openxmlformats.org/officeDocument/2006/relationships/hyperlink" Target="about:blank" TargetMode="External"/><Relationship Id="rId1953" Type="http://schemas.openxmlformats.org/officeDocument/2006/relationships/hyperlink" Target="https://en.wikipedia.org/wiki/2026%E2%80%9327_Super_League_Greece_2" TargetMode="External"/><Relationship Id="rId2800" Type="http://schemas.openxmlformats.org/officeDocument/2006/relationships/hyperlink" Target="about:blank" TargetMode="External"/><Relationship Id="rId1954" Type="http://schemas.openxmlformats.org/officeDocument/2006/relationships/hyperlink" Target="about:blank" TargetMode="External"/><Relationship Id="rId2801" Type="http://schemas.openxmlformats.org/officeDocument/2006/relationships/hyperlink" Target="https://www.uefa.com/uefaeuropaleague/clubs/" TargetMode="External"/><Relationship Id="rId1955" Type="http://schemas.openxmlformats.org/officeDocument/2006/relationships/hyperlink" Target="https://www.rsssf.org/colours/greece.html" TargetMode="External"/><Relationship Id="rId2802" Type="http://schemas.openxmlformats.org/officeDocument/2006/relationships/hyperlink" Target="about:blank" TargetMode="External"/><Relationship Id="rId1956" Type="http://schemas.openxmlformats.org/officeDocument/2006/relationships/hyperlink" Target="about:blank" TargetMode="External"/><Relationship Id="rId2803" Type="http://schemas.openxmlformats.org/officeDocument/2006/relationships/hyperlink" Target="https://www.rsssf.org/colours/portugal.html" TargetMode="External"/><Relationship Id="rId1957" Type="http://schemas.openxmlformats.org/officeDocument/2006/relationships/hyperlink" Target="https://en.wikipedia.org/wiki/2026%E2%80%9327_Super_League_Greece_2" TargetMode="External"/><Relationship Id="rId2804" Type="http://schemas.openxmlformats.org/officeDocument/2006/relationships/hyperlink" Target="about:blank" TargetMode="External"/><Relationship Id="rId1958" Type="http://schemas.openxmlformats.org/officeDocument/2006/relationships/hyperlink" Target="about:blank" TargetMode="External"/><Relationship Id="rId2805" Type="http://schemas.openxmlformats.org/officeDocument/2006/relationships/hyperlink" Target="https://www.uefa.com/uefaeuropaleague/clubs/" TargetMode="External"/><Relationship Id="rId1959" Type="http://schemas.openxmlformats.org/officeDocument/2006/relationships/hyperlink" Target="https://www.rsssf.org/colours/greece.html" TargetMode="External"/><Relationship Id="rId2806" Type="http://schemas.openxmlformats.org/officeDocument/2006/relationships/hyperlink" Target="about:blank" TargetMode="External"/><Relationship Id="rId2807" Type="http://schemas.openxmlformats.org/officeDocument/2006/relationships/hyperlink" Target="https://de.wikipedia.org/wiki/TSG_1899_Hoffenheim" TargetMode="External"/><Relationship Id="rId2808" Type="http://schemas.openxmlformats.org/officeDocument/2006/relationships/hyperlink" Target="about:blank" TargetMode="External"/><Relationship Id="rId2809" Type="http://schemas.openxmlformats.org/officeDocument/2006/relationships/hyperlink" Target="https://www.uefa.com/uefaeuropaleague/clubs/" TargetMode="External"/><Relationship Id="rId1940" Type="http://schemas.openxmlformats.org/officeDocument/2006/relationships/hyperlink" Target="https://www.rsssf.org/colours/greece.html" TargetMode="External"/><Relationship Id="rId1941" Type="http://schemas.openxmlformats.org/officeDocument/2006/relationships/hyperlink" Target="about:blank" TargetMode="External"/><Relationship Id="rId1942" Type="http://schemas.openxmlformats.org/officeDocument/2006/relationships/hyperlink" Target="https://www.slgr.gr/en/teams/" TargetMode="External"/><Relationship Id="rId1943" Type="http://schemas.openxmlformats.org/officeDocument/2006/relationships/hyperlink" Target="about:blank" TargetMode="External"/><Relationship Id="rId1944" Type="http://schemas.openxmlformats.org/officeDocument/2006/relationships/hyperlink" Target="about:blank" TargetMode="External"/><Relationship Id="rId1945" Type="http://schemas.openxmlformats.org/officeDocument/2006/relationships/hyperlink" Target="https://en.wikipedia.org/wiki/2026%E2%80%9327_Super_League_Greece_2" TargetMode="External"/><Relationship Id="rId1946" Type="http://schemas.openxmlformats.org/officeDocument/2006/relationships/hyperlink" Target="about:blank" TargetMode="External"/><Relationship Id="rId1947" Type="http://schemas.openxmlformats.org/officeDocument/2006/relationships/hyperlink" Target="https://www.rsssf.org/colours/greece.html" TargetMode="External"/><Relationship Id="rId1948" Type="http://schemas.openxmlformats.org/officeDocument/2006/relationships/hyperlink" Target="about:blank" TargetMode="External"/><Relationship Id="rId1949" Type="http://schemas.openxmlformats.org/officeDocument/2006/relationships/hyperlink" Target="https://en.wikipedia.org/wiki/2026%E2%80%9327_Super_League_Greece_2" TargetMode="External"/><Relationship Id="rId1576" Type="http://schemas.openxmlformats.org/officeDocument/2006/relationships/hyperlink" Target="about:blank" TargetMode="External"/><Relationship Id="rId2423" Type="http://schemas.openxmlformats.org/officeDocument/2006/relationships/hyperlink" Target="about:blank" TargetMode="External"/><Relationship Id="rId157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24" Type="http://schemas.openxmlformats.org/officeDocument/2006/relationships/hyperlink" Target="https://ilvesfutisliiga.fi/ukk/" TargetMode="External"/><Relationship Id="rId1578" Type="http://schemas.openxmlformats.org/officeDocument/2006/relationships/hyperlink" Target="about:blank" TargetMode="External"/><Relationship Id="rId2425" Type="http://schemas.openxmlformats.org/officeDocument/2006/relationships/hyperlink" Target="about:blank" TargetMode="External"/><Relationship Id="rId1579" Type="http://schemas.openxmlformats.org/officeDocument/2006/relationships/hyperlink" Target="https://en.wikipedia.org/wiki/CSA_Steaua_Bucure%C8%99ti_(football)" TargetMode="External"/><Relationship Id="rId2426" Type="http://schemas.openxmlformats.org/officeDocument/2006/relationships/hyperlink" Target="https://www.veikkausliiga.com/tilastot/joukkueet/" TargetMode="External"/><Relationship Id="rId2427" Type="http://schemas.openxmlformats.org/officeDocument/2006/relationships/hyperlink" Target="about:blank" TargetMode="External"/><Relationship Id="rId2428" Type="http://schemas.openxmlformats.org/officeDocument/2006/relationships/hyperlink" Target="https://fi.wikipedia.org/wiki/Kuopion_Palloseura" TargetMode="External"/><Relationship Id="rId2429" Type="http://schemas.openxmlformats.org/officeDocument/2006/relationships/hyperlink" Target="about:blank" TargetMode="External"/><Relationship Id="rId509" Type="http://schemas.openxmlformats.org/officeDocument/2006/relationships/hyperlink" Target="https://fr.wikipedia.org/wiki/Uni%C3%B3n_Deportiva_Logro%C3%B1%C3%A9s" TargetMode="External"/><Relationship Id="rId508" Type="http://schemas.openxmlformats.org/officeDocument/2006/relationships/hyperlink" Target="about:blank" TargetMode="External"/><Relationship Id="rId503" Type="http://schemas.openxmlformats.org/officeDocument/2006/relationships/hyperlink" Target="https://rfef.es/es/noticias/aprobados-los-grupos-de-primera-federacion-para-la-temporada-202627" TargetMode="External"/><Relationship Id="rId987" Type="http://schemas.openxmlformats.org/officeDocument/2006/relationships/hyperlink" Target="https://it.wikipedia.org/wiki/Savoia_1908" TargetMode="External"/><Relationship Id="rId502" Type="http://schemas.openxmlformats.org/officeDocument/2006/relationships/hyperlink" Target="about:blank" TargetMode="External"/><Relationship Id="rId986" Type="http://schemas.openxmlformats.org/officeDocument/2006/relationships/hyperlink" Target="about:blank" TargetMode="External"/><Relationship Id="rId501" Type="http://schemas.openxmlformats.org/officeDocument/2006/relationships/hyperlink" Target="https://www.rsssf.org/colours/spain.html" TargetMode="External"/><Relationship Id="rId985" Type="http://schemas.openxmlformats.org/officeDocument/2006/relationships/hyperlink" Target="https://it.blastingnews.com/calcio/2026/07/ultimora-serie-c-svelati-i-gironi-ufficiali-2026-27-004083523.html" TargetMode="External"/><Relationship Id="rId500" Type="http://schemas.openxmlformats.org/officeDocument/2006/relationships/hyperlink" Target="about:blank" TargetMode="External"/><Relationship Id="rId984" Type="http://schemas.openxmlformats.org/officeDocument/2006/relationships/hyperlink" Target="about:blank" TargetMode="External"/><Relationship Id="rId507" Type="http://schemas.openxmlformats.org/officeDocument/2006/relationships/hyperlink" Target="https://rfef.es/es/noticias/aprobados-los-grupos-de-primera-federacion-para-la-temporada-202627" TargetMode="External"/><Relationship Id="rId506" Type="http://schemas.openxmlformats.org/officeDocument/2006/relationships/hyperlink" Target="about:blank" TargetMode="External"/><Relationship Id="rId505" Type="http://schemas.openxmlformats.org/officeDocument/2006/relationships/hyperlink" Target="https://www.rsssf.org/colours/spain.html" TargetMode="External"/><Relationship Id="rId989" Type="http://schemas.openxmlformats.org/officeDocument/2006/relationships/hyperlink" Target="https://it.blastingnews.com/calcio/2026/07/ultimora-serie-c-svelati-i-gironi-ufficiali-2026-27-004083523.html" TargetMode="External"/><Relationship Id="rId504" Type="http://schemas.openxmlformats.org/officeDocument/2006/relationships/hyperlink" Target="about:blank" TargetMode="External"/><Relationship Id="rId988" Type="http://schemas.openxmlformats.org/officeDocument/2006/relationships/hyperlink" Target="about:blank" TargetMode="External"/><Relationship Id="rId157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571" Type="http://schemas.openxmlformats.org/officeDocument/2006/relationships/hyperlink" Target="about:blank" TargetMode="External"/><Relationship Id="rId983" Type="http://schemas.openxmlformats.org/officeDocument/2006/relationships/hyperlink" Target="https://it.wikipedia.org/wiki/Unione_Sportiva_Salernitana_1919" TargetMode="External"/><Relationship Id="rId1572" Type="http://schemas.openxmlformats.org/officeDocument/2006/relationships/hyperlink" Target="https://en.wikipedia.org/wiki/SC_Pope%C8%99ti-Leordeni" TargetMode="External"/><Relationship Id="rId982" Type="http://schemas.openxmlformats.org/officeDocument/2006/relationships/hyperlink" Target="about:blank" TargetMode="External"/><Relationship Id="rId1573" Type="http://schemas.openxmlformats.org/officeDocument/2006/relationships/hyperlink" Target="about:blank" TargetMode="External"/><Relationship Id="rId2420" Type="http://schemas.openxmlformats.org/officeDocument/2006/relationships/hyperlink" Target="https://fi.wikipedia.org/wiki/IFK_Mariehamn" TargetMode="External"/><Relationship Id="rId981" Type="http://schemas.openxmlformats.org/officeDocument/2006/relationships/hyperlink" Target="https://it.blastingnews.com/calcio/2026/07/ultimora-serie-c-svelati-i-gironi-ufficiali-2026-27-004083523.html" TargetMode="External"/><Relationship Id="rId1574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21" Type="http://schemas.openxmlformats.org/officeDocument/2006/relationships/hyperlink" Target="about:blank" TargetMode="External"/><Relationship Id="rId980" Type="http://schemas.openxmlformats.org/officeDocument/2006/relationships/hyperlink" Target="about:blank" TargetMode="External"/><Relationship Id="rId1575" Type="http://schemas.openxmlformats.org/officeDocument/2006/relationships/hyperlink" Target="about:blank" TargetMode="External"/><Relationship Id="rId2422" Type="http://schemas.openxmlformats.org/officeDocument/2006/relationships/hyperlink" Target="https://www.veikkausliiga.com/tilastot/joukkueet/" TargetMode="External"/><Relationship Id="rId1565" Type="http://schemas.openxmlformats.org/officeDocument/2006/relationships/hyperlink" Target="about:blank" TargetMode="External"/><Relationship Id="rId2412" Type="http://schemas.openxmlformats.org/officeDocument/2006/relationships/hyperlink" Target="https://fi.wikipedia.org/wiki/Helsingin_Jalkapalloklubi" TargetMode="External"/><Relationship Id="rId2896" Type="http://schemas.openxmlformats.org/officeDocument/2006/relationships/hyperlink" Target="about:blank" TargetMode="External"/><Relationship Id="rId1566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13" Type="http://schemas.openxmlformats.org/officeDocument/2006/relationships/hyperlink" Target="about:blank" TargetMode="External"/><Relationship Id="rId289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67" Type="http://schemas.openxmlformats.org/officeDocument/2006/relationships/hyperlink" Target="about:blank" TargetMode="External"/><Relationship Id="rId2414" Type="http://schemas.openxmlformats.org/officeDocument/2006/relationships/hyperlink" Target="https://www.veikkausliiga.com/tilastot/joukkueet/" TargetMode="External"/><Relationship Id="rId2898" Type="http://schemas.openxmlformats.org/officeDocument/2006/relationships/hyperlink" Target="about:blank" TargetMode="External"/><Relationship Id="rId1568" Type="http://schemas.openxmlformats.org/officeDocument/2006/relationships/hyperlink" Target="https://en.wikipedia.org/wiki/SSU_Politehnica_Timi%C8%99oara" TargetMode="External"/><Relationship Id="rId2415" Type="http://schemas.openxmlformats.org/officeDocument/2006/relationships/hyperlink" Target="about:blank" TargetMode="External"/><Relationship Id="rId2899" Type="http://schemas.openxmlformats.org/officeDocument/2006/relationships/hyperlink" Target="https://fr.wikipedia.org/wiki/FK_Jablonec" TargetMode="External"/><Relationship Id="rId1569" Type="http://schemas.openxmlformats.org/officeDocument/2006/relationships/hyperlink" Target="about:blank" TargetMode="External"/><Relationship Id="rId2416" Type="http://schemas.openxmlformats.org/officeDocument/2006/relationships/hyperlink" Target="https://fi.wikipedia.org/wiki/IF_Gnistan" TargetMode="External"/><Relationship Id="rId2417" Type="http://schemas.openxmlformats.org/officeDocument/2006/relationships/hyperlink" Target="about:blank" TargetMode="External"/><Relationship Id="rId2418" Type="http://schemas.openxmlformats.org/officeDocument/2006/relationships/hyperlink" Target="https://www.veikkausliiga.com/tilastot/joukkueet/" TargetMode="External"/><Relationship Id="rId2419" Type="http://schemas.openxmlformats.org/officeDocument/2006/relationships/hyperlink" Target="about:blank" TargetMode="External"/><Relationship Id="rId976" Type="http://schemas.openxmlformats.org/officeDocument/2006/relationships/hyperlink" Target="about:blank" TargetMode="External"/><Relationship Id="rId975" Type="http://schemas.openxmlformats.org/officeDocument/2006/relationships/hyperlink" Target="https://it.wikipedia.org/wiki/AZ_Picerno" TargetMode="External"/><Relationship Id="rId974" Type="http://schemas.openxmlformats.org/officeDocument/2006/relationships/hyperlink" Target="about:blank" TargetMode="External"/><Relationship Id="rId973" Type="http://schemas.openxmlformats.org/officeDocument/2006/relationships/hyperlink" Target="https://it.blastingnews.com/calcio/2026/07/ultimora-serie-c-svelati-i-gironi-ufficiali-2026-27-004083523.html" TargetMode="External"/><Relationship Id="rId979" Type="http://schemas.openxmlformats.org/officeDocument/2006/relationships/hyperlink" Target="https://it.wikipedia.org/wiki/Potenza_Calcio" TargetMode="External"/><Relationship Id="rId978" Type="http://schemas.openxmlformats.org/officeDocument/2006/relationships/hyperlink" Target="about:blank" TargetMode="External"/><Relationship Id="rId977" Type="http://schemas.openxmlformats.org/officeDocument/2006/relationships/hyperlink" Target="https://it.blastingnews.com/calcio/2026/07/ultimora-serie-c-svelati-i-gironi-ufficiali-2026-27-004083523.html" TargetMode="External"/><Relationship Id="rId2890" Type="http://schemas.openxmlformats.org/officeDocument/2006/relationships/hyperlink" Target="about:blank" TargetMode="External"/><Relationship Id="rId156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91" Type="http://schemas.openxmlformats.org/officeDocument/2006/relationships/hyperlink" Target="https://fr.wikipedia.org/wiki/FC_Iberia_1999" TargetMode="External"/><Relationship Id="rId972" Type="http://schemas.openxmlformats.org/officeDocument/2006/relationships/hyperlink" Target="about:blank" TargetMode="External"/><Relationship Id="rId1561" Type="http://schemas.openxmlformats.org/officeDocument/2006/relationships/hyperlink" Target="about:blank" TargetMode="External"/><Relationship Id="rId2892" Type="http://schemas.openxmlformats.org/officeDocument/2006/relationships/hyperlink" Target="about:blank" TargetMode="External"/><Relationship Id="rId971" Type="http://schemas.openxmlformats.org/officeDocument/2006/relationships/hyperlink" Target="https://it.wikipedia.org/wiki/Societ%C3%A0_Sportiva_Monopoli_1966" TargetMode="External"/><Relationship Id="rId1562" Type="http://schemas.openxmlformats.org/officeDocument/2006/relationships/hyperlink" Target="about:blank" TargetMode="External"/><Relationship Id="rId289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970" Type="http://schemas.openxmlformats.org/officeDocument/2006/relationships/hyperlink" Target="about:blank" TargetMode="External"/><Relationship Id="rId156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10" Type="http://schemas.openxmlformats.org/officeDocument/2006/relationships/hyperlink" Target="https://www.veikkausliiga.com/tilastot/joukkueet/" TargetMode="External"/><Relationship Id="rId2894" Type="http://schemas.openxmlformats.org/officeDocument/2006/relationships/hyperlink" Target="about:blank" TargetMode="External"/><Relationship Id="rId1564" Type="http://schemas.openxmlformats.org/officeDocument/2006/relationships/hyperlink" Target="about:blank" TargetMode="External"/><Relationship Id="rId2411" Type="http://schemas.openxmlformats.org/officeDocument/2006/relationships/hyperlink" Target="about:blank" TargetMode="External"/><Relationship Id="rId2895" Type="http://schemas.openxmlformats.org/officeDocument/2006/relationships/hyperlink" Target="https://en.wikipedia.org/wiki/Inter_Club_d%27Escaldes" TargetMode="External"/><Relationship Id="rId1114" Type="http://schemas.openxmlformats.org/officeDocument/2006/relationships/hyperlink" Target="about:blank" TargetMode="External"/><Relationship Id="rId1598" Type="http://schemas.openxmlformats.org/officeDocument/2006/relationships/hyperlink" Target="https://www.flashscore.ro/stiri/fotbal-liga-3-2026-2027-serii-echipe-program/Qkhurfcc/" TargetMode="External"/><Relationship Id="rId2445" Type="http://schemas.openxmlformats.org/officeDocument/2006/relationships/hyperlink" Target="about:blank" TargetMode="External"/><Relationship Id="rId1115" Type="http://schemas.openxmlformats.org/officeDocument/2006/relationships/hyperlink" Target="https://www.rsssf.org/colours/germany.html" TargetMode="External"/><Relationship Id="rId1599" Type="http://schemas.openxmlformats.org/officeDocument/2006/relationships/hyperlink" Target="about:blank" TargetMode="External"/><Relationship Id="rId2446" Type="http://schemas.openxmlformats.org/officeDocument/2006/relationships/hyperlink" Target="https://www.transfermarkt.co.uk/ykkonen/startseite/wettbewerb/FI2" TargetMode="External"/><Relationship Id="rId1116" Type="http://schemas.openxmlformats.org/officeDocument/2006/relationships/hyperlink" Target="about:blank" TargetMode="External"/><Relationship Id="rId2447" Type="http://schemas.openxmlformats.org/officeDocument/2006/relationships/hyperlink" Target="about:blank" TargetMode="External"/><Relationship Id="rId1117" Type="http://schemas.openxmlformats.org/officeDocument/2006/relationships/hyperlink" Target="https://www.bundesliga.com/de/2bundesliga/tabelle?view=full" TargetMode="External"/><Relationship Id="rId2448" Type="http://schemas.openxmlformats.org/officeDocument/2006/relationships/hyperlink" Target="https://fi.wikipedia.org/wiki/FC_Haka" TargetMode="External"/><Relationship Id="rId1118" Type="http://schemas.openxmlformats.org/officeDocument/2006/relationships/hyperlink" Target="about:blank" TargetMode="External"/><Relationship Id="rId2449" Type="http://schemas.openxmlformats.org/officeDocument/2006/relationships/hyperlink" Target="about:blank" TargetMode="External"/><Relationship Id="rId1119" Type="http://schemas.openxmlformats.org/officeDocument/2006/relationships/hyperlink" Target="https://de.wikipedia.org/wiki/Hannover_96" TargetMode="External"/><Relationship Id="rId525" Type="http://schemas.openxmlformats.org/officeDocument/2006/relationships/hyperlink" Target="about:blank" TargetMode="External"/><Relationship Id="rId524" Type="http://schemas.openxmlformats.org/officeDocument/2006/relationships/hyperlink" Target="https://www.rsssf.org/colours/spain.html" TargetMode="External"/><Relationship Id="rId523" Type="http://schemas.openxmlformats.org/officeDocument/2006/relationships/hyperlink" Target="about:blank" TargetMode="External"/><Relationship Id="rId522" Type="http://schemas.openxmlformats.org/officeDocument/2006/relationships/hyperlink" Target="https://rfef.es/es/noticias/aprobados-los-grupos-de-primera-federacion-para-la-temporada-202627" TargetMode="External"/><Relationship Id="rId529" Type="http://schemas.openxmlformats.org/officeDocument/2006/relationships/hyperlink" Target="about:blank" TargetMode="External"/><Relationship Id="rId528" Type="http://schemas.openxmlformats.org/officeDocument/2006/relationships/hyperlink" Target="https://www.rsssf.org/colours/spain.html" TargetMode="External"/><Relationship Id="rId527" Type="http://schemas.openxmlformats.org/officeDocument/2006/relationships/hyperlink" Target="about:blank" TargetMode="External"/><Relationship Id="rId526" Type="http://schemas.openxmlformats.org/officeDocument/2006/relationships/hyperlink" Target="https://rfef.es/es/noticias/aprobados-los-grupos-de-primera-federacion-para-la-temporada-202627" TargetMode="External"/><Relationship Id="rId1590" Type="http://schemas.openxmlformats.org/officeDocument/2006/relationships/hyperlink" Target="https://en.wikipedia.org/wiki/CS_Aerostar_Bac%C4%83u" TargetMode="External"/><Relationship Id="rId1591" Type="http://schemas.openxmlformats.org/officeDocument/2006/relationships/hyperlink" Target="about:blank" TargetMode="External"/><Relationship Id="rId1592" Type="http://schemas.openxmlformats.org/officeDocument/2006/relationships/hyperlink" Target="https://www.flashscore.ro/stiri/fotbal-liga-3-2026-2027-serii-echipe-program/Qkhurfcc/" TargetMode="External"/><Relationship Id="rId1593" Type="http://schemas.openxmlformats.org/officeDocument/2006/relationships/hyperlink" Target="about:blank" TargetMode="External"/><Relationship Id="rId2440" Type="http://schemas.openxmlformats.org/officeDocument/2006/relationships/hyperlink" Target="https://fi.wikipedia.org/wiki/Vaasan_Palloseura" TargetMode="External"/><Relationship Id="rId521" Type="http://schemas.openxmlformats.org/officeDocument/2006/relationships/hyperlink" Target="about:blank" TargetMode="External"/><Relationship Id="rId1110" Type="http://schemas.openxmlformats.org/officeDocument/2006/relationships/hyperlink" Target="about:blank" TargetMode="External"/><Relationship Id="rId1594" Type="http://schemas.openxmlformats.org/officeDocument/2006/relationships/hyperlink" Target="about:blank" TargetMode="External"/><Relationship Id="rId2441" Type="http://schemas.openxmlformats.org/officeDocument/2006/relationships/hyperlink" Target="about:blank" TargetMode="External"/><Relationship Id="rId520" Type="http://schemas.openxmlformats.org/officeDocument/2006/relationships/hyperlink" Target="https://www.rsssf.org/colours/spain.html" TargetMode="External"/><Relationship Id="rId1111" Type="http://schemas.openxmlformats.org/officeDocument/2006/relationships/hyperlink" Target="https://www.rsssf.org/colours/germany.html" TargetMode="External"/><Relationship Id="rId1595" Type="http://schemas.openxmlformats.org/officeDocument/2006/relationships/hyperlink" Target="https://www.flashscore.ro/stiri/fotbal-liga-3-2026-2027-serii-echipe-program/Qkhurfcc/" TargetMode="External"/><Relationship Id="rId2442" Type="http://schemas.openxmlformats.org/officeDocument/2006/relationships/hyperlink" Target="https://www.transfermarkt.co.uk/ykkonen/startseite/wettbewerb/FI2" TargetMode="External"/><Relationship Id="rId1112" Type="http://schemas.openxmlformats.org/officeDocument/2006/relationships/hyperlink" Target="about:blank" TargetMode="External"/><Relationship Id="rId1596" Type="http://schemas.openxmlformats.org/officeDocument/2006/relationships/hyperlink" Target="about:blank" TargetMode="External"/><Relationship Id="rId2443" Type="http://schemas.openxmlformats.org/officeDocument/2006/relationships/hyperlink" Target="about:blank" TargetMode="External"/><Relationship Id="rId1113" Type="http://schemas.openxmlformats.org/officeDocument/2006/relationships/hyperlink" Target="https://www.bundesliga.com/de/2bundesliga/tabelle?view=full" TargetMode="External"/><Relationship Id="rId1597" Type="http://schemas.openxmlformats.org/officeDocument/2006/relationships/hyperlink" Target="about:blank" TargetMode="External"/><Relationship Id="rId2444" Type="http://schemas.openxmlformats.org/officeDocument/2006/relationships/hyperlink" Target="https://fr.wikipedia.org/wiki/Eken%C3%A4s_IF" TargetMode="External"/><Relationship Id="rId1103" Type="http://schemas.openxmlformats.org/officeDocument/2006/relationships/hyperlink" Target="https://www.rsssf.org/colours/germany.html" TargetMode="External"/><Relationship Id="rId1587" Type="http://schemas.openxmlformats.org/officeDocument/2006/relationships/hyperlink" Target="about:blank" TargetMode="External"/><Relationship Id="rId2434" Type="http://schemas.openxmlformats.org/officeDocument/2006/relationships/hyperlink" Target="https://www.veikkausliiga.com/tilastot/joukkueet/" TargetMode="External"/><Relationship Id="rId1104" Type="http://schemas.openxmlformats.org/officeDocument/2006/relationships/hyperlink" Target="about:blank" TargetMode="External"/><Relationship Id="rId1588" Type="http://schemas.openxmlformats.org/officeDocument/2006/relationships/hyperlink" Target="https://www.flashscore.ro/stiri/fotbal-liga-3-2026-2027-serii-echipe-program/Qkhurfcc/" TargetMode="External"/><Relationship Id="rId2435" Type="http://schemas.openxmlformats.org/officeDocument/2006/relationships/hyperlink" Target="about:blank" TargetMode="External"/><Relationship Id="rId1105" Type="http://schemas.openxmlformats.org/officeDocument/2006/relationships/hyperlink" Target="https://www.bundesliga.com/de/2bundesliga/tabelle?view=full" TargetMode="External"/><Relationship Id="rId1589" Type="http://schemas.openxmlformats.org/officeDocument/2006/relationships/hyperlink" Target="about:blank" TargetMode="External"/><Relationship Id="rId2436" Type="http://schemas.openxmlformats.org/officeDocument/2006/relationships/hyperlink" Target="https://fi.wikipedia.org/wiki/Turun_Palloseura_(jalkapallo)" TargetMode="External"/><Relationship Id="rId1106" Type="http://schemas.openxmlformats.org/officeDocument/2006/relationships/hyperlink" Target="about:blank" TargetMode="External"/><Relationship Id="rId2437" Type="http://schemas.openxmlformats.org/officeDocument/2006/relationships/hyperlink" Target="about:blank" TargetMode="External"/><Relationship Id="rId1107" Type="http://schemas.openxmlformats.org/officeDocument/2006/relationships/hyperlink" Target="https://de.wikipedia.org/wiki/Energie_Cottbus" TargetMode="External"/><Relationship Id="rId2438" Type="http://schemas.openxmlformats.org/officeDocument/2006/relationships/hyperlink" Target="https://www.veikkausliiga.com/tilastot/joukkueet/" TargetMode="External"/><Relationship Id="rId1108" Type="http://schemas.openxmlformats.org/officeDocument/2006/relationships/hyperlink" Target="about:blank" TargetMode="External"/><Relationship Id="rId2439" Type="http://schemas.openxmlformats.org/officeDocument/2006/relationships/hyperlink" Target="about:blank" TargetMode="External"/><Relationship Id="rId1109" Type="http://schemas.openxmlformats.org/officeDocument/2006/relationships/hyperlink" Target="https://www.bundesliga.com/de/2bundesliga/tabelle?view=full" TargetMode="External"/><Relationship Id="rId519" Type="http://schemas.openxmlformats.org/officeDocument/2006/relationships/hyperlink" Target="about:blank" TargetMode="External"/><Relationship Id="rId514" Type="http://schemas.openxmlformats.org/officeDocument/2006/relationships/hyperlink" Target="https://rfef.es/es/noticias/aprobados-los-grupos-de-primera-federacion-para-la-temporada-202627" TargetMode="External"/><Relationship Id="rId998" Type="http://schemas.openxmlformats.org/officeDocument/2006/relationships/hyperlink" Target="about:blank" TargetMode="External"/><Relationship Id="rId513" Type="http://schemas.openxmlformats.org/officeDocument/2006/relationships/hyperlink" Target="about:blank" TargetMode="External"/><Relationship Id="rId997" Type="http://schemas.openxmlformats.org/officeDocument/2006/relationships/hyperlink" Target="https://it.blastingnews.com/calcio/2026/07/ultimora-serie-c-svelati-i-gironi-ufficiali-2026-27-004083523.html" TargetMode="External"/><Relationship Id="rId512" Type="http://schemas.openxmlformats.org/officeDocument/2006/relationships/hyperlink" Target="about:blank" TargetMode="External"/><Relationship Id="rId996" Type="http://schemas.openxmlformats.org/officeDocument/2006/relationships/hyperlink" Target="about:blank" TargetMode="External"/><Relationship Id="rId511" Type="http://schemas.openxmlformats.org/officeDocument/2006/relationships/hyperlink" Target="https://rfef.es/es/noticias/aprobados-los-grupos-de-primera-federacion-para-la-temporada-202627" TargetMode="External"/><Relationship Id="rId995" Type="http://schemas.openxmlformats.org/officeDocument/2006/relationships/hyperlink" Target="https://it.wikipedia.org/wiki/Sorrento_Calcio_1945" TargetMode="External"/><Relationship Id="rId518" Type="http://schemas.openxmlformats.org/officeDocument/2006/relationships/hyperlink" Target="https://rfef.es/es/noticias/aprobados-los-grupos-de-primera-federacion-para-la-temporada-202627" TargetMode="External"/><Relationship Id="rId517" Type="http://schemas.openxmlformats.org/officeDocument/2006/relationships/hyperlink" Target="about:blank" TargetMode="External"/><Relationship Id="rId516" Type="http://schemas.openxmlformats.org/officeDocument/2006/relationships/hyperlink" Target="https://fr.wikipedia.org/wiki/Unionistas_de_Salamanca_Club_de_F%C3%BAtbol" TargetMode="External"/><Relationship Id="rId515" Type="http://schemas.openxmlformats.org/officeDocument/2006/relationships/hyperlink" Target="about:blank" TargetMode="External"/><Relationship Id="rId999" Type="http://schemas.openxmlformats.org/officeDocument/2006/relationships/hyperlink" Target="https://it.wikipedia.org/wiki/Team_Altamura" TargetMode="External"/><Relationship Id="rId990" Type="http://schemas.openxmlformats.org/officeDocument/2006/relationships/hyperlink" Target="about:blank" TargetMode="External"/><Relationship Id="rId1580" Type="http://schemas.openxmlformats.org/officeDocument/2006/relationships/hyperlink" Target="about:blank" TargetMode="External"/><Relationship Id="rId158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582" Type="http://schemas.openxmlformats.org/officeDocument/2006/relationships/hyperlink" Target="about:blank" TargetMode="External"/><Relationship Id="rId510" Type="http://schemas.openxmlformats.org/officeDocument/2006/relationships/hyperlink" Target="about:blank" TargetMode="External"/><Relationship Id="rId994" Type="http://schemas.openxmlformats.org/officeDocument/2006/relationships/hyperlink" Target="about:blank" TargetMode="External"/><Relationship Id="rId1583" Type="http://schemas.openxmlformats.org/officeDocument/2006/relationships/hyperlink" Target="https://en.wikipedia.org/wiki/AFC_Unirea_Slobozia" TargetMode="External"/><Relationship Id="rId2430" Type="http://schemas.openxmlformats.org/officeDocument/2006/relationships/hyperlink" Target="https://www.veikkausliiga.com/tilastot/joukkueet/" TargetMode="External"/><Relationship Id="rId993" Type="http://schemas.openxmlformats.org/officeDocument/2006/relationships/hyperlink" Target="https://it.blastingnews.com/calcio/2026/07/ultimora-serie-c-svelati-i-gironi-ufficiali-2026-27-004083523.html" TargetMode="External"/><Relationship Id="rId1100" Type="http://schemas.openxmlformats.org/officeDocument/2006/relationships/hyperlink" Target="about:blank" TargetMode="External"/><Relationship Id="rId1584" Type="http://schemas.openxmlformats.org/officeDocument/2006/relationships/hyperlink" Target="about:blank" TargetMode="External"/><Relationship Id="rId2431" Type="http://schemas.openxmlformats.org/officeDocument/2006/relationships/hyperlink" Target="about:blank" TargetMode="External"/><Relationship Id="rId992" Type="http://schemas.openxmlformats.org/officeDocument/2006/relationships/hyperlink" Target="about:blank" TargetMode="External"/><Relationship Id="rId1101" Type="http://schemas.openxmlformats.org/officeDocument/2006/relationships/hyperlink" Target="https://www.bundesliga.com/de/2bundesliga/tabelle?view=full" TargetMode="External"/><Relationship Id="rId1585" Type="http://schemas.openxmlformats.org/officeDocument/2006/relationships/hyperlink" Target="https://www.flashscore.ro/stiri/fotbal-liga-3-2026-2027-serii-echipe-program/Qkhurfcc/" TargetMode="External"/><Relationship Id="rId2432" Type="http://schemas.openxmlformats.org/officeDocument/2006/relationships/hyperlink" Target="https://fi.wikipedia.org/wiki/Sein%C3%A4joen_Jalkapallokerho" TargetMode="External"/><Relationship Id="rId991" Type="http://schemas.openxmlformats.org/officeDocument/2006/relationships/hyperlink" Target="https://it.wikipedia.org/wiki/Scafatese_Calcio_1922" TargetMode="External"/><Relationship Id="rId1102" Type="http://schemas.openxmlformats.org/officeDocument/2006/relationships/hyperlink" Target="about:blank" TargetMode="External"/><Relationship Id="rId1586" Type="http://schemas.openxmlformats.org/officeDocument/2006/relationships/hyperlink" Target="about:blank" TargetMode="External"/><Relationship Id="rId2433" Type="http://schemas.openxmlformats.org/officeDocument/2006/relationships/hyperlink" Target="about:blank" TargetMode="External"/><Relationship Id="rId1532" Type="http://schemas.openxmlformats.org/officeDocument/2006/relationships/hyperlink" Target="about:blank" TargetMode="External"/><Relationship Id="rId2863" Type="http://schemas.openxmlformats.org/officeDocument/2006/relationships/hyperlink" Target="https://de.wikipedia.org/wiki/FC_Midtjylland" TargetMode="External"/><Relationship Id="rId1533" Type="http://schemas.openxmlformats.org/officeDocument/2006/relationships/hyperlink" Target="https://en.wikipedia.org/wiki/CSC_Dumbr%C4%83vi%C8%9Ba" TargetMode="External"/><Relationship Id="rId2864" Type="http://schemas.openxmlformats.org/officeDocument/2006/relationships/hyperlink" Target="about:blank" TargetMode="External"/><Relationship Id="rId1534" Type="http://schemas.openxmlformats.org/officeDocument/2006/relationships/hyperlink" Target="about:blank" TargetMode="External"/><Relationship Id="rId286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3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66" Type="http://schemas.openxmlformats.org/officeDocument/2006/relationships/hyperlink" Target="about:blank" TargetMode="External"/><Relationship Id="rId1536" Type="http://schemas.openxmlformats.org/officeDocument/2006/relationships/hyperlink" Target="about:blank" TargetMode="External"/><Relationship Id="rId2867" Type="http://schemas.openxmlformats.org/officeDocument/2006/relationships/hyperlink" Target="https://www.the-sports.org/football-soccer-fc-nordsjaelland-results-identity-equ843.html" TargetMode="External"/><Relationship Id="rId1537" Type="http://schemas.openxmlformats.org/officeDocument/2006/relationships/hyperlink" Target="about:blank" TargetMode="External"/><Relationship Id="rId2868" Type="http://schemas.openxmlformats.org/officeDocument/2006/relationships/hyperlink" Target="about:blank" TargetMode="External"/><Relationship Id="rId1538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6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39" Type="http://schemas.openxmlformats.org/officeDocument/2006/relationships/hyperlink" Target="about:blank" TargetMode="External"/><Relationship Id="rId949" Type="http://schemas.openxmlformats.org/officeDocument/2006/relationships/hyperlink" Target="https://it.blastingnews.com/calcio/2026/07/ultimora-serie-c-svelati-i-gironi-ufficiali-2026-27-004083523.html" TargetMode="External"/><Relationship Id="rId948" Type="http://schemas.openxmlformats.org/officeDocument/2006/relationships/hyperlink" Target="about:blank" TargetMode="External"/><Relationship Id="rId943" Type="http://schemas.openxmlformats.org/officeDocument/2006/relationships/hyperlink" Target="https://it.wikipedia.org/wiki/Catania_Football_Club" TargetMode="External"/><Relationship Id="rId942" Type="http://schemas.openxmlformats.org/officeDocument/2006/relationships/hyperlink" Target="about:blank" TargetMode="External"/><Relationship Id="rId941" Type="http://schemas.openxmlformats.org/officeDocument/2006/relationships/hyperlink" Target="https://it.blastingnews.com/calcio/2026/07/ultimora-serie-c-svelati-i-gironi-ufficiali-2026-27-004083523.html" TargetMode="External"/><Relationship Id="rId940" Type="http://schemas.openxmlformats.org/officeDocument/2006/relationships/hyperlink" Target="about:blank" TargetMode="External"/><Relationship Id="rId947" Type="http://schemas.openxmlformats.org/officeDocument/2006/relationships/hyperlink" Target="https://it.wikipedia.org/wiki/Cavese_1919" TargetMode="External"/><Relationship Id="rId946" Type="http://schemas.openxmlformats.org/officeDocument/2006/relationships/hyperlink" Target="about:blank" TargetMode="External"/><Relationship Id="rId945" Type="http://schemas.openxmlformats.org/officeDocument/2006/relationships/hyperlink" Target="https://it.blastingnews.com/calcio/2026/07/ultimora-serie-c-svelati-i-gironi-ufficiali-2026-27-004083523.html" TargetMode="External"/><Relationship Id="rId944" Type="http://schemas.openxmlformats.org/officeDocument/2006/relationships/hyperlink" Target="about:blank" TargetMode="External"/><Relationship Id="rId2860" Type="http://schemas.openxmlformats.org/officeDocument/2006/relationships/hyperlink" Target="about:blank" TargetMode="External"/><Relationship Id="rId1530" Type="http://schemas.openxmlformats.org/officeDocument/2006/relationships/hyperlink" Target="about:blank" TargetMode="External"/><Relationship Id="rId286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3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62" Type="http://schemas.openxmlformats.org/officeDocument/2006/relationships/hyperlink" Target="about:blank" TargetMode="External"/><Relationship Id="rId1521" Type="http://schemas.openxmlformats.org/officeDocument/2006/relationships/hyperlink" Target="https://en.wikipedia.org/wiki/CS_Afuma%C8%9Bi" TargetMode="External"/><Relationship Id="rId2852" Type="http://schemas.openxmlformats.org/officeDocument/2006/relationships/hyperlink" Target="about:blank" TargetMode="External"/><Relationship Id="rId1522" Type="http://schemas.openxmlformats.org/officeDocument/2006/relationships/hyperlink" Target="about:blank" TargetMode="External"/><Relationship Id="rId285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2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54" Type="http://schemas.openxmlformats.org/officeDocument/2006/relationships/hyperlink" Target="about:blank" TargetMode="External"/><Relationship Id="rId1524" Type="http://schemas.openxmlformats.org/officeDocument/2006/relationships/hyperlink" Target="about:blank" TargetMode="External"/><Relationship Id="rId2855" Type="http://schemas.openxmlformats.org/officeDocument/2006/relationships/hyperlink" Target="https://fr.wikipedia.org/wiki/KF_Egnatia_Rrogozhin%C3%AB" TargetMode="External"/><Relationship Id="rId1525" Type="http://schemas.openxmlformats.org/officeDocument/2006/relationships/hyperlink" Target="https://en.wikipedia.org/wiki/CS_Dinamo_Bucure%C8%99ti_(football)" TargetMode="External"/><Relationship Id="rId2856" Type="http://schemas.openxmlformats.org/officeDocument/2006/relationships/hyperlink" Target="about:blank" TargetMode="External"/><Relationship Id="rId1526" Type="http://schemas.openxmlformats.org/officeDocument/2006/relationships/hyperlink" Target="about:blank" TargetMode="External"/><Relationship Id="rId285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2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58" Type="http://schemas.openxmlformats.org/officeDocument/2006/relationships/hyperlink" Target="about:blank" TargetMode="External"/><Relationship Id="rId1528" Type="http://schemas.openxmlformats.org/officeDocument/2006/relationships/hyperlink" Target="about:blank" TargetMode="External"/><Relationship Id="rId2859" Type="http://schemas.openxmlformats.org/officeDocument/2006/relationships/hyperlink" Target="https://de.wikipedia.org/wiki/FC_Kopenhagen" TargetMode="External"/><Relationship Id="rId1529" Type="http://schemas.openxmlformats.org/officeDocument/2006/relationships/hyperlink" Target="https://en.wikipedia.org/wiki/CSC_1599_%C8%98elimb%C4%83r" TargetMode="External"/><Relationship Id="rId939" Type="http://schemas.openxmlformats.org/officeDocument/2006/relationships/hyperlink" Target="https://www.rsssf.org/colours/italy.html" TargetMode="External"/><Relationship Id="rId938" Type="http://schemas.openxmlformats.org/officeDocument/2006/relationships/hyperlink" Target="about:blank" TargetMode="External"/><Relationship Id="rId937" Type="http://schemas.openxmlformats.org/officeDocument/2006/relationships/hyperlink" Target="https://it.blastingnews.com/calcio/2026/07/ultimora-serie-c-svelati-i-gironi-ufficiali-2026-27-004083523.html" TargetMode="External"/><Relationship Id="rId932" Type="http://schemas.openxmlformats.org/officeDocument/2006/relationships/hyperlink" Target="about:blank" TargetMode="External"/><Relationship Id="rId931" Type="http://schemas.openxmlformats.org/officeDocument/2006/relationships/hyperlink" Target="https://it.wikipedia.org/wiki/Barletta_1922" TargetMode="External"/><Relationship Id="rId930" Type="http://schemas.openxmlformats.org/officeDocument/2006/relationships/hyperlink" Target="about:blank" TargetMode="External"/><Relationship Id="rId936" Type="http://schemas.openxmlformats.org/officeDocument/2006/relationships/hyperlink" Target="about:blank" TargetMode="External"/><Relationship Id="rId935" Type="http://schemas.openxmlformats.org/officeDocument/2006/relationships/hyperlink" Target="https://it.wikipedia.org/wiki/Casarano_Calcio" TargetMode="External"/><Relationship Id="rId934" Type="http://schemas.openxmlformats.org/officeDocument/2006/relationships/hyperlink" Target="about:blank" TargetMode="External"/><Relationship Id="rId933" Type="http://schemas.openxmlformats.org/officeDocument/2006/relationships/hyperlink" Target="https://it.blastingnews.com/calcio/2026/07/ultimora-serie-c-svelati-i-gironi-ufficiali-2026-27-004083523.html" TargetMode="External"/><Relationship Id="rId2850" Type="http://schemas.openxmlformats.org/officeDocument/2006/relationships/hyperlink" Target="about:blank" TargetMode="External"/><Relationship Id="rId1520" Type="http://schemas.openxmlformats.org/officeDocument/2006/relationships/hyperlink" Target="about:blank" TargetMode="External"/><Relationship Id="rId2851" Type="http://schemas.openxmlformats.org/officeDocument/2006/relationships/hyperlink" Target="https://fr.wikipedia.org/wiki/PFK_CSKA_Sofia" TargetMode="External"/><Relationship Id="rId1554" Type="http://schemas.openxmlformats.org/officeDocument/2006/relationships/hyperlink" Target="about:blank" TargetMode="External"/><Relationship Id="rId2401" Type="http://schemas.openxmlformats.org/officeDocument/2006/relationships/hyperlink" Target="about:blank" TargetMode="External"/><Relationship Id="rId288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55" Type="http://schemas.openxmlformats.org/officeDocument/2006/relationships/hyperlink" Target="about:blank" TargetMode="External"/><Relationship Id="rId2402" Type="http://schemas.openxmlformats.org/officeDocument/2006/relationships/hyperlink" Target="https://www.veikkausliiga.com/tilastot/joukkueet/" TargetMode="External"/><Relationship Id="rId2886" Type="http://schemas.openxmlformats.org/officeDocument/2006/relationships/hyperlink" Target="about:blank" TargetMode="External"/><Relationship Id="rId1556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03" Type="http://schemas.openxmlformats.org/officeDocument/2006/relationships/hyperlink" Target="about:blank" TargetMode="External"/><Relationship Id="rId2887" Type="http://schemas.openxmlformats.org/officeDocument/2006/relationships/hyperlink" Target="https://fr.wikipedia.org/wiki/Heart_of_Midlothian_Football_Club" TargetMode="External"/><Relationship Id="rId1557" Type="http://schemas.openxmlformats.org/officeDocument/2006/relationships/hyperlink" Target="about:blank" TargetMode="External"/><Relationship Id="rId2404" Type="http://schemas.openxmlformats.org/officeDocument/2006/relationships/hyperlink" Target="https://www.fclahti.fi/brandi-visio-ja-arvot/" TargetMode="External"/><Relationship Id="rId2888" Type="http://schemas.openxmlformats.org/officeDocument/2006/relationships/hyperlink" Target="about:blank" TargetMode="External"/><Relationship Id="rId1558" Type="http://schemas.openxmlformats.org/officeDocument/2006/relationships/hyperlink" Target="https://en.wikipedia.org/wiki/FC_Hermannstadt" TargetMode="External"/><Relationship Id="rId2405" Type="http://schemas.openxmlformats.org/officeDocument/2006/relationships/hyperlink" Target="about:blank" TargetMode="External"/><Relationship Id="rId288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59" Type="http://schemas.openxmlformats.org/officeDocument/2006/relationships/hyperlink" Target="about:blank" TargetMode="External"/><Relationship Id="rId2406" Type="http://schemas.openxmlformats.org/officeDocument/2006/relationships/hyperlink" Target="https://www.veikkausliiga.com/tilastot/joukkueet/" TargetMode="External"/><Relationship Id="rId2407" Type="http://schemas.openxmlformats.org/officeDocument/2006/relationships/hyperlink" Target="about:blank" TargetMode="External"/><Relationship Id="rId2408" Type="http://schemas.openxmlformats.org/officeDocument/2006/relationships/hyperlink" Target="https://fi.wikipedia.org/wiki/FF_Jaro" TargetMode="External"/><Relationship Id="rId2409" Type="http://schemas.openxmlformats.org/officeDocument/2006/relationships/hyperlink" Target="about:blank" TargetMode="External"/><Relationship Id="rId965" Type="http://schemas.openxmlformats.org/officeDocument/2006/relationships/hyperlink" Target="https://it.blastingnews.com/calcio/2026/07/ultimora-serie-c-svelati-i-gironi-ufficiali-2026-27-004083523.html" TargetMode="External"/><Relationship Id="rId964" Type="http://schemas.openxmlformats.org/officeDocument/2006/relationships/hyperlink" Target="about:blank" TargetMode="External"/><Relationship Id="rId963" Type="http://schemas.openxmlformats.org/officeDocument/2006/relationships/hyperlink" Target="https://it.wikipedia.org/wiki/Giugliano_Calcio_1928" TargetMode="External"/><Relationship Id="rId962" Type="http://schemas.openxmlformats.org/officeDocument/2006/relationships/hyperlink" Target="about:blank" TargetMode="External"/><Relationship Id="rId969" Type="http://schemas.openxmlformats.org/officeDocument/2006/relationships/hyperlink" Target="https://it.blastingnews.com/calcio/2026/07/ultimora-serie-c-svelati-i-gironi-ufficiali-2026-27-004083523.html" TargetMode="External"/><Relationship Id="rId968" Type="http://schemas.openxmlformats.org/officeDocument/2006/relationships/hyperlink" Target="about:blank" TargetMode="External"/><Relationship Id="rId967" Type="http://schemas.openxmlformats.org/officeDocument/2006/relationships/hyperlink" Target="https://www.rsssf.org/colours/italy.html" TargetMode="External"/><Relationship Id="rId966" Type="http://schemas.openxmlformats.org/officeDocument/2006/relationships/hyperlink" Target="about:blank" TargetMode="External"/><Relationship Id="rId2880" Type="http://schemas.openxmlformats.org/officeDocument/2006/relationships/hyperlink" Target="about:blank" TargetMode="External"/><Relationship Id="rId961" Type="http://schemas.openxmlformats.org/officeDocument/2006/relationships/hyperlink" Target="https://it.blastingnews.com/calcio/2026/07/ultimora-serie-c-svelati-i-gironi-ufficiali-2026-27-004083523.html" TargetMode="External"/><Relationship Id="rId1550" Type="http://schemas.openxmlformats.org/officeDocument/2006/relationships/hyperlink" Target="about:blank" TargetMode="External"/><Relationship Id="rId288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960" Type="http://schemas.openxmlformats.org/officeDocument/2006/relationships/hyperlink" Target="about:blank" TargetMode="External"/><Relationship Id="rId1551" Type="http://schemas.openxmlformats.org/officeDocument/2006/relationships/hyperlink" Target="https://en.wikipedia.org/wiki/FC_Bihor_Oradea_(2022)" TargetMode="External"/><Relationship Id="rId2882" Type="http://schemas.openxmlformats.org/officeDocument/2006/relationships/hyperlink" Target="about:blank" TargetMode="External"/><Relationship Id="rId1552" Type="http://schemas.openxmlformats.org/officeDocument/2006/relationships/hyperlink" Target="about:blank" TargetMode="External"/><Relationship Id="rId2883" Type="http://schemas.openxmlformats.org/officeDocument/2006/relationships/hyperlink" Target="https://fr.wikipedia.org/wiki/HNK_Hajduk_Split" TargetMode="External"/><Relationship Id="rId155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400" Type="http://schemas.openxmlformats.org/officeDocument/2006/relationships/hyperlink" Target="https://fi.wikipedia.org/wiki/FC_Inter_Turku" TargetMode="External"/><Relationship Id="rId2884" Type="http://schemas.openxmlformats.org/officeDocument/2006/relationships/hyperlink" Target="about:blank" TargetMode="External"/><Relationship Id="rId1543" Type="http://schemas.openxmlformats.org/officeDocument/2006/relationships/hyperlink" Target="about:blank" TargetMode="External"/><Relationship Id="rId2874" Type="http://schemas.openxmlformats.org/officeDocument/2006/relationships/hyperlink" Target="about:blank" TargetMode="External"/><Relationship Id="rId1544" Type="http://schemas.openxmlformats.org/officeDocument/2006/relationships/hyperlink" Target="https://en.wikipedia.org/wiki/CSM_Slatina_(football)" TargetMode="External"/><Relationship Id="rId2875" Type="http://schemas.openxmlformats.org/officeDocument/2006/relationships/hyperlink" Target="https://www.rsssf.org/colours/belgium.html" TargetMode="External"/><Relationship Id="rId1545" Type="http://schemas.openxmlformats.org/officeDocument/2006/relationships/hyperlink" Target="about:blank" TargetMode="External"/><Relationship Id="rId2876" Type="http://schemas.openxmlformats.org/officeDocument/2006/relationships/hyperlink" Target="about:blank" TargetMode="External"/><Relationship Id="rId1546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7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547" Type="http://schemas.openxmlformats.org/officeDocument/2006/relationships/hyperlink" Target="about:blank" TargetMode="External"/><Relationship Id="rId2878" Type="http://schemas.openxmlformats.org/officeDocument/2006/relationships/hyperlink" Target="about:blank" TargetMode="External"/><Relationship Id="rId1548" Type="http://schemas.openxmlformats.org/officeDocument/2006/relationships/hyperlink" Target="about:blank" TargetMode="External"/><Relationship Id="rId2879" Type="http://schemas.openxmlformats.org/officeDocument/2006/relationships/hyperlink" Target="https://www.rsssf.org/colours/spain.html" TargetMode="External"/><Relationship Id="rId154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959" Type="http://schemas.openxmlformats.org/officeDocument/2006/relationships/hyperlink" Target="https://www.rsssf.org/colours/italy.html" TargetMode="External"/><Relationship Id="rId954" Type="http://schemas.openxmlformats.org/officeDocument/2006/relationships/hyperlink" Target="about:blank" TargetMode="External"/><Relationship Id="rId953" Type="http://schemas.openxmlformats.org/officeDocument/2006/relationships/hyperlink" Target="https://it.blastingnews.com/calcio/2026/07/ultimora-serie-c-svelati-i-gironi-ufficiali-2026-27-004083523.html" TargetMode="External"/><Relationship Id="rId952" Type="http://schemas.openxmlformats.org/officeDocument/2006/relationships/hyperlink" Target="about:blank" TargetMode="External"/><Relationship Id="rId951" Type="http://schemas.openxmlformats.org/officeDocument/2006/relationships/hyperlink" Target="https://www.rsssf.org/colours/italy.html" TargetMode="External"/><Relationship Id="rId958" Type="http://schemas.openxmlformats.org/officeDocument/2006/relationships/hyperlink" Target="about:blank" TargetMode="External"/><Relationship Id="rId957" Type="http://schemas.openxmlformats.org/officeDocument/2006/relationships/hyperlink" Target="https://it.blastingnews.com/calcio/2026/07/ultimora-serie-c-svelati-i-gironi-ufficiali-2026-27-004083523.html" TargetMode="External"/><Relationship Id="rId956" Type="http://schemas.openxmlformats.org/officeDocument/2006/relationships/hyperlink" Target="about:blank" TargetMode="External"/><Relationship Id="rId955" Type="http://schemas.openxmlformats.org/officeDocument/2006/relationships/hyperlink" Target="https://it.wikipedia.org/wiki/Football_Club_Crotone" TargetMode="External"/><Relationship Id="rId950" Type="http://schemas.openxmlformats.org/officeDocument/2006/relationships/hyperlink" Target="about:blank" TargetMode="External"/><Relationship Id="rId2870" Type="http://schemas.openxmlformats.org/officeDocument/2006/relationships/hyperlink" Target="about:blank" TargetMode="External"/><Relationship Id="rId1540" Type="http://schemas.openxmlformats.org/officeDocument/2006/relationships/hyperlink" Target="https://en.wikipedia.org/wiki/CSM_Re%C8%99i%C8%9Ba" TargetMode="External"/><Relationship Id="rId2871" Type="http://schemas.openxmlformats.org/officeDocument/2006/relationships/hyperlink" Target="https://de.wikipedia.org/wiki/FC_Twente_Enschede" TargetMode="External"/><Relationship Id="rId1541" Type="http://schemas.openxmlformats.org/officeDocument/2006/relationships/hyperlink" Target="about:blank" TargetMode="External"/><Relationship Id="rId2872" Type="http://schemas.openxmlformats.org/officeDocument/2006/relationships/hyperlink" Target="about:blank" TargetMode="External"/><Relationship Id="rId1542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287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027" Type="http://schemas.openxmlformats.org/officeDocument/2006/relationships/hyperlink" Target="about:blank" TargetMode="External"/><Relationship Id="rId2028" Type="http://schemas.openxmlformats.org/officeDocument/2006/relationships/hyperlink" Target="https://en.wikipedia.org/wiki/2026%E2%80%9327_Gamma_Ethniki" TargetMode="External"/><Relationship Id="rId2029" Type="http://schemas.openxmlformats.org/officeDocument/2006/relationships/hyperlink" Target="about:blank" TargetMode="External"/><Relationship Id="rId590" Type="http://schemas.openxmlformats.org/officeDocument/2006/relationships/hyperlink" Target="about:blank" TargetMode="External"/><Relationship Id="rId107" Type="http://schemas.openxmlformats.org/officeDocument/2006/relationships/hyperlink" Target="https://www.rsssf.org/colours/england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efl.com/news/2026/august/22/sky-bet-championship-results--table---stats/" TargetMode="External"/><Relationship Id="rId589" Type="http://schemas.openxmlformats.org/officeDocument/2006/relationships/hyperlink" Target="https://rfef.es/es/noticias/aprobados-los-grupos-de-primera-federacion-para-la-temporada-202627" TargetMode="External"/><Relationship Id="rId104" Type="http://schemas.openxmlformats.org/officeDocument/2006/relationships/hyperlink" Target="about:blank" TargetMode="External"/><Relationship Id="rId588" Type="http://schemas.openxmlformats.org/officeDocument/2006/relationships/hyperlink" Target="about:blank" TargetMode="External"/><Relationship Id="rId109" Type="http://schemas.openxmlformats.org/officeDocument/2006/relationships/hyperlink" Target="https://www.efl.com/news/2026/august/22/sky-bet-championship-results--table---stats/" TargetMode="External"/><Relationship Id="rId1170" Type="http://schemas.openxmlformats.org/officeDocument/2006/relationships/hyperlink" Target="about:blank" TargetMode="External"/><Relationship Id="rId108" Type="http://schemas.openxmlformats.org/officeDocument/2006/relationships/hyperlink" Target="about:blank" TargetMode="External"/><Relationship Id="rId1171" Type="http://schemas.openxmlformats.org/officeDocument/2006/relationships/hyperlink" Target="https://de.wikipedia.org/wiki/SSV_Jahn_Regensburg" TargetMode="External"/><Relationship Id="rId583" Type="http://schemas.openxmlformats.org/officeDocument/2006/relationships/hyperlink" Target="https://fr.wikipedia.org/wiki/Club_Deportivo_Teruel" TargetMode="External"/><Relationship Id="rId1172" Type="http://schemas.openxmlformats.org/officeDocument/2006/relationships/hyperlink" Target="about:blank" TargetMode="External"/><Relationship Id="rId582" Type="http://schemas.openxmlformats.org/officeDocument/2006/relationships/hyperlink" Target="about:blank" TargetMode="External"/><Relationship Id="rId1173" Type="http://schemas.openxmlformats.org/officeDocument/2006/relationships/hyperlink" Target="https://www.dfb.de/news/teilnehmerfeld-der-3-liga-steht-fest-havelse-rueckt-fuer-1860-nach" TargetMode="External"/><Relationship Id="rId2020" Type="http://schemas.openxmlformats.org/officeDocument/2006/relationships/hyperlink" Target="about:blank" TargetMode="External"/><Relationship Id="rId581" Type="http://schemas.openxmlformats.org/officeDocument/2006/relationships/hyperlink" Target="https://rfef.es/es/noticias/aprobados-los-grupos-de-primera-federacion-para-la-temporada-202627" TargetMode="External"/><Relationship Id="rId1174" Type="http://schemas.openxmlformats.org/officeDocument/2006/relationships/hyperlink" Target="about:blank" TargetMode="External"/><Relationship Id="rId2021" Type="http://schemas.openxmlformats.org/officeDocument/2006/relationships/hyperlink" Target="https://en.wikipedia.org/wiki/2026%E2%80%9327_Gamma_Ethniki" TargetMode="External"/><Relationship Id="rId580" Type="http://schemas.openxmlformats.org/officeDocument/2006/relationships/hyperlink" Target="about:blank" TargetMode="External"/><Relationship Id="rId1175" Type="http://schemas.openxmlformats.org/officeDocument/2006/relationships/hyperlink" Target="https://www.rsssf.org/colours/germany.html" TargetMode="External"/><Relationship Id="rId2022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england.html" TargetMode="External"/><Relationship Id="rId587" Type="http://schemas.openxmlformats.org/officeDocument/2006/relationships/hyperlink" Target="https://fr.wikipedia.org/wiki/Uni%C3%B3n_Deportiva_Ibiza" TargetMode="External"/><Relationship Id="rId1176" Type="http://schemas.openxmlformats.org/officeDocument/2006/relationships/hyperlink" Target="about:blank" TargetMode="External"/><Relationship Id="rId2023" Type="http://schemas.openxmlformats.org/officeDocument/2006/relationships/hyperlink" Target="about:blank" TargetMode="External"/><Relationship Id="rId102" Type="http://schemas.openxmlformats.org/officeDocument/2006/relationships/hyperlink" Target="about:blank" TargetMode="External"/><Relationship Id="rId586" Type="http://schemas.openxmlformats.org/officeDocument/2006/relationships/hyperlink" Target="about:blank" TargetMode="External"/><Relationship Id="rId1177" Type="http://schemas.openxmlformats.org/officeDocument/2006/relationships/hyperlink" Target="https://www.dfb.de/news/teilnehmerfeld-der-3-liga-steht-fest-havelse-rueckt-fuer-1860-nach" TargetMode="External"/><Relationship Id="rId2024" Type="http://schemas.openxmlformats.org/officeDocument/2006/relationships/hyperlink" Target="https://en.wikipedia.org/wiki/2026%E2%80%9327_Gamma_Ethniki" TargetMode="External"/><Relationship Id="rId101" Type="http://schemas.openxmlformats.org/officeDocument/2006/relationships/hyperlink" Target="https://www.efl.com/news/2026/august/22/sky-bet-championship-results--table---stats/" TargetMode="External"/><Relationship Id="rId585" Type="http://schemas.openxmlformats.org/officeDocument/2006/relationships/hyperlink" Target="https://rfef.es/es/noticias/aprobados-los-grupos-de-primera-federacion-para-la-temporada-202627" TargetMode="External"/><Relationship Id="rId1178" Type="http://schemas.openxmlformats.org/officeDocument/2006/relationships/hyperlink" Target="about:blank" TargetMode="External"/><Relationship Id="rId2025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584" Type="http://schemas.openxmlformats.org/officeDocument/2006/relationships/hyperlink" Target="about:blank" TargetMode="External"/><Relationship Id="rId1179" Type="http://schemas.openxmlformats.org/officeDocument/2006/relationships/hyperlink" Target="https://de.wikipedia.org/wiki/Preu%C3%9Fen_M%C3%BCnster" TargetMode="External"/><Relationship Id="rId2026" Type="http://schemas.openxmlformats.org/officeDocument/2006/relationships/hyperlink" Target="https://fr.wikipedia.org/wiki/AO_Kavala" TargetMode="External"/><Relationship Id="rId1169" Type="http://schemas.openxmlformats.org/officeDocument/2006/relationships/hyperlink" Target="https://www.dfb.de/news/teilnehmerfeld-der-3-liga-steht-fest-havelse-rueckt-fuer-1860-nach" TargetMode="External"/><Relationship Id="rId2016" Type="http://schemas.openxmlformats.org/officeDocument/2006/relationships/hyperlink" Target="about:blank" TargetMode="External"/><Relationship Id="rId2017" Type="http://schemas.openxmlformats.org/officeDocument/2006/relationships/hyperlink" Target="https://en.wikipedia.org/wiki/2026%E2%80%9327_Gamma_Ethniki" TargetMode="External"/><Relationship Id="rId2018" Type="http://schemas.openxmlformats.org/officeDocument/2006/relationships/hyperlink" Target="about:blank" TargetMode="External"/><Relationship Id="rId2019" Type="http://schemas.openxmlformats.org/officeDocument/2006/relationships/hyperlink" Target="https://www.rsssf.org/colours/greece.html" TargetMode="External"/><Relationship Id="rId579" Type="http://schemas.openxmlformats.org/officeDocument/2006/relationships/hyperlink" Target="https://www.rsssf.org/colours/spain.html" TargetMode="External"/><Relationship Id="rId578" Type="http://schemas.openxmlformats.org/officeDocument/2006/relationships/hyperlink" Target="about:blank" TargetMode="External"/><Relationship Id="rId577" Type="http://schemas.openxmlformats.org/officeDocument/2006/relationships/hyperlink" Target="https://rfef.es/es/noticias/aprobados-los-grupos-de-primera-federacion-para-la-temporada-202627" TargetMode="External"/><Relationship Id="rId2490" Type="http://schemas.openxmlformats.org/officeDocument/2006/relationships/hyperlink" Target="https://www.palloliitto.fi/ajankohtaista/ykkosen-jatkosarjojen-ohjelma-kaudelle-2026-julkaistu" TargetMode="External"/><Relationship Id="rId1160" Type="http://schemas.openxmlformats.org/officeDocument/2006/relationships/hyperlink" Target="about:blank" TargetMode="External"/><Relationship Id="rId2491" Type="http://schemas.openxmlformats.org/officeDocument/2006/relationships/hyperlink" Target="about:blank" TargetMode="External"/><Relationship Id="rId572" Type="http://schemas.openxmlformats.org/officeDocument/2006/relationships/hyperlink" Target="about:blank" TargetMode="External"/><Relationship Id="rId1161" Type="http://schemas.openxmlformats.org/officeDocument/2006/relationships/hyperlink" Target="https://www.dfb.de/news/teilnehmerfeld-der-3-liga-steht-fest-havelse-rueckt-fuer-1860-nach" TargetMode="External"/><Relationship Id="rId2492" Type="http://schemas.openxmlformats.org/officeDocument/2006/relationships/hyperlink" Target="https://www.the-sports.org/football-soccer-jyvaskylan-jalkapalloklubi-results-identity-equ11260.html" TargetMode="External"/><Relationship Id="rId571" Type="http://schemas.openxmlformats.org/officeDocument/2006/relationships/hyperlink" Target="https://www.rsssf.org/colours/spain.html" TargetMode="External"/><Relationship Id="rId1162" Type="http://schemas.openxmlformats.org/officeDocument/2006/relationships/hyperlink" Target="about:blank" TargetMode="External"/><Relationship Id="rId2493" Type="http://schemas.openxmlformats.org/officeDocument/2006/relationships/hyperlink" Target="about:blank" TargetMode="External"/><Relationship Id="rId570" Type="http://schemas.openxmlformats.org/officeDocument/2006/relationships/hyperlink" Target="about:blank" TargetMode="External"/><Relationship Id="rId1163" Type="http://schemas.openxmlformats.org/officeDocument/2006/relationships/hyperlink" Target="https://www.rsssf.org/colours/germany.html" TargetMode="External"/><Relationship Id="rId2010" Type="http://schemas.openxmlformats.org/officeDocument/2006/relationships/hyperlink" Target="about:blank" TargetMode="External"/><Relationship Id="rId2494" Type="http://schemas.openxmlformats.org/officeDocument/2006/relationships/hyperlink" Target="https://www.palloliitto.fi/ajankohtaista/ykkosen-jatkosarjojen-ohjelma-kaudelle-2026-julkaistu" TargetMode="External"/><Relationship Id="rId1164" Type="http://schemas.openxmlformats.org/officeDocument/2006/relationships/hyperlink" Target="about:blank" TargetMode="External"/><Relationship Id="rId2011" Type="http://schemas.openxmlformats.org/officeDocument/2006/relationships/hyperlink" Target="https://en.wikipedia.org/wiki/2026%E2%80%9327_Gamma_Ethniki" TargetMode="External"/><Relationship Id="rId2495" Type="http://schemas.openxmlformats.org/officeDocument/2006/relationships/hyperlink" Target="about:blank" TargetMode="External"/><Relationship Id="rId576" Type="http://schemas.openxmlformats.org/officeDocument/2006/relationships/hyperlink" Target="about:blank" TargetMode="External"/><Relationship Id="rId1165" Type="http://schemas.openxmlformats.org/officeDocument/2006/relationships/hyperlink" Target="https://www.dfb.de/news/teilnehmerfeld-der-3-liga-steht-fest-havelse-rueckt-fuer-1860-nach" TargetMode="External"/><Relationship Id="rId2012" Type="http://schemas.openxmlformats.org/officeDocument/2006/relationships/hyperlink" Target="about:blank" TargetMode="External"/><Relationship Id="rId2496" Type="http://schemas.openxmlformats.org/officeDocument/2006/relationships/hyperlink" Target="https://fr.wikipedia.org/wiki/Kokkolan_Palloveikot" TargetMode="External"/><Relationship Id="rId575" Type="http://schemas.openxmlformats.org/officeDocument/2006/relationships/hyperlink" Target="https://www.rsssf.org/colours/spain.html" TargetMode="External"/><Relationship Id="rId1166" Type="http://schemas.openxmlformats.org/officeDocument/2006/relationships/hyperlink" Target="about:blank" TargetMode="External"/><Relationship Id="rId2013" Type="http://schemas.openxmlformats.org/officeDocument/2006/relationships/hyperlink" Target="about:blank" TargetMode="External"/><Relationship Id="rId2497" Type="http://schemas.openxmlformats.org/officeDocument/2006/relationships/hyperlink" Target="about:blank" TargetMode="External"/><Relationship Id="rId574" Type="http://schemas.openxmlformats.org/officeDocument/2006/relationships/hyperlink" Target="about:blank" TargetMode="External"/><Relationship Id="rId1167" Type="http://schemas.openxmlformats.org/officeDocument/2006/relationships/hyperlink" Target="https://de.wikipedia.org/wiki/Hansa_Rostock" TargetMode="External"/><Relationship Id="rId2014" Type="http://schemas.openxmlformats.org/officeDocument/2006/relationships/hyperlink" Target="https://en.wikipedia.org/wiki/2026%E2%80%9327_Gamma_Ethniki" TargetMode="External"/><Relationship Id="rId2498" Type="http://schemas.openxmlformats.org/officeDocument/2006/relationships/hyperlink" Target="https://www.palloliitto.fi/ajankohtaista/ykkosen-jatkosarjojen-ohjelma-kaudelle-2026-julkaistu" TargetMode="External"/><Relationship Id="rId573" Type="http://schemas.openxmlformats.org/officeDocument/2006/relationships/hyperlink" Target="https://rfef.es/es/noticias/aprobados-los-grupos-de-primera-federacion-para-la-temporada-202627" TargetMode="External"/><Relationship Id="rId1168" Type="http://schemas.openxmlformats.org/officeDocument/2006/relationships/hyperlink" Target="about:blank" TargetMode="External"/><Relationship Id="rId2015" Type="http://schemas.openxmlformats.org/officeDocument/2006/relationships/hyperlink" Target="about:blank" TargetMode="External"/><Relationship Id="rId2499" Type="http://schemas.openxmlformats.org/officeDocument/2006/relationships/hyperlink" Target="about:blank" TargetMode="External"/><Relationship Id="rId2049" Type="http://schemas.openxmlformats.org/officeDocument/2006/relationships/hyperlink" Target="about:blank" TargetMode="External"/><Relationship Id="rId129" Type="http://schemas.openxmlformats.org/officeDocument/2006/relationships/hyperlink" Target="https://www.efl.com/news/2026/august/22/sky-bet-championship-results--table---stats/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www.rsssf.org/colours/england.html" TargetMode="External"/><Relationship Id="rId126" Type="http://schemas.openxmlformats.org/officeDocument/2006/relationships/hyperlink" Target="about:blank" TargetMode="External"/><Relationship Id="rId1190" Type="http://schemas.openxmlformats.org/officeDocument/2006/relationships/hyperlink" Target="about:blank" TargetMode="External"/><Relationship Id="rId1191" Type="http://schemas.openxmlformats.org/officeDocument/2006/relationships/hyperlink" Target="https://de.wikipedia.org/wiki/SG_Sonnenhof_Gro%C3%9Faspach" TargetMode="External"/><Relationship Id="rId1192" Type="http://schemas.openxmlformats.org/officeDocument/2006/relationships/hyperlink" Target="about:blank" TargetMode="External"/><Relationship Id="rId1193" Type="http://schemas.openxmlformats.org/officeDocument/2006/relationships/hyperlink" Target="https://www.dfb.de/news/teilnehmerfeld-der-3-liga-steht-fest-havelse-rueckt-fuer-1860-nach" TargetMode="External"/><Relationship Id="rId2040" Type="http://schemas.openxmlformats.org/officeDocument/2006/relationships/hyperlink" Target="about:blank" TargetMode="External"/><Relationship Id="rId121" Type="http://schemas.openxmlformats.org/officeDocument/2006/relationships/hyperlink" Target="https://www.efl.com/news/2026/august/22/sky-bet-championship-results--table---stats/" TargetMode="External"/><Relationship Id="rId1194" Type="http://schemas.openxmlformats.org/officeDocument/2006/relationships/hyperlink" Target="about:blank" TargetMode="External"/><Relationship Id="rId2041" Type="http://schemas.openxmlformats.org/officeDocument/2006/relationships/hyperlink" Target="https://fr.wikipedia.org/wiki/AO_Xanthi" TargetMode="External"/><Relationship Id="rId120" Type="http://schemas.openxmlformats.org/officeDocument/2006/relationships/hyperlink" Target="about:blank" TargetMode="External"/><Relationship Id="rId1195" Type="http://schemas.openxmlformats.org/officeDocument/2006/relationships/hyperlink" Target="https://www.rsssf.org/colours/germany.html" TargetMode="External"/><Relationship Id="rId2042" Type="http://schemas.openxmlformats.org/officeDocument/2006/relationships/hyperlink" Target="about:blank" TargetMode="External"/><Relationship Id="rId1196" Type="http://schemas.openxmlformats.org/officeDocument/2006/relationships/hyperlink" Target="about:blank" TargetMode="External"/><Relationship Id="rId2043" Type="http://schemas.openxmlformats.org/officeDocument/2006/relationships/hyperlink" Target="https://en.wikipedia.org/wiki/2026%E2%80%9327_Gamma_Ethniki" TargetMode="External"/><Relationship Id="rId1197" Type="http://schemas.openxmlformats.org/officeDocument/2006/relationships/hyperlink" Target="https://www.dfb.de/news/teilnehmerfeld-der-3-liga-steht-fest-havelse-rueckt-fuer-1860-nach" TargetMode="External"/><Relationship Id="rId2044" Type="http://schemas.openxmlformats.org/officeDocument/2006/relationships/hyperlink" Target="about:blank" TargetMode="External"/><Relationship Id="rId125" Type="http://schemas.openxmlformats.org/officeDocument/2006/relationships/hyperlink" Target="https://www.efl.com/news/2026/august/22/sky-bet-championship-results--table---stats/" TargetMode="External"/><Relationship Id="rId1198" Type="http://schemas.openxmlformats.org/officeDocument/2006/relationships/hyperlink" Target="about:blank" TargetMode="External"/><Relationship Id="rId2045" Type="http://schemas.openxmlformats.org/officeDocument/2006/relationships/hyperlink" Target="https://www.rsssf.org/colours/greece.html" TargetMode="External"/><Relationship Id="rId124" Type="http://schemas.openxmlformats.org/officeDocument/2006/relationships/hyperlink" Target="about:blank" TargetMode="External"/><Relationship Id="rId1199" Type="http://schemas.openxmlformats.org/officeDocument/2006/relationships/hyperlink" Target="https://de.wikipedia.org/wiki/SV_Wehen_Wiesbaden" TargetMode="External"/><Relationship Id="rId2046" Type="http://schemas.openxmlformats.org/officeDocument/2006/relationships/hyperlink" Target="about:blank" TargetMode="External"/><Relationship Id="rId123" Type="http://schemas.openxmlformats.org/officeDocument/2006/relationships/hyperlink" Target="https://www.rsssf.org/colours/england.html" TargetMode="External"/><Relationship Id="rId2047" Type="http://schemas.openxmlformats.org/officeDocument/2006/relationships/hyperlink" Target="https://en.wikipedia.org/wiki/2026%E2%80%9327_Gamma_Ethniki" TargetMode="External"/><Relationship Id="rId122" Type="http://schemas.openxmlformats.org/officeDocument/2006/relationships/hyperlink" Target="about:blank" TargetMode="External"/><Relationship Id="rId2048" Type="http://schemas.openxmlformats.org/officeDocument/2006/relationships/hyperlink" Target="about:blank" TargetMode="External"/><Relationship Id="rId2038" Type="http://schemas.openxmlformats.org/officeDocument/2006/relationships/hyperlink" Target="about:blank" TargetMode="External"/><Relationship Id="rId2039" Type="http://schemas.openxmlformats.org/officeDocument/2006/relationships/hyperlink" Target="https://en.wikipedia.org/wiki/2026%E2%80%9327_Gamma_Ethniki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efl.com/news/2026/august/22/sky-bet-championship-results--table---stats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england.html" TargetMode="External"/><Relationship Id="rId599" Type="http://schemas.openxmlformats.org/officeDocument/2006/relationships/hyperlink" Target="https://es.wikipedia.org/wiki/%C3%81guilas_F%C3%BAtbol_Club" TargetMode="External"/><Relationship Id="rId1180" Type="http://schemas.openxmlformats.org/officeDocument/2006/relationships/hyperlink" Target="about:blank" TargetMode="External"/><Relationship Id="rId1181" Type="http://schemas.openxmlformats.org/officeDocument/2006/relationships/hyperlink" Target="https://www.dfb.de/news/teilnehmerfeld-der-3-liga-steht-fest-havelse-rueckt-fuer-1860-nach" TargetMode="External"/><Relationship Id="rId119" Type="http://schemas.openxmlformats.org/officeDocument/2006/relationships/hyperlink" Target="https://www.rsssf.org/colours/england.html" TargetMode="External"/><Relationship Id="rId1182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594" Type="http://schemas.openxmlformats.org/officeDocument/2006/relationships/hyperlink" Target="about:blank" TargetMode="External"/><Relationship Id="rId1183" Type="http://schemas.openxmlformats.org/officeDocument/2006/relationships/hyperlink" Target="https://www.rsssf.org/colours/germany.html" TargetMode="External"/><Relationship Id="rId2030" Type="http://schemas.openxmlformats.org/officeDocument/2006/relationships/hyperlink" Target="about:blank" TargetMode="External"/><Relationship Id="rId593" Type="http://schemas.openxmlformats.org/officeDocument/2006/relationships/hyperlink" Target="https://rfef.es/es/noticias/aprobados-los-grupos-de-primera-federacion-para-la-temporada-202627" TargetMode="External"/><Relationship Id="rId1184" Type="http://schemas.openxmlformats.org/officeDocument/2006/relationships/hyperlink" Target="about:blank" TargetMode="External"/><Relationship Id="rId2031" Type="http://schemas.openxmlformats.org/officeDocument/2006/relationships/hyperlink" Target="https://en.wikipedia.org/wiki/2026%E2%80%9327_Gamma_Ethniki" TargetMode="External"/><Relationship Id="rId592" Type="http://schemas.openxmlformats.org/officeDocument/2006/relationships/hyperlink" Target="about:blank" TargetMode="External"/><Relationship Id="rId1185" Type="http://schemas.openxmlformats.org/officeDocument/2006/relationships/hyperlink" Target="https://www.dfb.de/news/teilnehmerfeld-der-3-liga-steht-fest-havelse-rueckt-fuer-1860-nach" TargetMode="External"/><Relationship Id="rId2032" Type="http://schemas.openxmlformats.org/officeDocument/2006/relationships/hyperlink" Target="about:blank" TargetMode="External"/><Relationship Id="rId591" Type="http://schemas.openxmlformats.org/officeDocument/2006/relationships/hyperlink" Target="https://www.rsssf.org/colours/spain.html" TargetMode="External"/><Relationship Id="rId1186" Type="http://schemas.openxmlformats.org/officeDocument/2006/relationships/hyperlink" Target="about:blank" TargetMode="External"/><Relationship Id="rId2033" Type="http://schemas.openxmlformats.org/officeDocument/2006/relationships/hyperlink" Target="https://www.rsssf.org/colours/greece.html" TargetMode="External"/><Relationship Id="rId114" Type="http://schemas.openxmlformats.org/officeDocument/2006/relationships/hyperlink" Target="about:blank" TargetMode="External"/><Relationship Id="rId598" Type="http://schemas.openxmlformats.org/officeDocument/2006/relationships/hyperlink" Target="about:blank" TargetMode="External"/><Relationship Id="rId1187" Type="http://schemas.openxmlformats.org/officeDocument/2006/relationships/hyperlink" Target="https://www.rsssf.org/colours/germany.html" TargetMode="External"/><Relationship Id="rId2034" Type="http://schemas.openxmlformats.org/officeDocument/2006/relationships/hyperlink" Target="about:blank" TargetMode="External"/><Relationship Id="rId113" Type="http://schemas.openxmlformats.org/officeDocument/2006/relationships/hyperlink" Target="https://www.efl.com/news/2026/august/22/sky-bet-championship-results--table---stats/" TargetMode="External"/><Relationship Id="rId597" Type="http://schemas.openxmlformats.org/officeDocument/2006/relationships/hyperlink" Target="https://rfef.es/es/noticias/aprobados-los-grupos-de-primera-federacion-para-la-temporada-202627" TargetMode="External"/><Relationship Id="rId1188" Type="http://schemas.openxmlformats.org/officeDocument/2006/relationships/hyperlink" Target="about:blank" TargetMode="External"/><Relationship Id="rId2035" Type="http://schemas.openxmlformats.org/officeDocument/2006/relationships/hyperlink" Target="https://en.wikipedia.org/wiki/2026%E2%80%9327_Gamma_Ethniki" TargetMode="External"/><Relationship Id="rId112" Type="http://schemas.openxmlformats.org/officeDocument/2006/relationships/hyperlink" Target="about:blank" TargetMode="External"/><Relationship Id="rId596" Type="http://schemas.openxmlformats.org/officeDocument/2006/relationships/hyperlink" Target="about:blank" TargetMode="External"/><Relationship Id="rId1189" Type="http://schemas.openxmlformats.org/officeDocument/2006/relationships/hyperlink" Target="https://www.dfb.de/news/teilnehmerfeld-der-3-liga-steht-fest-havelse-rueckt-fuer-1860-nach" TargetMode="External"/><Relationship Id="rId2036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england.html" TargetMode="External"/><Relationship Id="rId595" Type="http://schemas.openxmlformats.org/officeDocument/2006/relationships/hyperlink" Target="https://www.rsssf.org/colours/spain.html" TargetMode="External"/><Relationship Id="rId2037" Type="http://schemas.openxmlformats.org/officeDocument/2006/relationships/hyperlink" Target="https://www.rsssf.org/colours/greece.html" TargetMode="External"/><Relationship Id="rId1136" Type="http://schemas.openxmlformats.org/officeDocument/2006/relationships/hyperlink" Target="about:blank" TargetMode="External"/><Relationship Id="rId2467" Type="http://schemas.openxmlformats.org/officeDocument/2006/relationships/hyperlink" Target="about:blank" TargetMode="External"/><Relationship Id="rId1137" Type="http://schemas.openxmlformats.org/officeDocument/2006/relationships/hyperlink" Target="https://www.bundesliga.com/de/2bundesliga/tabelle?view=full" TargetMode="External"/><Relationship Id="rId2468" Type="http://schemas.openxmlformats.org/officeDocument/2006/relationships/hyperlink" Target="https://www.the-sports.org/football-soccer-kapylan-pallo-results-identity-equ22792.html" TargetMode="External"/><Relationship Id="rId1138" Type="http://schemas.openxmlformats.org/officeDocument/2006/relationships/hyperlink" Target="about:blank" TargetMode="External"/><Relationship Id="rId2469" Type="http://schemas.openxmlformats.org/officeDocument/2006/relationships/hyperlink" Target="about:blank" TargetMode="External"/><Relationship Id="rId1139" Type="http://schemas.openxmlformats.org/officeDocument/2006/relationships/hyperlink" Target="https://www.rsssf.org/colours/germany.html" TargetMode="External"/><Relationship Id="rId547" Type="http://schemas.openxmlformats.org/officeDocument/2006/relationships/hyperlink" Target="about:blank" TargetMode="External"/><Relationship Id="rId546" Type="http://schemas.openxmlformats.org/officeDocument/2006/relationships/hyperlink" Target="https://rfef.es/es/noticias/aprobados-los-grupos-de-primera-federacion-para-la-temporada-202627" TargetMode="External"/><Relationship Id="rId545" Type="http://schemas.openxmlformats.org/officeDocument/2006/relationships/hyperlink" Target="about:blank" TargetMode="External"/><Relationship Id="rId544" Type="http://schemas.openxmlformats.org/officeDocument/2006/relationships/hyperlink" Target="https://fr.wikipedia.org/wiki/Club_Esportiu_Europa" TargetMode="External"/><Relationship Id="rId549" Type="http://schemas.openxmlformats.org/officeDocument/2006/relationships/hyperlink" Target="about:blank" TargetMode="External"/><Relationship Id="rId548" Type="http://schemas.openxmlformats.org/officeDocument/2006/relationships/hyperlink" Target="https://www.rsssf.org/colours/spain.html" TargetMode="External"/><Relationship Id="rId2460" Type="http://schemas.openxmlformats.org/officeDocument/2006/relationships/hyperlink" Target="https://fi.wikipedia.org/wiki/J%C3%A4rvenp%C3%A4%C3%A4n_Palloseura" TargetMode="External"/><Relationship Id="rId1130" Type="http://schemas.openxmlformats.org/officeDocument/2006/relationships/hyperlink" Target="about:blank" TargetMode="External"/><Relationship Id="rId2461" Type="http://schemas.openxmlformats.org/officeDocument/2006/relationships/hyperlink" Target="about:blank" TargetMode="External"/><Relationship Id="rId1131" Type="http://schemas.openxmlformats.org/officeDocument/2006/relationships/hyperlink" Target="https://www.rsssf.org/colours/germany.html" TargetMode="External"/><Relationship Id="rId2462" Type="http://schemas.openxmlformats.org/officeDocument/2006/relationships/hyperlink" Target="https://www.transfermarkt.co.uk/ykkonen/startseite/wettbewerb/FI2" TargetMode="External"/><Relationship Id="rId543" Type="http://schemas.openxmlformats.org/officeDocument/2006/relationships/hyperlink" Target="about:blank" TargetMode="External"/><Relationship Id="rId1132" Type="http://schemas.openxmlformats.org/officeDocument/2006/relationships/hyperlink" Target="about:blank" TargetMode="External"/><Relationship Id="rId2463" Type="http://schemas.openxmlformats.org/officeDocument/2006/relationships/hyperlink" Target="about:blank" TargetMode="External"/><Relationship Id="rId542" Type="http://schemas.openxmlformats.org/officeDocument/2006/relationships/hyperlink" Target="https://rfef.es/es/noticias/aprobados-los-grupos-de-primera-federacion-para-la-temporada-202627" TargetMode="External"/><Relationship Id="rId1133" Type="http://schemas.openxmlformats.org/officeDocument/2006/relationships/hyperlink" Target="https://www.bundesliga.com/de/2bundesliga/tabelle?view=full" TargetMode="External"/><Relationship Id="rId2464" Type="http://schemas.openxmlformats.org/officeDocument/2006/relationships/hyperlink" Target="https://www.the-sports.org/football-soccer-ktp-kotka-results-identity-equ10274.html" TargetMode="External"/><Relationship Id="rId541" Type="http://schemas.openxmlformats.org/officeDocument/2006/relationships/hyperlink" Target="about:blank" TargetMode="External"/><Relationship Id="rId1134" Type="http://schemas.openxmlformats.org/officeDocument/2006/relationships/hyperlink" Target="about:blank" TargetMode="External"/><Relationship Id="rId2465" Type="http://schemas.openxmlformats.org/officeDocument/2006/relationships/hyperlink" Target="about:blank" TargetMode="External"/><Relationship Id="rId540" Type="http://schemas.openxmlformats.org/officeDocument/2006/relationships/hyperlink" Target="https://www.rsssf.org/colours/spain.html" TargetMode="External"/><Relationship Id="rId1135" Type="http://schemas.openxmlformats.org/officeDocument/2006/relationships/hyperlink" Target="https://www.rsssf.org/colours/germany.html" TargetMode="External"/><Relationship Id="rId2466" Type="http://schemas.openxmlformats.org/officeDocument/2006/relationships/hyperlink" Target="https://www.transfermarkt.co.uk/ykkonen/startseite/wettbewerb/FI2" TargetMode="External"/><Relationship Id="rId1125" Type="http://schemas.openxmlformats.org/officeDocument/2006/relationships/hyperlink" Target="https://www.bundesliga.com/de/2bundesliga/tabelle?view=full" TargetMode="External"/><Relationship Id="rId2456" Type="http://schemas.openxmlformats.org/officeDocument/2006/relationships/hyperlink" Target="https://fi.wikipedia.org/wiki/JIPPO" TargetMode="External"/><Relationship Id="rId1126" Type="http://schemas.openxmlformats.org/officeDocument/2006/relationships/hyperlink" Target="about:blank" TargetMode="External"/><Relationship Id="rId2457" Type="http://schemas.openxmlformats.org/officeDocument/2006/relationships/hyperlink" Target="about:blank" TargetMode="External"/><Relationship Id="rId1127" Type="http://schemas.openxmlformats.org/officeDocument/2006/relationships/hyperlink" Target="https://www.rsssf.org/colours/germany.html" TargetMode="External"/><Relationship Id="rId2458" Type="http://schemas.openxmlformats.org/officeDocument/2006/relationships/hyperlink" Target="https://www.transfermarkt.co.uk/ykkonen/startseite/wettbewerb/FI2" TargetMode="External"/><Relationship Id="rId1128" Type="http://schemas.openxmlformats.org/officeDocument/2006/relationships/hyperlink" Target="about:blank" TargetMode="External"/><Relationship Id="rId2459" Type="http://schemas.openxmlformats.org/officeDocument/2006/relationships/hyperlink" Target="about:blank" TargetMode="External"/><Relationship Id="rId1129" Type="http://schemas.openxmlformats.org/officeDocument/2006/relationships/hyperlink" Target="https://www.bundesliga.com/de/2bundesliga/tabelle?view=full" TargetMode="External"/><Relationship Id="rId536" Type="http://schemas.openxmlformats.org/officeDocument/2006/relationships/hyperlink" Target="https://www.rsssf.org/colours/spain.html" TargetMode="External"/><Relationship Id="rId535" Type="http://schemas.openxmlformats.org/officeDocument/2006/relationships/hyperlink" Target="about:blank" TargetMode="External"/><Relationship Id="rId534" Type="http://schemas.openxmlformats.org/officeDocument/2006/relationships/hyperlink" Target="https://rfef.es/es/noticias/aprobados-los-grupos-de-primera-federacion-para-la-temporada-202627" TargetMode="External"/><Relationship Id="rId533" Type="http://schemas.openxmlformats.org/officeDocument/2006/relationships/hyperlink" Target="about:blank" TargetMode="External"/><Relationship Id="rId539" Type="http://schemas.openxmlformats.org/officeDocument/2006/relationships/hyperlink" Target="about:blank" TargetMode="External"/><Relationship Id="rId538" Type="http://schemas.openxmlformats.org/officeDocument/2006/relationships/hyperlink" Target="https://rfef.es/es/noticias/aprobados-los-grupos-de-primera-federacion-para-la-temporada-202627" TargetMode="External"/><Relationship Id="rId537" Type="http://schemas.openxmlformats.org/officeDocument/2006/relationships/hyperlink" Target="about:blank" TargetMode="External"/><Relationship Id="rId2450" Type="http://schemas.openxmlformats.org/officeDocument/2006/relationships/hyperlink" Target="https://www.transfermarkt.co.uk/ykkonen/startseite/wettbewerb/FI2" TargetMode="External"/><Relationship Id="rId1120" Type="http://schemas.openxmlformats.org/officeDocument/2006/relationships/hyperlink" Target="about:blank" TargetMode="External"/><Relationship Id="rId2451" Type="http://schemas.openxmlformats.org/officeDocument/2006/relationships/hyperlink" Target="about:blank" TargetMode="External"/><Relationship Id="rId532" Type="http://schemas.openxmlformats.org/officeDocument/2006/relationships/hyperlink" Target="https://www.rsssf.org/colours/spain.html" TargetMode="External"/><Relationship Id="rId1121" Type="http://schemas.openxmlformats.org/officeDocument/2006/relationships/hyperlink" Target="https://www.bundesliga.com/de/2bundesliga/tabelle?view=full" TargetMode="External"/><Relationship Id="rId2452" Type="http://schemas.openxmlformats.org/officeDocument/2006/relationships/hyperlink" Target="https://fi.wikipedia.org/wiki/Helsingin_Jalkapalloklubi" TargetMode="External"/><Relationship Id="rId531" Type="http://schemas.openxmlformats.org/officeDocument/2006/relationships/hyperlink" Target="about:blank" TargetMode="External"/><Relationship Id="rId1122" Type="http://schemas.openxmlformats.org/officeDocument/2006/relationships/hyperlink" Target="about:blank" TargetMode="External"/><Relationship Id="rId2453" Type="http://schemas.openxmlformats.org/officeDocument/2006/relationships/hyperlink" Target="about:blank" TargetMode="External"/><Relationship Id="rId530" Type="http://schemas.openxmlformats.org/officeDocument/2006/relationships/hyperlink" Target="https://rfef.es/es/noticias/aprobados-los-grupos-de-primera-federacion-para-la-temporada-202627" TargetMode="External"/><Relationship Id="rId1123" Type="http://schemas.openxmlformats.org/officeDocument/2006/relationships/hyperlink" Target="https://www.rsssf.org/colours/germany.html" TargetMode="External"/><Relationship Id="rId2454" Type="http://schemas.openxmlformats.org/officeDocument/2006/relationships/hyperlink" Target="https://www.transfermarkt.co.uk/ykkonen/startseite/wettbewerb/FI2" TargetMode="External"/><Relationship Id="rId1124" Type="http://schemas.openxmlformats.org/officeDocument/2006/relationships/hyperlink" Target="about:blank" TargetMode="External"/><Relationship Id="rId2455" Type="http://schemas.openxmlformats.org/officeDocument/2006/relationships/hyperlink" Target="about:blank" TargetMode="External"/><Relationship Id="rId1158" Type="http://schemas.openxmlformats.org/officeDocument/2006/relationships/hyperlink" Target="about:blank" TargetMode="External"/><Relationship Id="rId2005" Type="http://schemas.openxmlformats.org/officeDocument/2006/relationships/hyperlink" Target="about:blank" TargetMode="External"/><Relationship Id="rId2489" Type="http://schemas.openxmlformats.org/officeDocument/2006/relationships/hyperlink" Target="about:blank" TargetMode="External"/><Relationship Id="rId1159" Type="http://schemas.openxmlformats.org/officeDocument/2006/relationships/hyperlink" Target="https://www.rsssf.org/colours/germany.html" TargetMode="External"/><Relationship Id="rId2006" Type="http://schemas.openxmlformats.org/officeDocument/2006/relationships/hyperlink" Target="https://www.rsssf.org/colours/greece.html" TargetMode="External"/><Relationship Id="rId2007" Type="http://schemas.openxmlformats.org/officeDocument/2006/relationships/hyperlink" Target="about:blank" TargetMode="External"/><Relationship Id="rId2008" Type="http://schemas.openxmlformats.org/officeDocument/2006/relationships/hyperlink" Target="https://en.wikipedia.org/wiki/2026%E2%80%9327_Gamma_Ethniki" TargetMode="External"/><Relationship Id="rId2009" Type="http://schemas.openxmlformats.org/officeDocument/2006/relationships/hyperlink" Target="about:blank" TargetMode="External"/><Relationship Id="rId569" Type="http://schemas.openxmlformats.org/officeDocument/2006/relationships/hyperlink" Target="https://rfef.es/es/noticias/aprobados-los-grupos-de-primera-federacion-para-la-temporada-202627" TargetMode="External"/><Relationship Id="rId568" Type="http://schemas.openxmlformats.org/officeDocument/2006/relationships/hyperlink" Target="about:blank" TargetMode="External"/><Relationship Id="rId567" Type="http://schemas.openxmlformats.org/officeDocument/2006/relationships/hyperlink" Target="https://fr.wikipedia.org/wiki/Real_Ja%C3%A9n_Club_de_F%C3%BAtbol" TargetMode="External"/><Relationship Id="rId566" Type="http://schemas.openxmlformats.org/officeDocument/2006/relationships/hyperlink" Target="about:blank" TargetMode="External"/><Relationship Id="rId2480" Type="http://schemas.openxmlformats.org/officeDocument/2006/relationships/hyperlink" Target="https://fi.wikipedia.org/wiki/Sein%C3%A4joen_Jalkapallokerho" TargetMode="External"/><Relationship Id="rId561" Type="http://schemas.openxmlformats.org/officeDocument/2006/relationships/hyperlink" Target="https://rfef.es/es/noticias/aprobados-los-grupos-de-primera-federacion-para-la-temporada-202627" TargetMode="External"/><Relationship Id="rId1150" Type="http://schemas.openxmlformats.org/officeDocument/2006/relationships/hyperlink" Target="about:blank" TargetMode="External"/><Relationship Id="rId2481" Type="http://schemas.openxmlformats.org/officeDocument/2006/relationships/hyperlink" Target="about:blank" TargetMode="External"/><Relationship Id="rId560" Type="http://schemas.openxmlformats.org/officeDocument/2006/relationships/hyperlink" Target="about:blank" TargetMode="External"/><Relationship Id="rId1151" Type="http://schemas.openxmlformats.org/officeDocument/2006/relationships/hyperlink" Target="https://www.rsssf.org/colours/germany.html" TargetMode="External"/><Relationship Id="rId2482" Type="http://schemas.openxmlformats.org/officeDocument/2006/relationships/hyperlink" Target="https://www.palloliitto.fi/ajankohtaista/ykkosen-jatkosarjojen-ohjelma-kaudelle-2026-julkaistu" TargetMode="External"/><Relationship Id="rId1152" Type="http://schemas.openxmlformats.org/officeDocument/2006/relationships/hyperlink" Target="about:blank" TargetMode="External"/><Relationship Id="rId2483" Type="http://schemas.openxmlformats.org/officeDocument/2006/relationships/hyperlink" Target="about:blank" TargetMode="External"/><Relationship Id="rId1153" Type="http://schemas.openxmlformats.org/officeDocument/2006/relationships/hyperlink" Target="https://www.dfb.de/news/teilnehmerfeld-der-3-liga-steht-fest-havelse-rueckt-fuer-1860-nach" TargetMode="External"/><Relationship Id="rId2000" Type="http://schemas.openxmlformats.org/officeDocument/2006/relationships/hyperlink" Target="about:blank" TargetMode="External"/><Relationship Id="rId2484" Type="http://schemas.openxmlformats.org/officeDocument/2006/relationships/hyperlink" Target="https://fi.wikipedia.org/wiki/FC_Inter_Turku" TargetMode="External"/><Relationship Id="rId565" Type="http://schemas.openxmlformats.org/officeDocument/2006/relationships/hyperlink" Target="https://rfef.es/es/noticias/aprobados-los-grupos-de-primera-federacion-para-la-temporada-202627" TargetMode="External"/><Relationship Id="rId1154" Type="http://schemas.openxmlformats.org/officeDocument/2006/relationships/hyperlink" Target="about:blank" TargetMode="External"/><Relationship Id="rId2001" Type="http://schemas.openxmlformats.org/officeDocument/2006/relationships/hyperlink" Target="https://en.wikipedia.org/wiki/2026%E2%80%9327_Super_League_Greece_2" TargetMode="External"/><Relationship Id="rId2485" Type="http://schemas.openxmlformats.org/officeDocument/2006/relationships/hyperlink" Target="about:blank" TargetMode="External"/><Relationship Id="rId564" Type="http://schemas.openxmlformats.org/officeDocument/2006/relationships/hyperlink" Target="about:blank" TargetMode="External"/><Relationship Id="rId1155" Type="http://schemas.openxmlformats.org/officeDocument/2006/relationships/hyperlink" Target="https://de.wikipedia.org/wiki/FC_Ingolstadt_04" TargetMode="External"/><Relationship Id="rId2002" Type="http://schemas.openxmlformats.org/officeDocument/2006/relationships/hyperlink" Target="about:blank" TargetMode="External"/><Relationship Id="rId2486" Type="http://schemas.openxmlformats.org/officeDocument/2006/relationships/hyperlink" Target="https://www.palloliitto.fi/ajankohtaista/ykkosen-jatkosarjojen-ohjelma-kaudelle-2026-julkaistu" TargetMode="External"/><Relationship Id="rId563" Type="http://schemas.openxmlformats.org/officeDocument/2006/relationships/hyperlink" Target="https://www.rsssf.org/colours/spain.html" TargetMode="External"/><Relationship Id="rId1156" Type="http://schemas.openxmlformats.org/officeDocument/2006/relationships/hyperlink" Target="about:blank" TargetMode="External"/><Relationship Id="rId2003" Type="http://schemas.openxmlformats.org/officeDocument/2006/relationships/hyperlink" Target="about:blank" TargetMode="External"/><Relationship Id="rId2487" Type="http://schemas.openxmlformats.org/officeDocument/2006/relationships/hyperlink" Target="about:blank" TargetMode="External"/><Relationship Id="rId562" Type="http://schemas.openxmlformats.org/officeDocument/2006/relationships/hyperlink" Target="about:blank" TargetMode="External"/><Relationship Id="rId1157" Type="http://schemas.openxmlformats.org/officeDocument/2006/relationships/hyperlink" Target="https://www.dfb.de/news/teilnehmerfeld-der-3-liga-steht-fest-havelse-rueckt-fuer-1860-nach" TargetMode="External"/><Relationship Id="rId2004" Type="http://schemas.openxmlformats.org/officeDocument/2006/relationships/hyperlink" Target="https://en.wikipedia.org/wiki/2026%E2%80%9327_Super_League_Greece_2" TargetMode="External"/><Relationship Id="rId2488" Type="http://schemas.openxmlformats.org/officeDocument/2006/relationships/hyperlink" Target="https://de.wikipedia.org/wiki/FC_Jazz_Pori" TargetMode="External"/><Relationship Id="rId1147" Type="http://schemas.openxmlformats.org/officeDocument/2006/relationships/hyperlink" Target="https://www.rsssf.org/colours/germany.html" TargetMode="External"/><Relationship Id="rId2478" Type="http://schemas.openxmlformats.org/officeDocument/2006/relationships/hyperlink" Target="https://www.transfermarkt.co.uk/ykkonen/startseite/wettbewerb/FI2" TargetMode="External"/><Relationship Id="rId1148" Type="http://schemas.openxmlformats.org/officeDocument/2006/relationships/hyperlink" Target="about:blank" TargetMode="External"/><Relationship Id="rId2479" Type="http://schemas.openxmlformats.org/officeDocument/2006/relationships/hyperlink" Target="about:blank" TargetMode="External"/><Relationship Id="rId1149" Type="http://schemas.openxmlformats.org/officeDocument/2006/relationships/hyperlink" Target="https://www.dfb.de/news/teilnehmerfeld-der-3-liga-steht-fest-havelse-rueckt-fuer-1860-nach" TargetMode="External"/><Relationship Id="rId558" Type="http://schemas.openxmlformats.org/officeDocument/2006/relationships/hyperlink" Target="https://rfef.es/es/noticias/aprobados-los-grupos-de-primera-federacion-para-la-temporada-202627" TargetMode="External"/><Relationship Id="rId557" Type="http://schemas.openxmlformats.org/officeDocument/2006/relationships/hyperlink" Target="about:blank" TargetMode="External"/><Relationship Id="rId556" Type="http://schemas.openxmlformats.org/officeDocument/2006/relationships/hyperlink" Target="https://www.rsssf.org/colours/spain.html" TargetMode="External"/><Relationship Id="rId555" Type="http://schemas.openxmlformats.org/officeDocument/2006/relationships/hyperlink" Target="about:blank" TargetMode="External"/><Relationship Id="rId559" Type="http://schemas.openxmlformats.org/officeDocument/2006/relationships/hyperlink" Target="about:blank" TargetMode="External"/><Relationship Id="rId550" Type="http://schemas.openxmlformats.org/officeDocument/2006/relationships/hyperlink" Target="https://rfef.es/es/noticias/aprobados-los-grupos-de-primera-federacion-para-la-temporada-202627" TargetMode="External"/><Relationship Id="rId2470" Type="http://schemas.openxmlformats.org/officeDocument/2006/relationships/hyperlink" Target="https://www.transfermarkt.co.uk/ykkonen/startseite/wettbewerb/FI2" TargetMode="External"/><Relationship Id="rId1140" Type="http://schemas.openxmlformats.org/officeDocument/2006/relationships/hyperlink" Target="about:blank" TargetMode="External"/><Relationship Id="rId2471" Type="http://schemas.openxmlformats.org/officeDocument/2006/relationships/hyperlink" Target="about:blank" TargetMode="External"/><Relationship Id="rId1141" Type="http://schemas.openxmlformats.org/officeDocument/2006/relationships/hyperlink" Target="https://www.bundesliga.com/de/2bundesliga/tabelle?view=full" TargetMode="External"/><Relationship Id="rId2472" Type="http://schemas.openxmlformats.org/officeDocument/2006/relationships/hyperlink" Target="https://mikkelinpalloilijat.fi/yhteystiedot/historia/" TargetMode="External"/><Relationship Id="rId1142" Type="http://schemas.openxmlformats.org/officeDocument/2006/relationships/hyperlink" Target="about:blank" TargetMode="External"/><Relationship Id="rId2473" Type="http://schemas.openxmlformats.org/officeDocument/2006/relationships/hyperlink" Target="about:blank" TargetMode="External"/><Relationship Id="rId554" Type="http://schemas.openxmlformats.org/officeDocument/2006/relationships/hyperlink" Target="https://rfef.es/es/noticias/aprobados-los-grupos-de-primera-federacion-para-la-temporada-202627" TargetMode="External"/><Relationship Id="rId1143" Type="http://schemas.openxmlformats.org/officeDocument/2006/relationships/hyperlink" Target="https://www.rsssf.org/colours/germany.html" TargetMode="External"/><Relationship Id="rId2474" Type="http://schemas.openxmlformats.org/officeDocument/2006/relationships/hyperlink" Target="https://www.transfermarkt.co.uk/ykkonen/startseite/wettbewerb/FI2" TargetMode="External"/><Relationship Id="rId553" Type="http://schemas.openxmlformats.org/officeDocument/2006/relationships/hyperlink" Target="about:blank" TargetMode="External"/><Relationship Id="rId1144" Type="http://schemas.openxmlformats.org/officeDocument/2006/relationships/hyperlink" Target="about:blank" TargetMode="External"/><Relationship Id="rId2475" Type="http://schemas.openxmlformats.org/officeDocument/2006/relationships/hyperlink" Target="about:blank" TargetMode="External"/><Relationship Id="rId552" Type="http://schemas.openxmlformats.org/officeDocument/2006/relationships/hyperlink" Target="https://www.rsssf.org/colours/spain.html" TargetMode="External"/><Relationship Id="rId1145" Type="http://schemas.openxmlformats.org/officeDocument/2006/relationships/hyperlink" Target="https://www.dfb.de/news/teilnehmerfeld-der-3-liga-steht-fest-havelse-rueckt-fuer-1860-nach" TargetMode="External"/><Relationship Id="rId2476" Type="http://schemas.openxmlformats.org/officeDocument/2006/relationships/hyperlink" Target="https://edustus.pk-35.fi/miehet-edustus/90-vuotista-seuraa-muistettiin-juhlapelissa-on-tama-iso-juttu/" TargetMode="External"/><Relationship Id="rId551" Type="http://schemas.openxmlformats.org/officeDocument/2006/relationships/hyperlink" Target="about:blank" TargetMode="External"/><Relationship Id="rId1146" Type="http://schemas.openxmlformats.org/officeDocument/2006/relationships/hyperlink" Target="about:blank" TargetMode="External"/><Relationship Id="rId2477" Type="http://schemas.openxmlformats.org/officeDocument/2006/relationships/hyperlink" Target="about:blank" TargetMode="External"/><Relationship Id="rId2090" Type="http://schemas.openxmlformats.org/officeDocument/2006/relationships/hyperlink" Target="about:blank" TargetMode="External"/><Relationship Id="rId2091" Type="http://schemas.openxmlformats.org/officeDocument/2006/relationships/hyperlink" Target="https://en.wikipedia.org/wiki/2026%E2%80%9327_Gamma_Ethniki" TargetMode="External"/><Relationship Id="rId2092" Type="http://schemas.openxmlformats.org/officeDocument/2006/relationships/hyperlink" Target="about:blank" TargetMode="External"/><Relationship Id="rId2093" Type="http://schemas.openxmlformats.org/officeDocument/2006/relationships/hyperlink" Target="about:blank" TargetMode="External"/><Relationship Id="rId2094" Type="http://schemas.openxmlformats.org/officeDocument/2006/relationships/hyperlink" Target="https://en.wikipedia.org/wiki/2026%E2%80%9327_Gamma_Ethniki" TargetMode="External"/><Relationship Id="rId2095" Type="http://schemas.openxmlformats.org/officeDocument/2006/relationships/hyperlink" Target="about:blank" TargetMode="External"/><Relationship Id="rId2096" Type="http://schemas.openxmlformats.org/officeDocument/2006/relationships/hyperlink" Target="about:blank" TargetMode="External"/><Relationship Id="rId2097" Type="http://schemas.openxmlformats.org/officeDocument/2006/relationships/hyperlink" Target="https://en.wikipedia.org/wiki/2026%E2%80%9327_Gamma_Ethniki" TargetMode="External"/><Relationship Id="rId2098" Type="http://schemas.openxmlformats.org/officeDocument/2006/relationships/hyperlink" Target="about:blank" TargetMode="External"/><Relationship Id="rId2099" Type="http://schemas.openxmlformats.org/officeDocument/2006/relationships/hyperlink" Target="about:blank" TargetMode="External"/><Relationship Id="rId2060" Type="http://schemas.openxmlformats.org/officeDocument/2006/relationships/hyperlink" Target="https://en.wikipedia.org/wiki/2026%E2%80%9327_Gamma_Ethniki" TargetMode="External"/><Relationship Id="rId2061" Type="http://schemas.openxmlformats.org/officeDocument/2006/relationships/hyperlink" Target="about:blank" TargetMode="External"/><Relationship Id="rId2062" Type="http://schemas.openxmlformats.org/officeDocument/2006/relationships/hyperlink" Target="https://www.rsssf.org/colours/greece.html" TargetMode="External"/><Relationship Id="rId2063" Type="http://schemas.openxmlformats.org/officeDocument/2006/relationships/hyperlink" Target="about:blank" TargetMode="External"/><Relationship Id="rId2064" Type="http://schemas.openxmlformats.org/officeDocument/2006/relationships/hyperlink" Target="https://en.wikipedia.org/wiki/2026%E2%80%9327_Gamma_Ethniki" TargetMode="External"/><Relationship Id="rId2065" Type="http://schemas.openxmlformats.org/officeDocument/2006/relationships/hyperlink" Target="about:blank" TargetMode="External"/><Relationship Id="rId2066" Type="http://schemas.openxmlformats.org/officeDocument/2006/relationships/hyperlink" Target="https://www.rsssf.org/colours/greece.html" TargetMode="External"/><Relationship Id="rId2067" Type="http://schemas.openxmlformats.org/officeDocument/2006/relationships/hyperlink" Target="about:blank" TargetMode="External"/><Relationship Id="rId2068" Type="http://schemas.openxmlformats.org/officeDocument/2006/relationships/hyperlink" Target="https://en.wikipedia.org/wiki/2026%E2%80%9327_Gamma_Ethniki" TargetMode="External"/><Relationship Id="rId2069" Type="http://schemas.openxmlformats.org/officeDocument/2006/relationships/hyperlink" Target="about:blank" TargetMode="External"/><Relationship Id="rId2050" Type="http://schemas.openxmlformats.org/officeDocument/2006/relationships/hyperlink" Target="https://en.wikipedia.org/wiki/2026%E2%80%9327_Gamma_Ethniki" TargetMode="External"/><Relationship Id="rId2051" Type="http://schemas.openxmlformats.org/officeDocument/2006/relationships/hyperlink" Target="about:blank" TargetMode="External"/><Relationship Id="rId495" Type="http://schemas.openxmlformats.org/officeDocument/2006/relationships/hyperlink" Target="https://rfef.es/es/noticias/aprobados-los-grupos-de-primera-federacion-para-la-temporada-202627" TargetMode="External"/><Relationship Id="rId2052" Type="http://schemas.openxmlformats.org/officeDocument/2006/relationships/hyperlink" Target="about:blank" TargetMode="External"/><Relationship Id="rId494" Type="http://schemas.openxmlformats.org/officeDocument/2006/relationships/hyperlink" Target="about:blank" TargetMode="External"/><Relationship Id="rId2053" Type="http://schemas.openxmlformats.org/officeDocument/2006/relationships/hyperlink" Target="https://en.wikipedia.org/wiki/2026%E2%80%9327_Gamma_Ethniki" TargetMode="External"/><Relationship Id="rId493" Type="http://schemas.openxmlformats.org/officeDocument/2006/relationships/hyperlink" Target="https://www.rsssf.org/colours/spain.html" TargetMode="External"/><Relationship Id="rId2054" Type="http://schemas.openxmlformats.org/officeDocument/2006/relationships/hyperlink" Target="about:blank" TargetMode="External"/><Relationship Id="rId492" Type="http://schemas.openxmlformats.org/officeDocument/2006/relationships/hyperlink" Target="about:blank" TargetMode="External"/><Relationship Id="rId2055" Type="http://schemas.openxmlformats.org/officeDocument/2006/relationships/hyperlink" Target="https://www.rsssf.org/colours/greece.html" TargetMode="External"/><Relationship Id="rId499" Type="http://schemas.openxmlformats.org/officeDocument/2006/relationships/hyperlink" Target="https://rfef.es/es/noticias/aprobados-los-grupos-de-primera-federacion-para-la-temporada-202627" TargetMode="External"/><Relationship Id="rId2056" Type="http://schemas.openxmlformats.org/officeDocument/2006/relationships/hyperlink" Target="about:blank" TargetMode="External"/><Relationship Id="rId498" Type="http://schemas.openxmlformats.org/officeDocument/2006/relationships/hyperlink" Target="about:blank" TargetMode="External"/><Relationship Id="rId2057" Type="http://schemas.openxmlformats.org/officeDocument/2006/relationships/hyperlink" Target="https://en.wikipedia.org/wiki/2026%E2%80%9327_Gamma_Ethniki" TargetMode="External"/><Relationship Id="rId497" Type="http://schemas.openxmlformats.org/officeDocument/2006/relationships/hyperlink" Target="https://www.rsssf.org/colours/spain.html" TargetMode="External"/><Relationship Id="rId2058" Type="http://schemas.openxmlformats.org/officeDocument/2006/relationships/hyperlink" Target="about:blank" TargetMode="External"/><Relationship Id="rId496" Type="http://schemas.openxmlformats.org/officeDocument/2006/relationships/hyperlink" Target="about:blank" TargetMode="External"/><Relationship Id="rId2059" Type="http://schemas.openxmlformats.org/officeDocument/2006/relationships/hyperlink" Target="about:blank" TargetMode="External"/><Relationship Id="rId2080" Type="http://schemas.openxmlformats.org/officeDocument/2006/relationships/hyperlink" Target="about:blank" TargetMode="External"/><Relationship Id="rId2081" Type="http://schemas.openxmlformats.org/officeDocument/2006/relationships/hyperlink" Target="https://en.wikipedia.org/wiki/2026%E2%80%9327_Gamma_Ethniki" TargetMode="External"/><Relationship Id="rId2082" Type="http://schemas.openxmlformats.org/officeDocument/2006/relationships/hyperlink" Target="about:blank" TargetMode="External"/><Relationship Id="rId2083" Type="http://schemas.openxmlformats.org/officeDocument/2006/relationships/hyperlink" Target="https://www.rsssf.org/colours/greece.html" TargetMode="External"/><Relationship Id="rId2084" Type="http://schemas.openxmlformats.org/officeDocument/2006/relationships/hyperlink" Target="about:blank" TargetMode="External"/><Relationship Id="rId2085" Type="http://schemas.openxmlformats.org/officeDocument/2006/relationships/hyperlink" Target="https://en.wikipedia.org/wiki/2026%E2%80%9327_Gamma_Ethniki" TargetMode="External"/><Relationship Id="rId2086" Type="http://schemas.openxmlformats.org/officeDocument/2006/relationships/hyperlink" Target="about:blank" TargetMode="External"/><Relationship Id="rId2087" Type="http://schemas.openxmlformats.org/officeDocument/2006/relationships/hyperlink" Target="about:blank" TargetMode="External"/><Relationship Id="rId2088" Type="http://schemas.openxmlformats.org/officeDocument/2006/relationships/hyperlink" Target="https://en.wikipedia.org/wiki/2026%E2%80%9327_Gamma_Ethniki" TargetMode="External"/><Relationship Id="rId2089" Type="http://schemas.openxmlformats.org/officeDocument/2006/relationships/hyperlink" Target="about:blank" TargetMode="External"/><Relationship Id="rId2070" Type="http://schemas.openxmlformats.org/officeDocument/2006/relationships/hyperlink" Target="about:blank" TargetMode="External"/><Relationship Id="rId2071" Type="http://schemas.openxmlformats.org/officeDocument/2006/relationships/hyperlink" Target="https://en.wikipedia.org/wiki/2026%E2%80%9327_Gamma_Ethniki" TargetMode="External"/><Relationship Id="rId2072" Type="http://schemas.openxmlformats.org/officeDocument/2006/relationships/hyperlink" Target="about:blank" TargetMode="External"/><Relationship Id="rId2073" Type="http://schemas.openxmlformats.org/officeDocument/2006/relationships/hyperlink" Target="about:blank" TargetMode="External"/><Relationship Id="rId2074" Type="http://schemas.openxmlformats.org/officeDocument/2006/relationships/hyperlink" Target="https://en.wikipedia.org/wiki/2026%E2%80%9327_Gamma_Ethniki" TargetMode="External"/><Relationship Id="rId2075" Type="http://schemas.openxmlformats.org/officeDocument/2006/relationships/hyperlink" Target="about:blank" TargetMode="External"/><Relationship Id="rId2076" Type="http://schemas.openxmlformats.org/officeDocument/2006/relationships/hyperlink" Target="about:blank" TargetMode="External"/><Relationship Id="rId2077" Type="http://schemas.openxmlformats.org/officeDocument/2006/relationships/hyperlink" Target="https://en.wikipedia.org/wiki/2026%E2%80%9327_Gamma_Ethniki" TargetMode="External"/><Relationship Id="rId2078" Type="http://schemas.openxmlformats.org/officeDocument/2006/relationships/hyperlink" Target="about:blank" TargetMode="External"/><Relationship Id="rId2079" Type="http://schemas.openxmlformats.org/officeDocument/2006/relationships/hyperlink" Target="https://www.rsssf.org/colours/greece.html" TargetMode="External"/><Relationship Id="rId2940" Type="http://schemas.openxmlformats.org/officeDocument/2006/relationships/hyperlink" Target="about:blank" TargetMode="External"/><Relationship Id="rId1610" Type="http://schemas.openxmlformats.org/officeDocument/2006/relationships/hyperlink" Target="about:blank" TargetMode="External"/><Relationship Id="rId294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11" Type="http://schemas.openxmlformats.org/officeDocument/2006/relationships/hyperlink" Target="https://www.flashscore.ro/stiri/fotbal-liga-3-2026-2027-serii-echipe-program/Qkhurfcc/" TargetMode="External"/><Relationship Id="rId2942" Type="http://schemas.openxmlformats.org/officeDocument/2006/relationships/hyperlink" Target="about:blank" TargetMode="External"/><Relationship Id="rId1612" Type="http://schemas.openxmlformats.org/officeDocument/2006/relationships/hyperlink" Target="about:blank" TargetMode="External"/><Relationship Id="rId2943" Type="http://schemas.openxmlformats.org/officeDocument/2006/relationships/hyperlink" Target="https://www.rsssf.org/colours/germany.html" TargetMode="External"/><Relationship Id="rId1613" Type="http://schemas.openxmlformats.org/officeDocument/2006/relationships/hyperlink" Target="about:blank" TargetMode="External"/><Relationship Id="rId2944" Type="http://schemas.openxmlformats.org/officeDocument/2006/relationships/hyperlink" Target="about:blank" TargetMode="External"/><Relationship Id="rId1614" Type="http://schemas.openxmlformats.org/officeDocument/2006/relationships/hyperlink" Target="https://www.flashscore.ro/stiri/fotbal-liga-3-2026-2027-serii-echipe-program/Qkhurfcc/" TargetMode="External"/><Relationship Id="rId294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15" Type="http://schemas.openxmlformats.org/officeDocument/2006/relationships/hyperlink" Target="about:blank" TargetMode="External"/><Relationship Id="rId2946" Type="http://schemas.openxmlformats.org/officeDocument/2006/relationships/hyperlink" Target="about:blank" TargetMode="External"/><Relationship Id="rId1616" Type="http://schemas.openxmlformats.org/officeDocument/2006/relationships/hyperlink" Target="about:blank" TargetMode="External"/><Relationship Id="rId2947" Type="http://schemas.openxmlformats.org/officeDocument/2006/relationships/hyperlink" Target="https://www.rsssf.org/colours/belgium.html" TargetMode="External"/><Relationship Id="rId907" Type="http://schemas.openxmlformats.org/officeDocument/2006/relationships/hyperlink" Target="https://it.wikipedia.org/wiki/Spezia_Calcio" TargetMode="External"/><Relationship Id="rId1617" Type="http://schemas.openxmlformats.org/officeDocument/2006/relationships/hyperlink" Target="https://www.flashscore.ro/stiri/fotbal-liga-3-2026-2027-serii-echipe-program/Qkhurfcc/" TargetMode="External"/><Relationship Id="rId2948" Type="http://schemas.openxmlformats.org/officeDocument/2006/relationships/hyperlink" Target="about:blank" TargetMode="External"/><Relationship Id="rId906" Type="http://schemas.openxmlformats.org/officeDocument/2006/relationships/hyperlink" Target="about:blank" TargetMode="External"/><Relationship Id="rId1618" Type="http://schemas.openxmlformats.org/officeDocument/2006/relationships/hyperlink" Target="about:blank" TargetMode="External"/><Relationship Id="rId294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905" Type="http://schemas.openxmlformats.org/officeDocument/2006/relationships/hyperlink" Target="https://it.blastingnews.com/calcio/2026/07/ultimora-serie-c-svelati-i-gironi-ufficiali-2026-27-004083523.html" TargetMode="External"/><Relationship Id="rId1619" Type="http://schemas.openxmlformats.org/officeDocument/2006/relationships/hyperlink" Target="https://en.wikipedia.org/wiki/KSE_T%C3%A2rgu_Secuiesc" TargetMode="External"/><Relationship Id="rId904" Type="http://schemas.openxmlformats.org/officeDocument/2006/relationships/hyperlink" Target="about:blank" TargetMode="External"/><Relationship Id="rId909" Type="http://schemas.openxmlformats.org/officeDocument/2006/relationships/hyperlink" Target="https://it.blastingnews.com/calcio/2026/07/ultimora-serie-c-svelati-i-gironi-ufficiali-2026-27-004083523.html" TargetMode="External"/><Relationship Id="rId908" Type="http://schemas.openxmlformats.org/officeDocument/2006/relationships/hyperlink" Target="about:blank" TargetMode="External"/><Relationship Id="rId903" Type="http://schemas.openxmlformats.org/officeDocument/2006/relationships/hyperlink" Target="https://www.lega-pro.com/campionato/squadre/girone-b/sambenedettese/" TargetMode="External"/><Relationship Id="rId902" Type="http://schemas.openxmlformats.org/officeDocument/2006/relationships/hyperlink" Target="about:blank" TargetMode="External"/><Relationship Id="rId901" Type="http://schemas.openxmlformats.org/officeDocument/2006/relationships/hyperlink" Target="https://it.blastingnews.com/calcio/2026/07/ultimora-serie-c-svelati-i-gironi-ufficiali-2026-27-004083523.html" TargetMode="External"/><Relationship Id="rId900" Type="http://schemas.openxmlformats.org/officeDocument/2006/relationships/hyperlink" Target="about:blank" TargetMode="External"/><Relationship Id="rId2930" Type="http://schemas.openxmlformats.org/officeDocument/2006/relationships/hyperlink" Target="about:blank" TargetMode="External"/><Relationship Id="rId1600" Type="http://schemas.openxmlformats.org/officeDocument/2006/relationships/hyperlink" Target="https://en.wikipedia.org/wiki/CSM_Ceahl%C4%83ul_Piatra_Neam%C8%9B" TargetMode="External"/><Relationship Id="rId2931" Type="http://schemas.openxmlformats.org/officeDocument/2006/relationships/hyperlink" Target="https://en.wikipedia.org/wiki/Pafos_FC" TargetMode="External"/><Relationship Id="rId1601" Type="http://schemas.openxmlformats.org/officeDocument/2006/relationships/hyperlink" Target="about:blank" TargetMode="External"/><Relationship Id="rId2932" Type="http://schemas.openxmlformats.org/officeDocument/2006/relationships/hyperlink" Target="about:blank" TargetMode="External"/><Relationship Id="rId1602" Type="http://schemas.openxmlformats.org/officeDocument/2006/relationships/hyperlink" Target="https://www.flashscore.ro/stiri/fotbal-liga-3-2026-2027-serii-echipe-program/Qkhurfcc/" TargetMode="External"/><Relationship Id="rId293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03" Type="http://schemas.openxmlformats.org/officeDocument/2006/relationships/hyperlink" Target="about:blank" TargetMode="External"/><Relationship Id="rId2934" Type="http://schemas.openxmlformats.org/officeDocument/2006/relationships/hyperlink" Target="about:blank" TargetMode="External"/><Relationship Id="rId1604" Type="http://schemas.openxmlformats.org/officeDocument/2006/relationships/hyperlink" Target="about:blank" TargetMode="External"/><Relationship Id="rId2935" Type="http://schemas.openxmlformats.org/officeDocument/2006/relationships/hyperlink" Target="https://www.rsssf.org/colours/greece.html" TargetMode="External"/><Relationship Id="rId1605" Type="http://schemas.openxmlformats.org/officeDocument/2006/relationships/hyperlink" Target="https://www.flashscore.ro/stiri/fotbal-liga-3-2026-2027-serii-echipe-program/Qkhurfcc/" TargetMode="External"/><Relationship Id="rId2936" Type="http://schemas.openxmlformats.org/officeDocument/2006/relationships/hyperlink" Target="about:blank" TargetMode="External"/><Relationship Id="rId1606" Type="http://schemas.openxmlformats.org/officeDocument/2006/relationships/hyperlink" Target="about:blank" TargetMode="External"/><Relationship Id="rId293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07" Type="http://schemas.openxmlformats.org/officeDocument/2006/relationships/hyperlink" Target="about:blank" TargetMode="External"/><Relationship Id="rId2938" Type="http://schemas.openxmlformats.org/officeDocument/2006/relationships/hyperlink" Target="about:blank" TargetMode="External"/><Relationship Id="rId1608" Type="http://schemas.openxmlformats.org/officeDocument/2006/relationships/hyperlink" Target="https://www.flashscore.ro/stiri/fotbal-liga-3-2026-2027-serii-echipe-program/Qkhurfcc/" TargetMode="External"/><Relationship Id="rId2939" Type="http://schemas.openxmlformats.org/officeDocument/2006/relationships/hyperlink" Target="https://fr.wikipedia.org/wiki/Riga_Football_Club" TargetMode="External"/><Relationship Id="rId1609" Type="http://schemas.openxmlformats.org/officeDocument/2006/relationships/hyperlink" Target="about:blank" TargetMode="External"/><Relationship Id="rId1631" Type="http://schemas.openxmlformats.org/officeDocument/2006/relationships/hyperlink" Target="https://www.flashscore.ro/stiri/fotbal-liga-3-2026-2027-serii-echipe-program/Qkhurfcc/" TargetMode="External"/><Relationship Id="rId1632" Type="http://schemas.openxmlformats.org/officeDocument/2006/relationships/hyperlink" Target="about:blank" TargetMode="External"/><Relationship Id="rId2963" Type="http://schemas.openxmlformats.org/officeDocument/2006/relationships/table" Target="../tables/table2.xml"/><Relationship Id="rId1633" Type="http://schemas.openxmlformats.org/officeDocument/2006/relationships/hyperlink" Target="about:blank" TargetMode="External"/><Relationship Id="rId1634" Type="http://schemas.openxmlformats.org/officeDocument/2006/relationships/hyperlink" Target="https://www.flashscore.ro/stiri/fotbal-liga-3-2026-2027-serii-echipe-program/Qkhurfcc/" TargetMode="External"/><Relationship Id="rId1635" Type="http://schemas.openxmlformats.org/officeDocument/2006/relationships/hyperlink" Target="about:blank" TargetMode="External"/><Relationship Id="rId1636" Type="http://schemas.openxmlformats.org/officeDocument/2006/relationships/hyperlink" Target="https://en.wikipedia.org/wiki/CSM_S%C4%83cele" TargetMode="External"/><Relationship Id="rId1637" Type="http://schemas.openxmlformats.org/officeDocument/2006/relationships/hyperlink" Target="about:blank" TargetMode="External"/><Relationship Id="rId1638" Type="http://schemas.openxmlformats.org/officeDocument/2006/relationships/hyperlink" Target="https://www.flashscore.ro/stiri/fotbal-liga-3-2026-2027-serii-echipe-program/Qkhurfcc/" TargetMode="External"/><Relationship Id="rId929" Type="http://schemas.openxmlformats.org/officeDocument/2006/relationships/hyperlink" Target="https://it.blastingnews.com/calcio/2026/07/ultimora-serie-c-svelati-i-gironi-ufficiali-2026-27-004083523.html" TargetMode="External"/><Relationship Id="rId1639" Type="http://schemas.openxmlformats.org/officeDocument/2006/relationships/hyperlink" Target="about:blank" TargetMode="External"/><Relationship Id="rId928" Type="http://schemas.openxmlformats.org/officeDocument/2006/relationships/hyperlink" Target="about:blank" TargetMode="External"/><Relationship Id="rId927" Type="http://schemas.openxmlformats.org/officeDocument/2006/relationships/hyperlink" Target="https://www.rsssf.org/colours/italy.html" TargetMode="External"/><Relationship Id="rId926" Type="http://schemas.openxmlformats.org/officeDocument/2006/relationships/hyperlink" Target="about:blank" TargetMode="External"/><Relationship Id="rId921" Type="http://schemas.openxmlformats.org/officeDocument/2006/relationships/hyperlink" Target="https://it.blastingnews.com/calcio/2026/07/ultimora-serie-c-svelati-i-gironi-ufficiali-2026-27-004083523.html" TargetMode="External"/><Relationship Id="rId920" Type="http://schemas.openxmlformats.org/officeDocument/2006/relationships/hyperlink" Target="about:blank" TargetMode="External"/><Relationship Id="rId925" Type="http://schemas.openxmlformats.org/officeDocument/2006/relationships/hyperlink" Target="https://it.blastingnews.com/calcio/2026/07/ultimora-serie-c-svelati-i-gironi-ufficiali-2026-27-004083523.html" TargetMode="External"/><Relationship Id="rId924" Type="http://schemas.openxmlformats.org/officeDocument/2006/relationships/hyperlink" Target="about:blank" TargetMode="External"/><Relationship Id="rId923" Type="http://schemas.openxmlformats.org/officeDocument/2006/relationships/hyperlink" Target="https://it.wikipedia.org/wiki/Societ%C3%A0_Sportiva_Audace_Cerignola" TargetMode="External"/><Relationship Id="rId922" Type="http://schemas.openxmlformats.org/officeDocument/2006/relationships/hyperlink" Target="about:blank" TargetMode="External"/><Relationship Id="rId2960" Type="http://schemas.openxmlformats.org/officeDocument/2006/relationships/drawing" Target="../drawings/drawing4.xml"/><Relationship Id="rId1630" Type="http://schemas.openxmlformats.org/officeDocument/2006/relationships/hyperlink" Target="about:blank" TargetMode="External"/><Relationship Id="rId2961" Type="http://schemas.openxmlformats.org/officeDocument/2006/relationships/vmlDrawing" Target="../drawings/vmlDrawing3.vml"/><Relationship Id="rId1620" Type="http://schemas.openxmlformats.org/officeDocument/2006/relationships/hyperlink" Target="about:blank" TargetMode="External"/><Relationship Id="rId2951" Type="http://schemas.openxmlformats.org/officeDocument/2006/relationships/hyperlink" Target="https://fr.wikipedia.org/wiki/FC_Thoune" TargetMode="External"/><Relationship Id="rId1621" Type="http://schemas.openxmlformats.org/officeDocument/2006/relationships/hyperlink" Target="https://www.flashscore.ro/stiri/fotbal-liga-3-2026-2027-serii-echipe-program/Qkhurfcc/" TargetMode="External"/><Relationship Id="rId2952" Type="http://schemas.openxmlformats.org/officeDocument/2006/relationships/hyperlink" Target="about:blank" TargetMode="External"/><Relationship Id="rId1622" Type="http://schemas.openxmlformats.org/officeDocument/2006/relationships/hyperlink" Target="about:blank" TargetMode="External"/><Relationship Id="rId295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23" Type="http://schemas.openxmlformats.org/officeDocument/2006/relationships/hyperlink" Target="about:blank" TargetMode="External"/><Relationship Id="rId2954" Type="http://schemas.openxmlformats.org/officeDocument/2006/relationships/hyperlink" Target="about:blank" TargetMode="External"/><Relationship Id="rId1624" Type="http://schemas.openxmlformats.org/officeDocument/2006/relationships/hyperlink" Target="https://www.flashscore.ro/stiri/fotbal-liga-3-2026-2027-serii-echipe-program/Qkhurfcc/" TargetMode="External"/><Relationship Id="rId2955" Type="http://schemas.openxmlformats.org/officeDocument/2006/relationships/hyperlink" Target="https://en.wikipedia.org/wiki/Trabzonspor" TargetMode="External"/><Relationship Id="rId1625" Type="http://schemas.openxmlformats.org/officeDocument/2006/relationships/hyperlink" Target="about:blank" TargetMode="External"/><Relationship Id="rId2956" Type="http://schemas.openxmlformats.org/officeDocument/2006/relationships/hyperlink" Target="about:blank" TargetMode="External"/><Relationship Id="rId1626" Type="http://schemas.openxmlformats.org/officeDocument/2006/relationships/hyperlink" Target="https://en.wikipedia.org/wiki/ACS_Media%C8%99" TargetMode="External"/><Relationship Id="rId295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1627" Type="http://schemas.openxmlformats.org/officeDocument/2006/relationships/hyperlink" Target="about:blank" TargetMode="External"/><Relationship Id="rId2958" Type="http://schemas.openxmlformats.org/officeDocument/2006/relationships/hyperlink" Target="about:blank" TargetMode="External"/><Relationship Id="rId918" Type="http://schemas.openxmlformats.org/officeDocument/2006/relationships/hyperlink" Target="about:blank" TargetMode="External"/><Relationship Id="rId1628" Type="http://schemas.openxmlformats.org/officeDocument/2006/relationships/hyperlink" Target="https://www.flashscore.ro/stiri/fotbal-liga-3-2026-2027-serii-echipe-program/Qkhurfcc/" TargetMode="External"/><Relationship Id="rId2959" Type="http://schemas.openxmlformats.org/officeDocument/2006/relationships/hyperlink" Target="https://en.wikipedia.org/wiki/CS_Universitatea_Craiova" TargetMode="External"/><Relationship Id="rId917" Type="http://schemas.openxmlformats.org/officeDocument/2006/relationships/hyperlink" Target="https://it.blastingnews.com/calcio/2026/07/ultimora-serie-c-svelati-i-gironi-ufficiali-2026-27-004083523.html" TargetMode="External"/><Relationship Id="rId1629" Type="http://schemas.openxmlformats.org/officeDocument/2006/relationships/hyperlink" Target="about:blank" TargetMode="External"/><Relationship Id="rId916" Type="http://schemas.openxmlformats.org/officeDocument/2006/relationships/hyperlink" Target="about:blank" TargetMode="External"/><Relationship Id="rId915" Type="http://schemas.openxmlformats.org/officeDocument/2006/relationships/hyperlink" Target="https://it.wikipedia.org/wiki/Vado_Football_Club_1913" TargetMode="External"/><Relationship Id="rId919" Type="http://schemas.openxmlformats.org/officeDocument/2006/relationships/hyperlink" Target="https://it.wikipedia.org/wiki/Vis_Pesaro_dal_1898" TargetMode="External"/><Relationship Id="rId910" Type="http://schemas.openxmlformats.org/officeDocument/2006/relationships/hyperlink" Target="about:blank" TargetMode="External"/><Relationship Id="rId914" Type="http://schemas.openxmlformats.org/officeDocument/2006/relationships/hyperlink" Target="about:blank" TargetMode="External"/><Relationship Id="rId913" Type="http://schemas.openxmlformats.org/officeDocument/2006/relationships/hyperlink" Target="https://it.blastingnews.com/calcio/2026/07/ultimora-serie-c-svelati-i-gironi-ufficiali-2026-27-004083523.html" TargetMode="External"/><Relationship Id="rId912" Type="http://schemas.openxmlformats.org/officeDocument/2006/relationships/hyperlink" Target="about:blank" TargetMode="External"/><Relationship Id="rId911" Type="http://schemas.openxmlformats.org/officeDocument/2006/relationships/hyperlink" Target="https://it.wikipedia.org/wiki/Torres_(calcio)" TargetMode="External"/><Relationship Id="rId2950" Type="http://schemas.openxmlformats.org/officeDocument/2006/relationships/hyperlink" Target="about:blank" TargetMode="External"/><Relationship Id="rId2900" Type="http://schemas.openxmlformats.org/officeDocument/2006/relationships/hyperlink" Target="about:blank" TargetMode="External"/><Relationship Id="rId290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02" Type="http://schemas.openxmlformats.org/officeDocument/2006/relationships/hyperlink" Target="about:blank" TargetMode="External"/><Relationship Id="rId2903" Type="http://schemas.openxmlformats.org/officeDocument/2006/relationships/hyperlink" Target="https://fr.wikipedia.org/wiki/FK_Ka%C3%AFrat_Almaty" TargetMode="External"/><Relationship Id="rId2904" Type="http://schemas.openxmlformats.org/officeDocument/2006/relationships/hyperlink" Target="about:blank" TargetMode="External"/><Relationship Id="rId290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06" Type="http://schemas.openxmlformats.org/officeDocument/2006/relationships/hyperlink" Target="about:blank" TargetMode="External"/><Relationship Id="rId2907" Type="http://schemas.openxmlformats.org/officeDocument/2006/relationships/hyperlink" Target="https://de.wikipedia.org/wiki/FK_Kauno_%C5%BDalgiris" TargetMode="External"/><Relationship Id="rId2908" Type="http://schemas.openxmlformats.org/officeDocument/2006/relationships/hyperlink" Target="about:blank" TargetMode="External"/><Relationship Id="rId290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20" Type="http://schemas.openxmlformats.org/officeDocument/2006/relationships/hyperlink" Target="about:blank" TargetMode="External"/><Relationship Id="rId292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22" Type="http://schemas.openxmlformats.org/officeDocument/2006/relationships/hyperlink" Target="about:blank" TargetMode="External"/><Relationship Id="rId2923" Type="http://schemas.openxmlformats.org/officeDocument/2006/relationships/hyperlink" Target="https://fr.wikipedia.org/wiki/Mj%C3%A4llby_AIF" TargetMode="External"/><Relationship Id="rId2924" Type="http://schemas.openxmlformats.org/officeDocument/2006/relationships/hyperlink" Target="about:blank" TargetMode="External"/><Relationship Id="rId292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26" Type="http://schemas.openxmlformats.org/officeDocument/2006/relationships/hyperlink" Target="about:blank" TargetMode="External"/><Relationship Id="rId2927" Type="http://schemas.openxmlformats.org/officeDocument/2006/relationships/hyperlink" Target="https://www.rsssf.org/colours/france.html" TargetMode="External"/><Relationship Id="rId2928" Type="http://schemas.openxmlformats.org/officeDocument/2006/relationships/hyperlink" Target="about:blank" TargetMode="External"/><Relationship Id="rId292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10" Type="http://schemas.openxmlformats.org/officeDocument/2006/relationships/hyperlink" Target="about:blank" TargetMode="External"/><Relationship Id="rId2911" Type="http://schemas.openxmlformats.org/officeDocument/2006/relationships/hyperlink" Target="https://fi.wikipedia.org/wiki/Kuopion_Palloseura" TargetMode="External"/><Relationship Id="rId2912" Type="http://schemas.openxmlformats.org/officeDocument/2006/relationships/hyperlink" Target="about:blank" TargetMode="External"/><Relationship Id="rId291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14" Type="http://schemas.openxmlformats.org/officeDocument/2006/relationships/hyperlink" Target="about:blank" TargetMode="External"/><Relationship Id="rId2915" Type="http://schemas.openxmlformats.org/officeDocument/2006/relationships/hyperlink" Target="https://www.claudionicoletti.eu/tabelle/Clubcode/GIBRALTAR.htm" TargetMode="External"/><Relationship Id="rId2916" Type="http://schemas.openxmlformats.org/officeDocument/2006/relationships/hyperlink" Target="about:blank" TargetMode="External"/><Relationship Id="rId291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18" Type="http://schemas.openxmlformats.org/officeDocument/2006/relationships/hyperlink" Target="about:blank" TargetMode="External"/><Relationship Id="rId2919" Type="http://schemas.openxmlformats.org/officeDocument/2006/relationships/hyperlink" Target="https://de.wikipedia.org/wiki/FC_Lugano" TargetMode="External"/><Relationship Id="rId1213" Type="http://schemas.openxmlformats.org/officeDocument/2006/relationships/hyperlink" Target="https://www.dfb.de/news/teilnehmerfeld-der-3-liga-steht-fest-havelse-rueckt-fuer-1860-nach" TargetMode="External"/><Relationship Id="rId1697" Type="http://schemas.openxmlformats.org/officeDocument/2006/relationships/hyperlink" Target="about:blank" TargetMode="External"/><Relationship Id="rId2544" Type="http://schemas.openxmlformats.org/officeDocument/2006/relationships/hyperlink" Target="about:blank" TargetMode="External"/><Relationship Id="rId1214" Type="http://schemas.openxmlformats.org/officeDocument/2006/relationships/hyperlink" Target="about:blank" TargetMode="External"/><Relationship Id="rId1698" Type="http://schemas.openxmlformats.org/officeDocument/2006/relationships/hyperlink" Target="about:blank" TargetMode="External"/><Relationship Id="rId254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15" Type="http://schemas.openxmlformats.org/officeDocument/2006/relationships/hyperlink" Target="https://de.wikipedia.org/wiki/FC_Viktoria_K%C3%B6ln" TargetMode="External"/><Relationship Id="rId1699" Type="http://schemas.openxmlformats.org/officeDocument/2006/relationships/hyperlink" Target="https://www.flashscore.ro/stiri/fotbal-liga-3-2026-2027-serii-echipe-program/Qkhurfcc/" TargetMode="External"/><Relationship Id="rId2546" Type="http://schemas.openxmlformats.org/officeDocument/2006/relationships/hyperlink" Target="about:blank" TargetMode="External"/><Relationship Id="rId1216" Type="http://schemas.openxmlformats.org/officeDocument/2006/relationships/hyperlink" Target="about:blank" TargetMode="External"/><Relationship Id="rId2547" Type="http://schemas.openxmlformats.org/officeDocument/2006/relationships/hyperlink" Target="https://www.rsssf.org/colours/spain.html" TargetMode="External"/><Relationship Id="rId1217" Type="http://schemas.openxmlformats.org/officeDocument/2006/relationships/hyperlink" Target="https://www.dfb.de/news/teilnehmerfeld-der-3-liga-steht-fest-havelse-rueckt-fuer-1860-nach" TargetMode="External"/><Relationship Id="rId2548" Type="http://schemas.openxmlformats.org/officeDocument/2006/relationships/hyperlink" Target="about:blank" TargetMode="External"/><Relationship Id="rId1218" Type="http://schemas.openxmlformats.org/officeDocument/2006/relationships/hyperlink" Target="about:blank" TargetMode="External"/><Relationship Id="rId254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19" Type="http://schemas.openxmlformats.org/officeDocument/2006/relationships/hyperlink" Target="https://www.rsssf.org/colours/germany.html" TargetMode="External"/><Relationship Id="rId866" Type="http://schemas.openxmlformats.org/officeDocument/2006/relationships/hyperlink" Target="about:blank" TargetMode="External"/><Relationship Id="rId865" Type="http://schemas.openxmlformats.org/officeDocument/2006/relationships/hyperlink" Target="https://it.blastingnews.com/calcio/2026/07/ultimora-serie-c-svelati-i-gironi-ufficiali-2026-27-004083523.html" TargetMode="External"/><Relationship Id="rId864" Type="http://schemas.openxmlformats.org/officeDocument/2006/relationships/hyperlink" Target="about:blank" TargetMode="External"/><Relationship Id="rId863" Type="http://schemas.openxmlformats.org/officeDocument/2006/relationships/hyperlink" Target="https://it.wikipedia.org/wiki/Guidonia_Montecelio_1937_Football_Club" TargetMode="External"/><Relationship Id="rId869" Type="http://schemas.openxmlformats.org/officeDocument/2006/relationships/hyperlink" Target="https://it.blastingnews.com/calcio/2026/07/ultimora-serie-c-svelati-i-gironi-ufficiali-2026-27-004083523.html" TargetMode="External"/><Relationship Id="rId868" Type="http://schemas.openxmlformats.org/officeDocument/2006/relationships/hyperlink" Target="about:blank" TargetMode="External"/><Relationship Id="rId867" Type="http://schemas.openxmlformats.org/officeDocument/2006/relationships/hyperlink" Target="https://it.wikipedia.org/wiki/Latina_Calcio_1932" TargetMode="External"/><Relationship Id="rId1690" Type="http://schemas.openxmlformats.org/officeDocument/2006/relationships/hyperlink" Target="https://www.flashscore.ro/stiri/fotbal-liga-3-2026-2027-serii-echipe-program/Qkhurfcc/" TargetMode="External"/><Relationship Id="rId1691" Type="http://schemas.openxmlformats.org/officeDocument/2006/relationships/hyperlink" Target="about:blank" TargetMode="External"/><Relationship Id="rId1692" Type="http://schemas.openxmlformats.org/officeDocument/2006/relationships/hyperlink" Target="about:blank" TargetMode="External"/><Relationship Id="rId862" Type="http://schemas.openxmlformats.org/officeDocument/2006/relationships/hyperlink" Target="about:blank" TargetMode="External"/><Relationship Id="rId1693" Type="http://schemas.openxmlformats.org/officeDocument/2006/relationships/hyperlink" Target="https://www.flashscore.ro/stiri/fotbal-liga-3-2026-2027-serii-echipe-program/Qkhurfcc/" TargetMode="External"/><Relationship Id="rId2540" Type="http://schemas.openxmlformats.org/officeDocument/2006/relationships/hyperlink" Target="about:blank" TargetMode="External"/><Relationship Id="rId861" Type="http://schemas.openxmlformats.org/officeDocument/2006/relationships/hyperlink" Target="https://it.blastingnews.com/calcio/2026/07/ultimora-serie-c-svelati-i-gironi-ufficiali-2026-27-004083523.html" TargetMode="External"/><Relationship Id="rId1210" Type="http://schemas.openxmlformats.org/officeDocument/2006/relationships/hyperlink" Target="about:blank" TargetMode="External"/><Relationship Id="rId1694" Type="http://schemas.openxmlformats.org/officeDocument/2006/relationships/hyperlink" Target="about:blank" TargetMode="External"/><Relationship Id="rId254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60" Type="http://schemas.openxmlformats.org/officeDocument/2006/relationships/hyperlink" Target="about:blank" TargetMode="External"/><Relationship Id="rId1211" Type="http://schemas.openxmlformats.org/officeDocument/2006/relationships/hyperlink" Target="https://www.rsssf.org/colours/germany.html" TargetMode="External"/><Relationship Id="rId1695" Type="http://schemas.openxmlformats.org/officeDocument/2006/relationships/hyperlink" Target="about:blank" TargetMode="External"/><Relationship Id="rId2542" Type="http://schemas.openxmlformats.org/officeDocument/2006/relationships/hyperlink" Target="about:blank" TargetMode="External"/><Relationship Id="rId1212" Type="http://schemas.openxmlformats.org/officeDocument/2006/relationships/hyperlink" Target="about:blank" TargetMode="External"/><Relationship Id="rId1696" Type="http://schemas.openxmlformats.org/officeDocument/2006/relationships/hyperlink" Target="https://www.flashscore.ro/stiri/fotbal-liga-3-2026-2027-serii-echipe-program/Qkhurfcc/" TargetMode="External"/><Relationship Id="rId2543" Type="http://schemas.openxmlformats.org/officeDocument/2006/relationships/hyperlink" Target="https://www.rsssf.org/colours/spain.html" TargetMode="External"/><Relationship Id="rId1202" Type="http://schemas.openxmlformats.org/officeDocument/2006/relationships/hyperlink" Target="about:blank" TargetMode="External"/><Relationship Id="rId1686" Type="http://schemas.openxmlformats.org/officeDocument/2006/relationships/hyperlink" Target="about:blank" TargetMode="External"/><Relationship Id="rId25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03" Type="http://schemas.openxmlformats.org/officeDocument/2006/relationships/hyperlink" Target="https://de.wikipedia.org/wiki/TSG_1899_Hoffenheim" TargetMode="External"/><Relationship Id="rId1687" Type="http://schemas.openxmlformats.org/officeDocument/2006/relationships/hyperlink" Target="https://www.flashscore.ro/stiri/fotbal-liga-3-2026-2027-serii-echipe-program/Qkhurfcc/" TargetMode="External"/><Relationship Id="rId2534" Type="http://schemas.openxmlformats.org/officeDocument/2006/relationships/hyperlink" Target="about:blank" TargetMode="External"/><Relationship Id="rId1204" Type="http://schemas.openxmlformats.org/officeDocument/2006/relationships/hyperlink" Target="about:blank" TargetMode="External"/><Relationship Id="rId1688" Type="http://schemas.openxmlformats.org/officeDocument/2006/relationships/hyperlink" Target="about:blank" TargetMode="External"/><Relationship Id="rId2535" Type="http://schemas.openxmlformats.org/officeDocument/2006/relationships/hyperlink" Target="https://www.rsssf.org/colours/england.html" TargetMode="External"/><Relationship Id="rId1205" Type="http://schemas.openxmlformats.org/officeDocument/2006/relationships/hyperlink" Target="https://www.dfb.de/news/teilnehmerfeld-der-3-liga-steht-fest-havelse-rueckt-fuer-1860-nach" TargetMode="External"/><Relationship Id="rId1689" Type="http://schemas.openxmlformats.org/officeDocument/2006/relationships/hyperlink" Target="about:blank" TargetMode="External"/><Relationship Id="rId2536" Type="http://schemas.openxmlformats.org/officeDocument/2006/relationships/hyperlink" Target="about:blank" TargetMode="External"/><Relationship Id="rId1206" Type="http://schemas.openxmlformats.org/officeDocument/2006/relationships/hyperlink" Target="about:blank" TargetMode="External"/><Relationship Id="rId253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07" Type="http://schemas.openxmlformats.org/officeDocument/2006/relationships/hyperlink" Target="https://de.wikipedia.org/wiki/TSV_Havelse" TargetMode="External"/><Relationship Id="rId2538" Type="http://schemas.openxmlformats.org/officeDocument/2006/relationships/hyperlink" Target="about:blank" TargetMode="External"/><Relationship Id="rId1208" Type="http://schemas.openxmlformats.org/officeDocument/2006/relationships/hyperlink" Target="about:blank" TargetMode="External"/><Relationship Id="rId2539" Type="http://schemas.openxmlformats.org/officeDocument/2006/relationships/hyperlink" Target="https://www.rsssf.org/colours/england.html" TargetMode="External"/><Relationship Id="rId1209" Type="http://schemas.openxmlformats.org/officeDocument/2006/relationships/hyperlink" Target="https://www.dfb.de/news/teilnehmerfeld-der-3-liga-steht-fest-havelse-rueckt-fuer-1860-nach" TargetMode="External"/><Relationship Id="rId855" Type="http://schemas.openxmlformats.org/officeDocument/2006/relationships/hyperlink" Target="https://it.wikipedia.org/wiki/Unione_Sportiva_Grosseto_1912" TargetMode="External"/><Relationship Id="rId854" Type="http://schemas.openxmlformats.org/officeDocument/2006/relationships/hyperlink" Target="about:blank" TargetMode="External"/><Relationship Id="rId853" Type="http://schemas.openxmlformats.org/officeDocument/2006/relationships/hyperlink" Target="https://it.blastingnews.com/calcio/2026/07/ultimora-serie-c-svelati-i-gironi-ufficiali-2026-27-004083523.html" TargetMode="External"/><Relationship Id="rId852" Type="http://schemas.openxmlformats.org/officeDocument/2006/relationships/hyperlink" Target="about:blank" TargetMode="External"/><Relationship Id="rId859" Type="http://schemas.openxmlformats.org/officeDocument/2006/relationships/hyperlink" Target="https://it.wikipedia.org/wiki/Associazione_Sportiva_Gubbio_1910" TargetMode="External"/><Relationship Id="rId858" Type="http://schemas.openxmlformats.org/officeDocument/2006/relationships/hyperlink" Target="about:blank" TargetMode="External"/><Relationship Id="rId857" Type="http://schemas.openxmlformats.org/officeDocument/2006/relationships/hyperlink" Target="https://it.blastingnews.com/calcio/2026/07/ultimora-serie-c-svelati-i-gironi-ufficiali-2026-27-004083523.html" TargetMode="External"/><Relationship Id="rId856" Type="http://schemas.openxmlformats.org/officeDocument/2006/relationships/hyperlink" Target="about:blank" TargetMode="External"/><Relationship Id="rId1680" Type="http://schemas.openxmlformats.org/officeDocument/2006/relationships/hyperlink" Target="about:blank" TargetMode="External"/><Relationship Id="rId1681" Type="http://schemas.openxmlformats.org/officeDocument/2006/relationships/hyperlink" Target="https://www.flashscore.ro/stiri/fotbal-liga-3-2026-2027-serii-echipe-program/Qkhurfcc/" TargetMode="External"/><Relationship Id="rId851" Type="http://schemas.openxmlformats.org/officeDocument/2006/relationships/hyperlink" Target="https://it.wikipedia.org/wiki/Forl%C3%AC_Football_Club" TargetMode="External"/><Relationship Id="rId1682" Type="http://schemas.openxmlformats.org/officeDocument/2006/relationships/hyperlink" Target="about:blank" TargetMode="External"/><Relationship Id="rId850" Type="http://schemas.openxmlformats.org/officeDocument/2006/relationships/hyperlink" Target="about:blank" TargetMode="External"/><Relationship Id="rId1683" Type="http://schemas.openxmlformats.org/officeDocument/2006/relationships/hyperlink" Target="about:blank" TargetMode="External"/><Relationship Id="rId2530" Type="http://schemas.openxmlformats.org/officeDocument/2006/relationships/hyperlink" Target="about:blank" TargetMode="External"/><Relationship Id="rId1200" Type="http://schemas.openxmlformats.org/officeDocument/2006/relationships/hyperlink" Target="about:blank" TargetMode="External"/><Relationship Id="rId1684" Type="http://schemas.openxmlformats.org/officeDocument/2006/relationships/hyperlink" Target="https://www.flashscore.ro/stiri/fotbal-liga-3-2026-2027-serii-echipe-program/Qkhurfcc/" TargetMode="External"/><Relationship Id="rId2531" Type="http://schemas.openxmlformats.org/officeDocument/2006/relationships/hyperlink" Target="https://www.rsssf.org/colours/greece.html" TargetMode="External"/><Relationship Id="rId1201" Type="http://schemas.openxmlformats.org/officeDocument/2006/relationships/hyperlink" Target="https://www.dfb.de/news/teilnehmerfeld-der-3-liga-steht-fest-havelse-rueckt-fuer-1860-nach" TargetMode="External"/><Relationship Id="rId1685" Type="http://schemas.openxmlformats.org/officeDocument/2006/relationships/hyperlink" Target="about:blank" TargetMode="External"/><Relationship Id="rId2532" Type="http://schemas.openxmlformats.org/officeDocument/2006/relationships/hyperlink" Target="about:blank" TargetMode="External"/><Relationship Id="rId1235" Type="http://schemas.openxmlformats.org/officeDocument/2006/relationships/hyperlink" Target="https://www.rsssf.org/colours/france.html" TargetMode="External"/><Relationship Id="rId2566" Type="http://schemas.openxmlformats.org/officeDocument/2006/relationships/hyperlink" Target="about:blank" TargetMode="External"/><Relationship Id="rId1236" Type="http://schemas.openxmlformats.org/officeDocument/2006/relationships/hyperlink" Target="about:blank" TargetMode="External"/><Relationship Id="rId2567" Type="http://schemas.openxmlformats.org/officeDocument/2006/relationships/hyperlink" Target="https://www.rsssf.org/colours/italy.html" TargetMode="External"/><Relationship Id="rId1237" Type="http://schemas.openxmlformats.org/officeDocument/2006/relationships/hyperlink" Target="https://ligue1.com/en/articles/l1_article_5292-the-2026-27-ligue-1-mc-donald-s-calendar-is-released" TargetMode="External"/><Relationship Id="rId2568" Type="http://schemas.openxmlformats.org/officeDocument/2006/relationships/hyperlink" Target="about:blank" TargetMode="External"/><Relationship Id="rId1238" Type="http://schemas.openxmlformats.org/officeDocument/2006/relationships/hyperlink" Target="about:blank" TargetMode="External"/><Relationship Id="rId256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39" Type="http://schemas.openxmlformats.org/officeDocument/2006/relationships/hyperlink" Target="https://www.rsssf.org/colours/france.html" TargetMode="External"/><Relationship Id="rId409" Type="http://schemas.openxmlformats.org/officeDocument/2006/relationships/hyperlink" Target="https://www.laliga.com/en-GB/laliga-hypermotion/clubs" TargetMode="External"/><Relationship Id="rId404" Type="http://schemas.openxmlformats.org/officeDocument/2006/relationships/hyperlink" Target="about:blank" TargetMode="External"/><Relationship Id="rId888" Type="http://schemas.openxmlformats.org/officeDocument/2006/relationships/hyperlink" Target="about:blank" TargetMode="External"/><Relationship Id="rId403" Type="http://schemas.openxmlformats.org/officeDocument/2006/relationships/hyperlink" Target="https://www.rsssf.org/colours/spain.html" TargetMode="External"/><Relationship Id="rId887" Type="http://schemas.openxmlformats.org/officeDocument/2006/relationships/hyperlink" Target="https://it.wikipedia.org/wiki/Unione_Sportiva_Pianese" TargetMode="External"/><Relationship Id="rId402" Type="http://schemas.openxmlformats.org/officeDocument/2006/relationships/hyperlink" Target="about:blank" TargetMode="External"/><Relationship Id="rId886" Type="http://schemas.openxmlformats.org/officeDocument/2006/relationships/hyperlink" Target="about:blank" TargetMode="External"/><Relationship Id="rId401" Type="http://schemas.openxmlformats.org/officeDocument/2006/relationships/hyperlink" Target="https://www.laliga.com/en-GB/laliga-hypermotion/clubs" TargetMode="External"/><Relationship Id="rId885" Type="http://schemas.openxmlformats.org/officeDocument/2006/relationships/hyperlink" Target="https://it.blastingnews.com/calcio/2026/07/ultimora-serie-c-svelati-i-gironi-ufficiali-2026-27-004083523.html" TargetMode="External"/><Relationship Id="rId408" Type="http://schemas.openxmlformats.org/officeDocument/2006/relationships/hyperlink" Target="about:blank" TargetMode="External"/><Relationship Id="rId407" Type="http://schemas.openxmlformats.org/officeDocument/2006/relationships/hyperlink" Target="https://www.rsssf.org/colours/spain.html" TargetMode="External"/><Relationship Id="rId406" Type="http://schemas.openxmlformats.org/officeDocument/2006/relationships/hyperlink" Target="about:blank" TargetMode="External"/><Relationship Id="rId405" Type="http://schemas.openxmlformats.org/officeDocument/2006/relationships/hyperlink" Target="https://www.laliga.com/en-GB/laliga-hypermotion/clubs" TargetMode="External"/><Relationship Id="rId889" Type="http://schemas.openxmlformats.org/officeDocument/2006/relationships/hyperlink" Target="https://it.blastingnews.com/calcio/2026/07/ultimora-serie-c-svelati-i-gironi-ufficiali-2026-27-004083523.html" TargetMode="External"/><Relationship Id="rId880" Type="http://schemas.openxmlformats.org/officeDocument/2006/relationships/hyperlink" Target="about:blank" TargetMode="External"/><Relationship Id="rId2560" Type="http://schemas.openxmlformats.org/officeDocument/2006/relationships/hyperlink" Target="about:blank" TargetMode="External"/><Relationship Id="rId1230" Type="http://schemas.openxmlformats.org/officeDocument/2006/relationships/hyperlink" Target="about:blank" TargetMode="External"/><Relationship Id="rId256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00" Type="http://schemas.openxmlformats.org/officeDocument/2006/relationships/hyperlink" Target="about:blank" TargetMode="External"/><Relationship Id="rId884" Type="http://schemas.openxmlformats.org/officeDocument/2006/relationships/hyperlink" Target="about:blank" TargetMode="External"/><Relationship Id="rId1231" Type="http://schemas.openxmlformats.org/officeDocument/2006/relationships/hyperlink" Target="https://www.rsssf.org/colours/france.html" TargetMode="External"/><Relationship Id="rId2562" Type="http://schemas.openxmlformats.org/officeDocument/2006/relationships/hyperlink" Target="about:blank" TargetMode="External"/><Relationship Id="rId883" Type="http://schemas.openxmlformats.org/officeDocument/2006/relationships/hyperlink" Target="https://www.rsssf.org/colours/italy.html" TargetMode="External"/><Relationship Id="rId1232" Type="http://schemas.openxmlformats.org/officeDocument/2006/relationships/hyperlink" Target="about:blank" TargetMode="External"/><Relationship Id="rId2563" Type="http://schemas.openxmlformats.org/officeDocument/2006/relationships/hyperlink" Target="https://www.rsssf.org/colours/belgium.html" TargetMode="External"/><Relationship Id="rId882" Type="http://schemas.openxmlformats.org/officeDocument/2006/relationships/hyperlink" Target="about:blank" TargetMode="External"/><Relationship Id="rId1233" Type="http://schemas.openxmlformats.org/officeDocument/2006/relationships/hyperlink" Target="https://ligue1.com/en/articles/l1_article_5292-the-2026-27-ligue-1-mc-donald-s-calendar-is-released" TargetMode="External"/><Relationship Id="rId2564" Type="http://schemas.openxmlformats.org/officeDocument/2006/relationships/hyperlink" Target="about:blank" TargetMode="External"/><Relationship Id="rId881" Type="http://schemas.openxmlformats.org/officeDocument/2006/relationships/hyperlink" Target="https://it.blastingnews.com/calcio/2026/07/ultimora-serie-c-svelati-i-gironi-ufficiali-2026-27-004083523.html" TargetMode="External"/><Relationship Id="rId1234" Type="http://schemas.openxmlformats.org/officeDocument/2006/relationships/hyperlink" Target="about:blank" TargetMode="External"/><Relationship Id="rId256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24" Type="http://schemas.openxmlformats.org/officeDocument/2006/relationships/hyperlink" Target="about:blank" TargetMode="External"/><Relationship Id="rId2555" Type="http://schemas.openxmlformats.org/officeDocument/2006/relationships/hyperlink" Target="https://www.the-sports.org/football-soccer-fk-bodoglimt-results-identity-equ1291.html" TargetMode="External"/><Relationship Id="rId1225" Type="http://schemas.openxmlformats.org/officeDocument/2006/relationships/hyperlink" Target="https://ligue1.com/en/articles/l1_article_5292-the-2026-27-ligue-1-mc-donald-s-calendar-is-released" TargetMode="External"/><Relationship Id="rId2556" Type="http://schemas.openxmlformats.org/officeDocument/2006/relationships/hyperlink" Target="about:blank" TargetMode="External"/><Relationship Id="rId1226" Type="http://schemas.openxmlformats.org/officeDocument/2006/relationships/hyperlink" Target="about:blank" TargetMode="External"/><Relationship Id="rId255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27" Type="http://schemas.openxmlformats.org/officeDocument/2006/relationships/hyperlink" Target="https://www.rsssf.org/colours/france.html" TargetMode="External"/><Relationship Id="rId2558" Type="http://schemas.openxmlformats.org/officeDocument/2006/relationships/hyperlink" Target="about:blank" TargetMode="External"/><Relationship Id="rId1228" Type="http://schemas.openxmlformats.org/officeDocument/2006/relationships/hyperlink" Target="about:blank" TargetMode="External"/><Relationship Id="rId2559" Type="http://schemas.openxmlformats.org/officeDocument/2006/relationships/hyperlink" Target="https://www.rsssf.org/colours/germany.html" TargetMode="External"/><Relationship Id="rId1229" Type="http://schemas.openxmlformats.org/officeDocument/2006/relationships/hyperlink" Target="https://ligue1.com/en/articles/l1_article_5292-the-2026-27-ligue-1-mc-donald-s-calendar-is-released" TargetMode="External"/><Relationship Id="rId877" Type="http://schemas.openxmlformats.org/officeDocument/2006/relationships/hyperlink" Target="https://it.blastingnews.com/calcio/2026/07/ultimora-serie-c-svelati-i-gironi-ufficiali-2026-27-004083523.html" TargetMode="External"/><Relationship Id="rId876" Type="http://schemas.openxmlformats.org/officeDocument/2006/relationships/hyperlink" Target="about:blank" TargetMode="External"/><Relationship Id="rId875" Type="http://schemas.openxmlformats.org/officeDocument/2006/relationships/hyperlink" Target="https://it.wikipedia.org/wiki/Associazione_Sportiva_Ostia_Mare_Lido_Calcio" TargetMode="External"/><Relationship Id="rId874" Type="http://schemas.openxmlformats.org/officeDocument/2006/relationships/hyperlink" Target="about:blank" TargetMode="External"/><Relationship Id="rId879" Type="http://schemas.openxmlformats.org/officeDocument/2006/relationships/hyperlink" Target="https://www.rsssf.org/colours/italy.html" TargetMode="External"/><Relationship Id="rId878" Type="http://schemas.openxmlformats.org/officeDocument/2006/relationships/hyperlink" Target="about:blank" TargetMode="External"/><Relationship Id="rId2550" Type="http://schemas.openxmlformats.org/officeDocument/2006/relationships/hyperlink" Target="about:blank" TargetMode="External"/><Relationship Id="rId873" Type="http://schemas.openxmlformats.org/officeDocument/2006/relationships/hyperlink" Target="https://it.blastingnews.com/calcio/2026/07/ultimora-serie-c-svelati-i-gironi-ufficiali-2026-27-004083523.html" TargetMode="External"/><Relationship Id="rId1220" Type="http://schemas.openxmlformats.org/officeDocument/2006/relationships/hyperlink" Target="about:blank" TargetMode="External"/><Relationship Id="rId2551" Type="http://schemas.openxmlformats.org/officeDocument/2006/relationships/hyperlink" Target="https://www.rsssf.org/colours/germany.html" TargetMode="External"/><Relationship Id="rId872" Type="http://schemas.openxmlformats.org/officeDocument/2006/relationships/hyperlink" Target="about:blank" TargetMode="External"/><Relationship Id="rId1221" Type="http://schemas.openxmlformats.org/officeDocument/2006/relationships/hyperlink" Target="https://www.dfb.de/news/teilnehmerfeld-der-3-liga-steht-fest-havelse-rueckt-fuer-1860-nach" TargetMode="External"/><Relationship Id="rId2552" Type="http://schemas.openxmlformats.org/officeDocument/2006/relationships/hyperlink" Target="about:blank" TargetMode="External"/><Relationship Id="rId871" Type="http://schemas.openxmlformats.org/officeDocument/2006/relationships/hyperlink" Target="https://www.rsssf.org/colours/italy.html" TargetMode="External"/><Relationship Id="rId1222" Type="http://schemas.openxmlformats.org/officeDocument/2006/relationships/hyperlink" Target="about:blank" TargetMode="External"/><Relationship Id="rId255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70" Type="http://schemas.openxmlformats.org/officeDocument/2006/relationships/hyperlink" Target="about:blank" TargetMode="External"/><Relationship Id="rId1223" Type="http://schemas.openxmlformats.org/officeDocument/2006/relationships/hyperlink" Target="https://de.wikipedia.org/wiki/W%C3%BCrzburger_Kickers" TargetMode="External"/><Relationship Id="rId2554" Type="http://schemas.openxmlformats.org/officeDocument/2006/relationships/hyperlink" Target="about:blank" TargetMode="External"/><Relationship Id="rId1653" Type="http://schemas.openxmlformats.org/officeDocument/2006/relationships/hyperlink" Target="https://www.flashscore.ro/stiri/fotbal-liga-3-2026-2027-serii-echipe-program/Qkhurfcc/" TargetMode="External"/><Relationship Id="rId2500" Type="http://schemas.openxmlformats.org/officeDocument/2006/relationships/hyperlink" Target="https://fi.wikipedia.org/wiki/Kuopion_Palloseura" TargetMode="External"/><Relationship Id="rId1654" Type="http://schemas.openxmlformats.org/officeDocument/2006/relationships/hyperlink" Target="about:blank" TargetMode="External"/><Relationship Id="rId2501" Type="http://schemas.openxmlformats.org/officeDocument/2006/relationships/hyperlink" Target="about:blank" TargetMode="External"/><Relationship Id="rId1655" Type="http://schemas.openxmlformats.org/officeDocument/2006/relationships/hyperlink" Target="https://en.wikipedia.org/wiki/Sepsi_OSK_Sf%C3%A2ntu_Gheorghe" TargetMode="External"/><Relationship Id="rId2502" Type="http://schemas.openxmlformats.org/officeDocument/2006/relationships/hyperlink" Target="https://www.palloliitto.fi/ajankohtaista/ykkosen-jatkosarjojen-ohjelma-kaudelle-2026-julkaistu" TargetMode="External"/><Relationship Id="rId1656" Type="http://schemas.openxmlformats.org/officeDocument/2006/relationships/hyperlink" Target="about:blank" TargetMode="External"/><Relationship Id="rId2503" Type="http://schemas.openxmlformats.org/officeDocument/2006/relationships/hyperlink" Target="about:blank" TargetMode="External"/><Relationship Id="rId1657" Type="http://schemas.openxmlformats.org/officeDocument/2006/relationships/hyperlink" Target="https://www.flashscore.ro/stiri/fotbal-liga-3-2026-2027-serii-echipe-program/Qkhurfcc/" TargetMode="External"/><Relationship Id="rId2504" Type="http://schemas.openxmlformats.org/officeDocument/2006/relationships/hyperlink" Target="https://www.the-sports.org/football-soccer-ols-oulu-results-identity-equ49839.html" TargetMode="External"/><Relationship Id="rId1658" Type="http://schemas.openxmlformats.org/officeDocument/2006/relationships/hyperlink" Target="about:blank" TargetMode="External"/><Relationship Id="rId2505" Type="http://schemas.openxmlformats.org/officeDocument/2006/relationships/hyperlink" Target="about:blank" TargetMode="External"/><Relationship Id="rId1659" Type="http://schemas.openxmlformats.org/officeDocument/2006/relationships/hyperlink" Target="about:blank" TargetMode="External"/><Relationship Id="rId2506" Type="http://schemas.openxmlformats.org/officeDocument/2006/relationships/hyperlink" Target="https://www.palloliitto.fi/ajankohtaista/ykkosen-jatkosarjojen-ohjelma-kaudelle-2026-julkaistu" TargetMode="External"/><Relationship Id="rId2507" Type="http://schemas.openxmlformats.org/officeDocument/2006/relationships/hyperlink" Target="about:blank" TargetMode="External"/><Relationship Id="rId2508" Type="http://schemas.openxmlformats.org/officeDocument/2006/relationships/hyperlink" Target="about:blank" TargetMode="External"/><Relationship Id="rId829" Type="http://schemas.openxmlformats.org/officeDocument/2006/relationships/hyperlink" Target="https://it.blastingnews.com/calcio/2026/07/ultimora-serie-c-svelati-i-gironi-ufficiali-2026-27-004083523.html" TargetMode="External"/><Relationship Id="rId2509" Type="http://schemas.openxmlformats.org/officeDocument/2006/relationships/hyperlink" Target="https://www.palloliitto.fi/ajankohtaista/ykkosen-jatkosarjojen-ohjelma-kaudelle-2026-julkaistu" TargetMode="External"/><Relationship Id="rId828" Type="http://schemas.openxmlformats.org/officeDocument/2006/relationships/hyperlink" Target="about:blank" TargetMode="External"/><Relationship Id="rId827" Type="http://schemas.openxmlformats.org/officeDocument/2006/relationships/hyperlink" Target="https://it.wikipedia.org/wiki/Associazione_Calcio_Renate" TargetMode="External"/><Relationship Id="rId822" Type="http://schemas.openxmlformats.org/officeDocument/2006/relationships/hyperlink" Target="about:blank" TargetMode="External"/><Relationship Id="rId821" Type="http://schemas.openxmlformats.org/officeDocument/2006/relationships/hyperlink" Target="https://it.blastingnews.com/calcio/2026/07/ultimora-serie-c-svelati-i-gironi-ufficiali-2026-27-004083523.html" TargetMode="External"/><Relationship Id="rId820" Type="http://schemas.openxmlformats.org/officeDocument/2006/relationships/hyperlink" Target="about:blank" TargetMode="External"/><Relationship Id="rId826" Type="http://schemas.openxmlformats.org/officeDocument/2006/relationships/hyperlink" Target="about:blank" TargetMode="External"/><Relationship Id="rId825" Type="http://schemas.openxmlformats.org/officeDocument/2006/relationships/hyperlink" Target="https://it.blastingnews.com/calcio/2026/07/ultimora-serie-c-svelati-i-gironi-ufficiali-2026-27-004083523.html" TargetMode="External"/><Relationship Id="rId824" Type="http://schemas.openxmlformats.org/officeDocument/2006/relationships/hyperlink" Target="about:blank" TargetMode="External"/><Relationship Id="rId823" Type="http://schemas.openxmlformats.org/officeDocument/2006/relationships/hyperlink" Target="https://it.wikipedia.org/wiki/Football_Club_Pro_Vercelli_1892" TargetMode="External"/><Relationship Id="rId1650" Type="http://schemas.openxmlformats.org/officeDocument/2006/relationships/hyperlink" Target="https://www.flashscore.ro/stiri/fotbal-liga-3-2026-2027-serii-echipe-program/Qkhurfcc/" TargetMode="External"/><Relationship Id="rId1651" Type="http://schemas.openxmlformats.org/officeDocument/2006/relationships/hyperlink" Target="about:blank" TargetMode="External"/><Relationship Id="rId1652" Type="http://schemas.openxmlformats.org/officeDocument/2006/relationships/hyperlink" Target="about:blank" TargetMode="External"/><Relationship Id="rId1642" Type="http://schemas.openxmlformats.org/officeDocument/2006/relationships/hyperlink" Target="about:blank" TargetMode="External"/><Relationship Id="rId1643" Type="http://schemas.openxmlformats.org/officeDocument/2006/relationships/hyperlink" Target="about:blank" TargetMode="External"/><Relationship Id="rId1644" Type="http://schemas.openxmlformats.org/officeDocument/2006/relationships/hyperlink" Target="https://www.flashscore.ro/stiri/fotbal-liga-3-2026-2027-serii-echipe-program/Qkhurfcc/" TargetMode="External"/><Relationship Id="rId1645" Type="http://schemas.openxmlformats.org/officeDocument/2006/relationships/hyperlink" Target="about:blank" TargetMode="External"/><Relationship Id="rId1646" Type="http://schemas.openxmlformats.org/officeDocument/2006/relationships/hyperlink" Target="about:blank" TargetMode="External"/><Relationship Id="rId1647" Type="http://schemas.openxmlformats.org/officeDocument/2006/relationships/hyperlink" Target="https://www.flashscore.ro/stiri/fotbal-liga-3-2026-2027-serii-echipe-program/Qkhurfcc/" TargetMode="External"/><Relationship Id="rId1648" Type="http://schemas.openxmlformats.org/officeDocument/2006/relationships/hyperlink" Target="about:blank" TargetMode="External"/><Relationship Id="rId1649" Type="http://schemas.openxmlformats.org/officeDocument/2006/relationships/hyperlink" Target="about:blank" TargetMode="External"/><Relationship Id="rId819" Type="http://schemas.openxmlformats.org/officeDocument/2006/relationships/hyperlink" Target="https://it.wikipedia.org/wiki/Unione_Sportiva_Pergolettese_1932" TargetMode="External"/><Relationship Id="rId818" Type="http://schemas.openxmlformats.org/officeDocument/2006/relationships/hyperlink" Target="about:blank" TargetMode="External"/><Relationship Id="rId817" Type="http://schemas.openxmlformats.org/officeDocument/2006/relationships/hyperlink" Target="https://it.blastingnews.com/calcio/2026/07/ultimora-serie-c-svelati-i-gironi-ufficiali-2026-27-004083523.html" TargetMode="External"/><Relationship Id="rId816" Type="http://schemas.openxmlformats.org/officeDocument/2006/relationships/hyperlink" Target="about:blank" TargetMode="External"/><Relationship Id="rId811" Type="http://schemas.openxmlformats.org/officeDocument/2006/relationships/hyperlink" Target="https://it.wikipedia.org/wiki/Novara_Football_Club" TargetMode="External"/><Relationship Id="rId810" Type="http://schemas.openxmlformats.org/officeDocument/2006/relationships/hyperlink" Target="about:blank" TargetMode="External"/><Relationship Id="rId815" Type="http://schemas.openxmlformats.org/officeDocument/2006/relationships/hyperlink" Target="https://it.wikipedia.org/wiki/Associazione_Calcio_Ospitaletto" TargetMode="External"/><Relationship Id="rId814" Type="http://schemas.openxmlformats.org/officeDocument/2006/relationships/hyperlink" Target="about:blank" TargetMode="External"/><Relationship Id="rId813" Type="http://schemas.openxmlformats.org/officeDocument/2006/relationships/hyperlink" Target="https://it.blastingnews.com/calcio/2026/07/ultimora-serie-c-svelati-i-gironi-ufficiali-2026-27-004083523.html" TargetMode="External"/><Relationship Id="rId812" Type="http://schemas.openxmlformats.org/officeDocument/2006/relationships/hyperlink" Target="about:blank" TargetMode="External"/><Relationship Id="rId1640" Type="http://schemas.openxmlformats.org/officeDocument/2006/relationships/hyperlink" Target="about:blank" TargetMode="External"/><Relationship Id="rId1641" Type="http://schemas.openxmlformats.org/officeDocument/2006/relationships/hyperlink" Target="https://www.flashscore.ro/stiri/fotbal-liga-3-2026-2027-serii-echipe-program/Qkhurfcc/" TargetMode="External"/><Relationship Id="rId1675" Type="http://schemas.openxmlformats.org/officeDocument/2006/relationships/hyperlink" Target="https://www.flashscore.ro/stiri/fotbal-liga-3-2026-2027-serii-echipe-program/Qkhurfcc/" TargetMode="External"/><Relationship Id="rId2522" Type="http://schemas.openxmlformats.org/officeDocument/2006/relationships/hyperlink" Target="about:blank" TargetMode="External"/><Relationship Id="rId1676" Type="http://schemas.openxmlformats.org/officeDocument/2006/relationships/hyperlink" Target="about:blank" TargetMode="External"/><Relationship Id="rId2523" Type="http://schemas.openxmlformats.org/officeDocument/2006/relationships/hyperlink" Target="https://fi.wikipedia.org/wiki/Tampereen_Pallo-Veikot" TargetMode="External"/><Relationship Id="rId1677" Type="http://schemas.openxmlformats.org/officeDocument/2006/relationships/hyperlink" Target="about:blank" TargetMode="External"/><Relationship Id="rId2524" Type="http://schemas.openxmlformats.org/officeDocument/2006/relationships/hyperlink" Target="about:blank" TargetMode="External"/><Relationship Id="rId1678" Type="http://schemas.openxmlformats.org/officeDocument/2006/relationships/hyperlink" Target="https://www.flashscore.ro/stiri/fotbal-liga-3-2026-2027-serii-echipe-program/Qkhurfcc/" TargetMode="External"/><Relationship Id="rId2525" Type="http://schemas.openxmlformats.org/officeDocument/2006/relationships/hyperlink" Target="https://www.palloliitto.fi/ajankohtaista/ykkosen-jatkosarjojen-ohjelma-kaudelle-2026-julkaistu" TargetMode="External"/><Relationship Id="rId1679" Type="http://schemas.openxmlformats.org/officeDocument/2006/relationships/hyperlink" Target="about:blank" TargetMode="External"/><Relationship Id="rId2526" Type="http://schemas.openxmlformats.org/officeDocument/2006/relationships/hyperlink" Target="about:blank" TargetMode="External"/><Relationship Id="rId2527" Type="http://schemas.openxmlformats.org/officeDocument/2006/relationships/hyperlink" Target="https://vjs.fi/etusivu/seuravaatteet/" TargetMode="External"/><Relationship Id="rId2528" Type="http://schemas.openxmlformats.org/officeDocument/2006/relationships/hyperlink" Target="about:blank" TargetMode="External"/><Relationship Id="rId252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49" Type="http://schemas.openxmlformats.org/officeDocument/2006/relationships/hyperlink" Target="https://it.blastingnews.com/calcio/2026/07/ultimora-serie-c-svelati-i-gironi-ufficiali-2026-27-004083523.html" TargetMode="External"/><Relationship Id="rId844" Type="http://schemas.openxmlformats.org/officeDocument/2006/relationships/hyperlink" Target="about:blank" TargetMode="External"/><Relationship Id="rId843" Type="http://schemas.openxmlformats.org/officeDocument/2006/relationships/hyperlink" Target="https://www.rsssf.org/colours/italy.html" TargetMode="External"/><Relationship Id="rId842" Type="http://schemas.openxmlformats.org/officeDocument/2006/relationships/hyperlink" Target="about:blank" TargetMode="External"/><Relationship Id="rId841" Type="http://schemas.openxmlformats.org/officeDocument/2006/relationships/hyperlink" Target="https://it.blastingnews.com/calcio/2026/07/ultimora-serie-c-svelati-i-gironi-ufficiali-2026-27-004083523.html" TargetMode="External"/><Relationship Id="rId848" Type="http://schemas.openxmlformats.org/officeDocument/2006/relationships/hyperlink" Target="about:blank" TargetMode="External"/><Relationship Id="rId847" Type="http://schemas.openxmlformats.org/officeDocument/2006/relationships/hyperlink" Target="https://it.wikipedia.org/wiki/Campobasso_Football_Club" TargetMode="External"/><Relationship Id="rId846" Type="http://schemas.openxmlformats.org/officeDocument/2006/relationships/hyperlink" Target="about:blank" TargetMode="External"/><Relationship Id="rId845" Type="http://schemas.openxmlformats.org/officeDocument/2006/relationships/hyperlink" Target="https://it.blastingnews.com/calcio/2026/07/ultimora-serie-c-svelati-i-gironi-ufficiali-2026-27-004083523.html" TargetMode="External"/><Relationship Id="rId1670" Type="http://schemas.openxmlformats.org/officeDocument/2006/relationships/hyperlink" Target="about:blank" TargetMode="External"/><Relationship Id="rId840" Type="http://schemas.openxmlformats.org/officeDocument/2006/relationships/hyperlink" Target="about:blank" TargetMode="External"/><Relationship Id="rId1671" Type="http://schemas.openxmlformats.org/officeDocument/2006/relationships/hyperlink" Target="about:blank" TargetMode="External"/><Relationship Id="rId1672" Type="http://schemas.openxmlformats.org/officeDocument/2006/relationships/hyperlink" Target="https://www.flashscore.ro/stiri/fotbal-liga-3-2026-2027-serii-echipe-program/Qkhurfcc/" TargetMode="External"/><Relationship Id="rId1673" Type="http://schemas.openxmlformats.org/officeDocument/2006/relationships/hyperlink" Target="about:blank" TargetMode="External"/><Relationship Id="rId2520" Type="http://schemas.openxmlformats.org/officeDocument/2006/relationships/hyperlink" Target="about:blank" TargetMode="External"/><Relationship Id="rId1674" Type="http://schemas.openxmlformats.org/officeDocument/2006/relationships/hyperlink" Target="about:blank" TargetMode="External"/><Relationship Id="rId2521" Type="http://schemas.openxmlformats.org/officeDocument/2006/relationships/hyperlink" Target="https://www.palloliitto.fi/ajankohtaista/ykkosen-jatkosarjojen-ohjelma-kaudelle-2026-julkaistu" TargetMode="External"/><Relationship Id="rId1664" Type="http://schemas.openxmlformats.org/officeDocument/2006/relationships/hyperlink" Target="about:blank" TargetMode="External"/><Relationship Id="rId2511" Type="http://schemas.openxmlformats.org/officeDocument/2006/relationships/hyperlink" Target="https://www.the-sports.org/football-soccer-rovaniemi-rops-results-identity-equ7363.html" TargetMode="External"/><Relationship Id="rId1665" Type="http://schemas.openxmlformats.org/officeDocument/2006/relationships/hyperlink" Target="about:blank" TargetMode="External"/><Relationship Id="rId2512" Type="http://schemas.openxmlformats.org/officeDocument/2006/relationships/hyperlink" Target="about:blank" TargetMode="External"/><Relationship Id="rId1666" Type="http://schemas.openxmlformats.org/officeDocument/2006/relationships/hyperlink" Target="https://www.flashscore.ro/stiri/fotbal-liga-3-2026-2027-serii-echipe-program/Qkhurfcc/" TargetMode="External"/><Relationship Id="rId2513" Type="http://schemas.openxmlformats.org/officeDocument/2006/relationships/hyperlink" Target="https://www.palloliitto.fi/ajankohtaista/ykkosen-jatkosarjojen-ohjelma-kaudelle-2026-julkaistu" TargetMode="External"/><Relationship Id="rId1667" Type="http://schemas.openxmlformats.org/officeDocument/2006/relationships/hyperlink" Target="about:blank" TargetMode="External"/><Relationship Id="rId2514" Type="http://schemas.openxmlformats.org/officeDocument/2006/relationships/hyperlink" Target="about:blank" TargetMode="External"/><Relationship Id="rId1668" Type="http://schemas.openxmlformats.org/officeDocument/2006/relationships/hyperlink" Target="about:blank" TargetMode="External"/><Relationship Id="rId2515" Type="http://schemas.openxmlformats.org/officeDocument/2006/relationships/hyperlink" Target="https://fi.wikipedia.org/wiki/Salon_Palloilijat" TargetMode="External"/><Relationship Id="rId1669" Type="http://schemas.openxmlformats.org/officeDocument/2006/relationships/hyperlink" Target="https://www.flashscore.ro/stiri/fotbal-liga-3-2026-2027-serii-echipe-program/Qkhurfcc/" TargetMode="External"/><Relationship Id="rId2516" Type="http://schemas.openxmlformats.org/officeDocument/2006/relationships/hyperlink" Target="about:blank" TargetMode="External"/><Relationship Id="rId2517" Type="http://schemas.openxmlformats.org/officeDocument/2006/relationships/hyperlink" Target="https://www.palloliitto.fi/ajankohtaista/ykkosen-jatkosarjojen-ohjelma-kaudelle-2026-julkaistu" TargetMode="External"/><Relationship Id="rId2518" Type="http://schemas.openxmlformats.org/officeDocument/2006/relationships/hyperlink" Target="about:blank" TargetMode="External"/><Relationship Id="rId2519" Type="http://schemas.openxmlformats.org/officeDocument/2006/relationships/hyperlink" Target="https://fr.wikipedia.org/wiki/Tampere_United" TargetMode="External"/><Relationship Id="rId839" Type="http://schemas.openxmlformats.org/officeDocument/2006/relationships/hyperlink" Target="https://it.wikipedia.org/wiki/Union_Brescia" TargetMode="External"/><Relationship Id="rId838" Type="http://schemas.openxmlformats.org/officeDocument/2006/relationships/hyperlink" Target="about:blank" TargetMode="External"/><Relationship Id="rId833" Type="http://schemas.openxmlformats.org/officeDocument/2006/relationships/hyperlink" Target="https://it.blastingnews.com/calcio/2026/07/ultimora-serie-c-svelati-i-gironi-ufficiali-2026-27-004083523.html" TargetMode="External"/><Relationship Id="rId832" Type="http://schemas.openxmlformats.org/officeDocument/2006/relationships/hyperlink" Target="about:blank" TargetMode="External"/><Relationship Id="rId831" Type="http://schemas.openxmlformats.org/officeDocument/2006/relationships/hyperlink" Target="https://it.wikipedia.org/wiki/Associazione_Calcio_Trento_1921" TargetMode="External"/><Relationship Id="rId830" Type="http://schemas.openxmlformats.org/officeDocument/2006/relationships/hyperlink" Target="about:blank" TargetMode="External"/><Relationship Id="rId837" Type="http://schemas.openxmlformats.org/officeDocument/2006/relationships/hyperlink" Target="https://it.blastingnews.com/calcio/2026/07/ultimora-serie-c-svelati-i-gironi-ufficiali-2026-27-004083523.html" TargetMode="External"/><Relationship Id="rId836" Type="http://schemas.openxmlformats.org/officeDocument/2006/relationships/hyperlink" Target="about:blank" TargetMode="External"/><Relationship Id="rId835" Type="http://schemas.openxmlformats.org/officeDocument/2006/relationships/hyperlink" Target="https://www.rsssf.org/colours/italy.html" TargetMode="External"/><Relationship Id="rId834" Type="http://schemas.openxmlformats.org/officeDocument/2006/relationships/hyperlink" Target="about:blank" TargetMode="External"/><Relationship Id="rId1660" Type="http://schemas.openxmlformats.org/officeDocument/2006/relationships/hyperlink" Target="https://www.flashscore.ro/stiri/fotbal-liga-3-2026-2027-serii-echipe-program/Qkhurfcc/" TargetMode="External"/><Relationship Id="rId1661" Type="http://schemas.openxmlformats.org/officeDocument/2006/relationships/hyperlink" Target="about:blank" TargetMode="External"/><Relationship Id="rId1662" Type="http://schemas.openxmlformats.org/officeDocument/2006/relationships/hyperlink" Target="about:blank" TargetMode="External"/><Relationship Id="rId1663" Type="http://schemas.openxmlformats.org/officeDocument/2006/relationships/hyperlink" Target="https://www.flashscore.ro/stiri/fotbal-liga-3-2026-2027-serii-echipe-program/Qkhurfcc/" TargetMode="External"/><Relationship Id="rId2510" Type="http://schemas.openxmlformats.org/officeDocument/2006/relationships/hyperlink" Target="about:blank" TargetMode="External"/><Relationship Id="rId2148" Type="http://schemas.openxmlformats.org/officeDocument/2006/relationships/hyperlink" Target="https://en.wikipedia.org/wiki/2026%E2%80%9327_Gamma_Ethniki" TargetMode="External"/><Relationship Id="rId2149" Type="http://schemas.openxmlformats.org/officeDocument/2006/relationships/hyperlink" Target="about:blank" TargetMode="External"/><Relationship Id="rId469" Type="http://schemas.openxmlformats.org/officeDocument/2006/relationships/hyperlink" Target="about:blank" TargetMode="External"/><Relationship Id="rId468" Type="http://schemas.openxmlformats.org/officeDocument/2006/relationships/hyperlink" Target="https://rfef.es/es/noticias/aprobados-los-grupos-de-primera-federacion-para-la-temporada-202627" TargetMode="External"/><Relationship Id="rId467" Type="http://schemas.openxmlformats.org/officeDocument/2006/relationships/hyperlink" Target="about:blank" TargetMode="External"/><Relationship Id="rId1290" Type="http://schemas.openxmlformats.org/officeDocument/2006/relationships/hyperlink" Target="about:blank" TargetMode="External"/><Relationship Id="rId1291" Type="http://schemas.openxmlformats.org/officeDocument/2006/relationships/hyperlink" Target="https://www.rsssf.org/colours/france.html" TargetMode="External"/><Relationship Id="rId1292" Type="http://schemas.openxmlformats.org/officeDocument/2006/relationships/hyperlink" Target="about:blank" TargetMode="External"/><Relationship Id="rId462" Type="http://schemas.openxmlformats.org/officeDocument/2006/relationships/hyperlink" Target="about:blank" TargetMode="External"/><Relationship Id="rId1293" Type="http://schemas.openxmlformats.org/officeDocument/2006/relationships/hyperlink" Target="https://ligue1.com/en/articles/l1_article_5292-the-2026-27-ligue-1-mc-donald-s-calendar-is-released" TargetMode="External"/><Relationship Id="rId2140" Type="http://schemas.openxmlformats.org/officeDocument/2006/relationships/hyperlink" Target="https://en.wikipedia.org/wiki/2026%E2%80%9327_Gamma_Ethniki" TargetMode="External"/><Relationship Id="rId461" Type="http://schemas.openxmlformats.org/officeDocument/2006/relationships/hyperlink" Target="https://rfef.es/es/noticias/aprobados-los-grupos-de-primera-federacion-para-la-temporada-202627" TargetMode="External"/><Relationship Id="rId1294" Type="http://schemas.openxmlformats.org/officeDocument/2006/relationships/hyperlink" Target="about:blank" TargetMode="External"/><Relationship Id="rId2141" Type="http://schemas.openxmlformats.org/officeDocument/2006/relationships/hyperlink" Target="about:blank" TargetMode="External"/><Relationship Id="rId460" Type="http://schemas.openxmlformats.org/officeDocument/2006/relationships/hyperlink" Target="about:blank" TargetMode="External"/><Relationship Id="rId1295" Type="http://schemas.openxmlformats.org/officeDocument/2006/relationships/hyperlink" Target="https://www.rsssf.org/colours/france.html" TargetMode="External"/><Relationship Id="rId2142" Type="http://schemas.openxmlformats.org/officeDocument/2006/relationships/hyperlink" Target="https://www.rsssf.org/colours/greece.html" TargetMode="External"/><Relationship Id="rId1296" Type="http://schemas.openxmlformats.org/officeDocument/2006/relationships/hyperlink" Target="about:blank" TargetMode="External"/><Relationship Id="rId2143" Type="http://schemas.openxmlformats.org/officeDocument/2006/relationships/hyperlink" Target="about:blank" TargetMode="External"/><Relationship Id="rId466" Type="http://schemas.openxmlformats.org/officeDocument/2006/relationships/hyperlink" Target="https://fr.wikipedia.org/wiki/Cultural_y_Deportiva_Leonesa" TargetMode="External"/><Relationship Id="rId1297" Type="http://schemas.openxmlformats.org/officeDocument/2006/relationships/hyperlink" Target="https://en.wikipedia.org/wiki/2026%E2%80%9327_Ligue_2" TargetMode="External"/><Relationship Id="rId2144" Type="http://schemas.openxmlformats.org/officeDocument/2006/relationships/hyperlink" Target="https://en.wikipedia.org/wiki/2026%E2%80%9327_Gamma_Ethniki" TargetMode="External"/><Relationship Id="rId465" Type="http://schemas.openxmlformats.org/officeDocument/2006/relationships/hyperlink" Target="about:blank" TargetMode="External"/><Relationship Id="rId1298" Type="http://schemas.openxmlformats.org/officeDocument/2006/relationships/hyperlink" Target="about:blank" TargetMode="External"/><Relationship Id="rId2145" Type="http://schemas.openxmlformats.org/officeDocument/2006/relationships/hyperlink" Target="about:blank" TargetMode="External"/><Relationship Id="rId464" Type="http://schemas.openxmlformats.org/officeDocument/2006/relationships/hyperlink" Target="https://rfef.es/es/noticias/aprobados-los-grupos-de-primera-federacion-para-la-temporada-202627" TargetMode="External"/><Relationship Id="rId1299" Type="http://schemas.openxmlformats.org/officeDocument/2006/relationships/hyperlink" Target="https://www.rsssf.org/colours/france.html" TargetMode="External"/><Relationship Id="rId2146" Type="http://schemas.openxmlformats.org/officeDocument/2006/relationships/hyperlink" Target="https://www.rsssf.org/colours/greece.html" TargetMode="External"/><Relationship Id="rId463" Type="http://schemas.openxmlformats.org/officeDocument/2006/relationships/hyperlink" Target="about:blank" TargetMode="External"/><Relationship Id="rId2147" Type="http://schemas.openxmlformats.org/officeDocument/2006/relationships/hyperlink" Target="about:blank" TargetMode="External"/><Relationship Id="rId2137" Type="http://schemas.openxmlformats.org/officeDocument/2006/relationships/hyperlink" Target="https://en.wikipedia.org/wiki/2026%E2%80%9327_Gamma_Ethniki" TargetMode="External"/><Relationship Id="rId2138" Type="http://schemas.openxmlformats.org/officeDocument/2006/relationships/hyperlink" Target="about:blank" TargetMode="External"/><Relationship Id="rId2139" Type="http://schemas.openxmlformats.org/officeDocument/2006/relationships/hyperlink" Target="about:blank" TargetMode="External"/><Relationship Id="rId459" Type="http://schemas.openxmlformats.org/officeDocument/2006/relationships/hyperlink" Target="https://www.rsssf.org/colours/spain.html" TargetMode="External"/><Relationship Id="rId458" Type="http://schemas.openxmlformats.org/officeDocument/2006/relationships/hyperlink" Target="about:blank" TargetMode="External"/><Relationship Id="rId457" Type="http://schemas.openxmlformats.org/officeDocument/2006/relationships/hyperlink" Target="https://rfef.es/es/noticias/aprobados-los-grupos-de-primera-federacion-para-la-temporada-202627" TargetMode="External"/><Relationship Id="rId456" Type="http://schemas.openxmlformats.org/officeDocument/2006/relationships/hyperlink" Target="about:blank" TargetMode="External"/><Relationship Id="rId1280" Type="http://schemas.openxmlformats.org/officeDocument/2006/relationships/hyperlink" Target="about:blank" TargetMode="External"/><Relationship Id="rId1281" Type="http://schemas.openxmlformats.org/officeDocument/2006/relationships/hyperlink" Target="https://ligue1.com/en/articles/l1_article_5292-the-2026-27-ligue-1-mc-donald-s-calendar-is-released" TargetMode="External"/><Relationship Id="rId451" Type="http://schemas.openxmlformats.org/officeDocument/2006/relationships/hyperlink" Target="https://www.rsssf.org/colours/spain.html" TargetMode="External"/><Relationship Id="rId1282" Type="http://schemas.openxmlformats.org/officeDocument/2006/relationships/hyperlink" Target="about:blank" TargetMode="External"/><Relationship Id="rId450" Type="http://schemas.openxmlformats.org/officeDocument/2006/relationships/hyperlink" Target="about:blank" TargetMode="External"/><Relationship Id="rId1283" Type="http://schemas.openxmlformats.org/officeDocument/2006/relationships/hyperlink" Target="https://fr.wikipedia.org/wiki/Stade_rennais_football_club" TargetMode="External"/><Relationship Id="rId2130" Type="http://schemas.openxmlformats.org/officeDocument/2006/relationships/hyperlink" Target="about:blank" TargetMode="External"/><Relationship Id="rId1284" Type="http://schemas.openxmlformats.org/officeDocument/2006/relationships/hyperlink" Target="about:blank" TargetMode="External"/><Relationship Id="rId2131" Type="http://schemas.openxmlformats.org/officeDocument/2006/relationships/hyperlink" Target="https://en.wikipedia.org/wiki/2026%E2%80%9327_Gamma_Ethniki" TargetMode="External"/><Relationship Id="rId1285" Type="http://schemas.openxmlformats.org/officeDocument/2006/relationships/hyperlink" Target="https://ligue1.com/en/articles/l1_article_5292-the-2026-27-ligue-1-mc-donald-s-calendar-is-released" TargetMode="External"/><Relationship Id="rId2132" Type="http://schemas.openxmlformats.org/officeDocument/2006/relationships/hyperlink" Target="about:blank" TargetMode="External"/><Relationship Id="rId455" Type="http://schemas.openxmlformats.org/officeDocument/2006/relationships/hyperlink" Target="https://www.rsssf.org/colours/spain.html" TargetMode="External"/><Relationship Id="rId1286" Type="http://schemas.openxmlformats.org/officeDocument/2006/relationships/hyperlink" Target="about:blank" TargetMode="External"/><Relationship Id="rId2133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1287" Type="http://schemas.openxmlformats.org/officeDocument/2006/relationships/hyperlink" Target="https://www.rsssf.org/colours/france.html" TargetMode="External"/><Relationship Id="rId2134" Type="http://schemas.openxmlformats.org/officeDocument/2006/relationships/hyperlink" Target="https://en.wikipedia.org/wiki/2026%E2%80%9327_Gamma_Ethniki" TargetMode="External"/><Relationship Id="rId453" Type="http://schemas.openxmlformats.org/officeDocument/2006/relationships/hyperlink" Target="https://rfef.es/es/noticias/aprobados-los-grupos-de-primera-federacion-para-la-temporada-202627" TargetMode="External"/><Relationship Id="rId1288" Type="http://schemas.openxmlformats.org/officeDocument/2006/relationships/hyperlink" Target="about:blank" TargetMode="External"/><Relationship Id="rId2135" Type="http://schemas.openxmlformats.org/officeDocument/2006/relationships/hyperlink" Target="about:blank" TargetMode="External"/><Relationship Id="rId452" Type="http://schemas.openxmlformats.org/officeDocument/2006/relationships/hyperlink" Target="about:blank" TargetMode="External"/><Relationship Id="rId1289" Type="http://schemas.openxmlformats.org/officeDocument/2006/relationships/hyperlink" Target="https://ligue1.com/en/articles/l1_article_5292-the-2026-27-ligue-1-mc-donald-s-calendar-is-released" TargetMode="External"/><Relationship Id="rId2136" Type="http://schemas.openxmlformats.org/officeDocument/2006/relationships/hyperlink" Target="about:blank" TargetMode="External"/><Relationship Id="rId491" Type="http://schemas.openxmlformats.org/officeDocument/2006/relationships/hyperlink" Target="https://rfef.es/es/noticias/aprobados-los-grupos-de-primera-federacion-para-la-temporada-202627" TargetMode="External"/><Relationship Id="rId490" Type="http://schemas.openxmlformats.org/officeDocument/2006/relationships/hyperlink" Target="about:blank" TargetMode="External"/><Relationship Id="rId489" Type="http://schemas.openxmlformats.org/officeDocument/2006/relationships/hyperlink" Target="https://www.rsssf.org/colours/spain.html" TargetMode="External"/><Relationship Id="rId2160" Type="http://schemas.openxmlformats.org/officeDocument/2006/relationships/hyperlink" Target="about:blank" TargetMode="External"/><Relationship Id="rId2161" Type="http://schemas.openxmlformats.org/officeDocument/2006/relationships/hyperlink" Target="https://en.wikipedia.org/wiki/2026%E2%80%9327_Gamma_Ethniki" TargetMode="External"/><Relationship Id="rId484" Type="http://schemas.openxmlformats.org/officeDocument/2006/relationships/hyperlink" Target="https://rfef.es/es/noticias/aprobados-los-grupos-de-primera-federacion-para-la-temporada-202627" TargetMode="External"/><Relationship Id="rId2162" Type="http://schemas.openxmlformats.org/officeDocument/2006/relationships/hyperlink" Target="about:blank" TargetMode="External"/><Relationship Id="rId483" Type="http://schemas.openxmlformats.org/officeDocument/2006/relationships/hyperlink" Target="about:blank" TargetMode="External"/><Relationship Id="rId2163" Type="http://schemas.openxmlformats.org/officeDocument/2006/relationships/hyperlink" Target="about:blank" TargetMode="External"/><Relationship Id="rId482" Type="http://schemas.openxmlformats.org/officeDocument/2006/relationships/hyperlink" Target="https://www.rsssf.org/colours/spain.html" TargetMode="External"/><Relationship Id="rId2164" Type="http://schemas.openxmlformats.org/officeDocument/2006/relationships/hyperlink" Target="https://en.wikipedia.org/wiki/2026%E2%80%9327_Gamma_Ethniki" TargetMode="External"/><Relationship Id="rId481" Type="http://schemas.openxmlformats.org/officeDocument/2006/relationships/hyperlink" Target="about:blank" TargetMode="External"/><Relationship Id="rId2165" Type="http://schemas.openxmlformats.org/officeDocument/2006/relationships/hyperlink" Target="about:blank" TargetMode="External"/><Relationship Id="rId488" Type="http://schemas.openxmlformats.org/officeDocument/2006/relationships/hyperlink" Target="about:blank" TargetMode="External"/><Relationship Id="rId2166" Type="http://schemas.openxmlformats.org/officeDocument/2006/relationships/hyperlink" Target="https://www.rsssf.org/colours/greece.html" TargetMode="External"/><Relationship Id="rId487" Type="http://schemas.openxmlformats.org/officeDocument/2006/relationships/hyperlink" Target="https://rfef.es/es/noticias/aprobados-los-grupos-de-primera-federacion-para-la-temporada-202627" TargetMode="External"/><Relationship Id="rId2167" Type="http://schemas.openxmlformats.org/officeDocument/2006/relationships/hyperlink" Target="about:blank" TargetMode="External"/><Relationship Id="rId486" Type="http://schemas.openxmlformats.org/officeDocument/2006/relationships/hyperlink" Target="about:blank" TargetMode="External"/><Relationship Id="rId2168" Type="http://schemas.openxmlformats.org/officeDocument/2006/relationships/hyperlink" Target="https://en.wikipedia.org/wiki/2026%E2%80%9327_Gamma_Ethniki" TargetMode="External"/><Relationship Id="rId485" Type="http://schemas.openxmlformats.org/officeDocument/2006/relationships/hyperlink" Target="about:blank" TargetMode="External"/><Relationship Id="rId2169" Type="http://schemas.openxmlformats.org/officeDocument/2006/relationships/hyperlink" Target="about:blank" TargetMode="External"/><Relationship Id="rId2159" Type="http://schemas.openxmlformats.org/officeDocument/2006/relationships/hyperlink" Target="about:blank" TargetMode="External"/><Relationship Id="rId480" Type="http://schemas.openxmlformats.org/officeDocument/2006/relationships/hyperlink" Target="https://rfef.es/es/noticias/aprobados-los-grupos-de-primera-federacion-para-la-temporada-202627" TargetMode="External"/><Relationship Id="rId479" Type="http://schemas.openxmlformats.org/officeDocument/2006/relationships/hyperlink" Target="about:blank" TargetMode="External"/><Relationship Id="rId478" Type="http://schemas.openxmlformats.org/officeDocument/2006/relationships/hyperlink" Target="https://www.rsssf.org/colours/spain.html" TargetMode="External"/><Relationship Id="rId2150" Type="http://schemas.openxmlformats.org/officeDocument/2006/relationships/hyperlink" Target="about:blank" TargetMode="External"/><Relationship Id="rId473" Type="http://schemas.openxmlformats.org/officeDocument/2006/relationships/hyperlink" Target="about:blank" TargetMode="External"/><Relationship Id="rId2151" Type="http://schemas.openxmlformats.org/officeDocument/2006/relationships/hyperlink" Target="https://en.wikipedia.org/wiki/2026%E2%80%9327_Gamma_Ethniki" TargetMode="External"/><Relationship Id="rId472" Type="http://schemas.openxmlformats.org/officeDocument/2006/relationships/hyperlink" Target="https://rfef.es/es/noticias/aprobados-los-grupos-de-primera-federacion-para-la-temporada-202627" TargetMode="External"/><Relationship Id="rId2152" Type="http://schemas.openxmlformats.org/officeDocument/2006/relationships/hyperlink" Target="about:blank" TargetMode="External"/><Relationship Id="rId471" Type="http://schemas.openxmlformats.org/officeDocument/2006/relationships/hyperlink" Target="about:blank" TargetMode="External"/><Relationship Id="rId2153" Type="http://schemas.openxmlformats.org/officeDocument/2006/relationships/hyperlink" Target="https://www.rsssf.org/colours/greece.html" TargetMode="External"/><Relationship Id="rId470" Type="http://schemas.openxmlformats.org/officeDocument/2006/relationships/hyperlink" Target="https://www.rsssf.org/colours/spain.html" TargetMode="External"/><Relationship Id="rId2154" Type="http://schemas.openxmlformats.org/officeDocument/2006/relationships/hyperlink" Target="about:blank" TargetMode="External"/><Relationship Id="rId477" Type="http://schemas.openxmlformats.org/officeDocument/2006/relationships/hyperlink" Target="about:blank" TargetMode="External"/><Relationship Id="rId2155" Type="http://schemas.openxmlformats.org/officeDocument/2006/relationships/hyperlink" Target="https://en.wikipedia.org/wiki/2026%E2%80%9327_Gamma_Ethniki" TargetMode="External"/><Relationship Id="rId476" Type="http://schemas.openxmlformats.org/officeDocument/2006/relationships/hyperlink" Target="https://rfef.es/es/noticias/aprobados-los-grupos-de-primera-federacion-para-la-temporada-202627" TargetMode="External"/><Relationship Id="rId2156" Type="http://schemas.openxmlformats.org/officeDocument/2006/relationships/hyperlink" Target="about:blank" TargetMode="External"/><Relationship Id="rId475" Type="http://schemas.openxmlformats.org/officeDocument/2006/relationships/hyperlink" Target="about:blank" TargetMode="External"/><Relationship Id="rId2157" Type="http://schemas.openxmlformats.org/officeDocument/2006/relationships/hyperlink" Target="about:blank" TargetMode="External"/><Relationship Id="rId474" Type="http://schemas.openxmlformats.org/officeDocument/2006/relationships/hyperlink" Target="https://es.wikipedia.org/wiki/Club_Deportivo_Extremadura" TargetMode="External"/><Relationship Id="rId2158" Type="http://schemas.openxmlformats.org/officeDocument/2006/relationships/hyperlink" Target="https://en.wikipedia.org/wiki/2026%E2%80%9327_Gamma_Ethniki" TargetMode="External"/><Relationship Id="rId1257" Type="http://schemas.openxmlformats.org/officeDocument/2006/relationships/hyperlink" Target="https://ligue1.com/en/articles/l1_article_5292-the-2026-27-ligue-1-mc-donald-s-calendar-is-released" TargetMode="External"/><Relationship Id="rId2104" Type="http://schemas.openxmlformats.org/officeDocument/2006/relationships/hyperlink" Target="https://en.wikipedia.org/wiki/2026%E2%80%9327_Gamma_Ethniki" TargetMode="External"/><Relationship Id="rId2588" Type="http://schemas.openxmlformats.org/officeDocument/2006/relationships/hyperlink" Target="about:blank" TargetMode="External"/><Relationship Id="rId1258" Type="http://schemas.openxmlformats.org/officeDocument/2006/relationships/hyperlink" Target="about:blank" TargetMode="External"/><Relationship Id="rId2105" Type="http://schemas.openxmlformats.org/officeDocument/2006/relationships/hyperlink" Target="about:blank" TargetMode="External"/><Relationship Id="rId258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59" Type="http://schemas.openxmlformats.org/officeDocument/2006/relationships/hyperlink" Target="https://www.rsssf.org/colours/france.html" TargetMode="External"/><Relationship Id="rId2106" Type="http://schemas.openxmlformats.org/officeDocument/2006/relationships/hyperlink" Target="https://www.rsssf.org/colours/greece.html" TargetMode="External"/><Relationship Id="rId2107" Type="http://schemas.openxmlformats.org/officeDocument/2006/relationships/hyperlink" Target="about:blank" TargetMode="External"/><Relationship Id="rId2108" Type="http://schemas.openxmlformats.org/officeDocument/2006/relationships/hyperlink" Target="https://en.wikipedia.org/wiki/2026%E2%80%9327_Gamma_Ethniki" TargetMode="External"/><Relationship Id="rId2109" Type="http://schemas.openxmlformats.org/officeDocument/2006/relationships/hyperlink" Target="about:blank" TargetMode="External"/><Relationship Id="rId426" Type="http://schemas.openxmlformats.org/officeDocument/2006/relationships/hyperlink" Target="about:blank" TargetMode="External"/><Relationship Id="rId425" Type="http://schemas.openxmlformats.org/officeDocument/2006/relationships/hyperlink" Target="https://www.laliga.com/en-GB/laliga-hypermotion/clubs" TargetMode="External"/><Relationship Id="rId424" Type="http://schemas.openxmlformats.org/officeDocument/2006/relationships/hyperlink" Target="about:blank" TargetMode="External"/><Relationship Id="rId423" Type="http://schemas.openxmlformats.org/officeDocument/2006/relationships/hyperlink" Target="https://fr.wikipedia.org/wiki/Real_Oviedo" TargetMode="External"/><Relationship Id="rId429" Type="http://schemas.openxmlformats.org/officeDocument/2006/relationships/hyperlink" Target="https://www.laliga.com/en-GB/laliga-hypermotion/clubs" TargetMode="External"/><Relationship Id="rId428" Type="http://schemas.openxmlformats.org/officeDocument/2006/relationships/hyperlink" Target="about:blank" TargetMode="External"/><Relationship Id="rId427" Type="http://schemas.openxmlformats.org/officeDocument/2006/relationships/hyperlink" Target="https://www.rsssf.org/colours/spain.html" TargetMode="External"/><Relationship Id="rId2580" Type="http://schemas.openxmlformats.org/officeDocument/2006/relationships/hyperlink" Target="about:blank" TargetMode="External"/><Relationship Id="rId1250" Type="http://schemas.openxmlformats.org/officeDocument/2006/relationships/hyperlink" Target="about:blank" TargetMode="External"/><Relationship Id="rId258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51" Type="http://schemas.openxmlformats.org/officeDocument/2006/relationships/hyperlink" Target="https://www.rsssf.org/colours/france.html" TargetMode="External"/><Relationship Id="rId2582" Type="http://schemas.openxmlformats.org/officeDocument/2006/relationships/hyperlink" Target="about:blank" TargetMode="External"/><Relationship Id="rId1252" Type="http://schemas.openxmlformats.org/officeDocument/2006/relationships/hyperlink" Target="about:blank" TargetMode="External"/><Relationship Id="rId2583" Type="http://schemas.openxmlformats.org/officeDocument/2006/relationships/hyperlink" Target="https://www.rsssf.org/colours/italy.html" TargetMode="External"/><Relationship Id="rId422" Type="http://schemas.openxmlformats.org/officeDocument/2006/relationships/hyperlink" Target="about:blank" TargetMode="External"/><Relationship Id="rId1253" Type="http://schemas.openxmlformats.org/officeDocument/2006/relationships/hyperlink" Target="https://ligue1.com/en/articles/l1_article_5292-the-2026-27-ligue-1-mc-donald-s-calendar-is-released" TargetMode="External"/><Relationship Id="rId2100" Type="http://schemas.openxmlformats.org/officeDocument/2006/relationships/hyperlink" Target="https://en.wikipedia.org/wiki/2026%E2%80%9327_Gamma_Ethniki" TargetMode="External"/><Relationship Id="rId2584" Type="http://schemas.openxmlformats.org/officeDocument/2006/relationships/hyperlink" Target="about:blank" TargetMode="External"/><Relationship Id="rId421" Type="http://schemas.openxmlformats.org/officeDocument/2006/relationships/hyperlink" Target="https://www.laliga.com/en-GB/laliga-hypermotion/clubs" TargetMode="External"/><Relationship Id="rId1254" Type="http://schemas.openxmlformats.org/officeDocument/2006/relationships/hyperlink" Target="about:blank" TargetMode="External"/><Relationship Id="rId2101" Type="http://schemas.openxmlformats.org/officeDocument/2006/relationships/hyperlink" Target="about:blank" TargetMode="External"/><Relationship Id="rId258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20" Type="http://schemas.openxmlformats.org/officeDocument/2006/relationships/hyperlink" Target="about:blank" TargetMode="External"/><Relationship Id="rId1255" Type="http://schemas.openxmlformats.org/officeDocument/2006/relationships/hyperlink" Target="https://fr.wikipedia.org/wiki/Football_Club_Lorient" TargetMode="External"/><Relationship Id="rId2102" Type="http://schemas.openxmlformats.org/officeDocument/2006/relationships/hyperlink" Target="https://www.rsssf.org/colours/greece.html" TargetMode="External"/><Relationship Id="rId2586" Type="http://schemas.openxmlformats.org/officeDocument/2006/relationships/hyperlink" Target="about:blank" TargetMode="External"/><Relationship Id="rId1256" Type="http://schemas.openxmlformats.org/officeDocument/2006/relationships/hyperlink" Target="about:blank" TargetMode="External"/><Relationship Id="rId2103" Type="http://schemas.openxmlformats.org/officeDocument/2006/relationships/hyperlink" Target="about:blank" TargetMode="External"/><Relationship Id="rId2587" Type="http://schemas.openxmlformats.org/officeDocument/2006/relationships/hyperlink" Target="https://de.wikipedia.org/wiki/LASK" TargetMode="External"/><Relationship Id="rId1246" Type="http://schemas.openxmlformats.org/officeDocument/2006/relationships/hyperlink" Target="about:blank" TargetMode="External"/><Relationship Id="rId257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47" Type="http://schemas.openxmlformats.org/officeDocument/2006/relationships/hyperlink" Target="https://www.rsssf.org/colours/france.html" TargetMode="External"/><Relationship Id="rId2578" Type="http://schemas.openxmlformats.org/officeDocument/2006/relationships/hyperlink" Target="about:blank" TargetMode="External"/><Relationship Id="rId1248" Type="http://schemas.openxmlformats.org/officeDocument/2006/relationships/hyperlink" Target="about:blank" TargetMode="External"/><Relationship Id="rId2579" Type="http://schemas.openxmlformats.org/officeDocument/2006/relationships/hyperlink" Target="https://www.rsssf.org/colours/turkey.html" TargetMode="External"/><Relationship Id="rId1249" Type="http://schemas.openxmlformats.org/officeDocument/2006/relationships/hyperlink" Target="https://ligue1.com/en/articles/l1_article_5292-the-2026-27-ligue-1-mc-donald-s-calendar-is-released" TargetMode="External"/><Relationship Id="rId415" Type="http://schemas.openxmlformats.org/officeDocument/2006/relationships/hyperlink" Target="https://www.rsssf.org/colours/spain.html" TargetMode="External"/><Relationship Id="rId899" Type="http://schemas.openxmlformats.org/officeDocument/2006/relationships/hyperlink" Target="https://www.rsssf.org/colours/italy.html" TargetMode="External"/><Relationship Id="rId414" Type="http://schemas.openxmlformats.org/officeDocument/2006/relationships/hyperlink" Target="about:blank" TargetMode="External"/><Relationship Id="rId898" Type="http://schemas.openxmlformats.org/officeDocument/2006/relationships/hyperlink" Target="about:blank" TargetMode="External"/><Relationship Id="rId413" Type="http://schemas.openxmlformats.org/officeDocument/2006/relationships/hyperlink" Target="https://www.laliga.com/en-GB/laliga-hypermotion/clubs" TargetMode="External"/><Relationship Id="rId897" Type="http://schemas.openxmlformats.org/officeDocument/2006/relationships/hyperlink" Target="https://it.blastingnews.com/calcio/2026/07/ultimora-serie-c-svelati-i-gironi-ufficiali-2026-27-004083523.html" TargetMode="External"/><Relationship Id="rId412" Type="http://schemas.openxmlformats.org/officeDocument/2006/relationships/hyperlink" Target="about:blank" TargetMode="External"/><Relationship Id="rId896" Type="http://schemas.openxmlformats.org/officeDocument/2006/relationships/hyperlink" Target="about:blank" TargetMode="External"/><Relationship Id="rId419" Type="http://schemas.openxmlformats.org/officeDocument/2006/relationships/hyperlink" Target="https://www.rsssf.org/colours/spain.html" TargetMode="External"/><Relationship Id="rId418" Type="http://schemas.openxmlformats.org/officeDocument/2006/relationships/hyperlink" Target="about:blank" TargetMode="External"/><Relationship Id="rId417" Type="http://schemas.openxmlformats.org/officeDocument/2006/relationships/hyperlink" Target="https://www.laliga.com/en-GB/laliga-hypermotion/clubs" TargetMode="External"/><Relationship Id="rId416" Type="http://schemas.openxmlformats.org/officeDocument/2006/relationships/hyperlink" Target="about:blank" TargetMode="External"/><Relationship Id="rId891" Type="http://schemas.openxmlformats.org/officeDocument/2006/relationships/hyperlink" Target="https://it.wikipedia.org/wiki/Associazione_Sportiva_Pineto_Calcio" TargetMode="External"/><Relationship Id="rId890" Type="http://schemas.openxmlformats.org/officeDocument/2006/relationships/hyperlink" Target="about:blank" TargetMode="External"/><Relationship Id="rId2570" Type="http://schemas.openxmlformats.org/officeDocument/2006/relationships/hyperlink" Target="about:blank" TargetMode="External"/><Relationship Id="rId1240" Type="http://schemas.openxmlformats.org/officeDocument/2006/relationships/hyperlink" Target="about:blank" TargetMode="External"/><Relationship Id="rId2571" Type="http://schemas.openxmlformats.org/officeDocument/2006/relationships/hyperlink" Target="https://www.rsssf.org/colours/turkey.html" TargetMode="External"/><Relationship Id="rId1241" Type="http://schemas.openxmlformats.org/officeDocument/2006/relationships/hyperlink" Target="https://ligue1.com/en/articles/l1_article_5292-the-2026-27-ligue-1-mc-donald-s-calendar-is-released" TargetMode="External"/><Relationship Id="rId2572" Type="http://schemas.openxmlformats.org/officeDocument/2006/relationships/hyperlink" Target="about:blank" TargetMode="External"/><Relationship Id="rId411" Type="http://schemas.openxmlformats.org/officeDocument/2006/relationships/hyperlink" Target="https://www.rsssf.org/colours/spain.html" TargetMode="External"/><Relationship Id="rId895" Type="http://schemas.openxmlformats.org/officeDocument/2006/relationships/hyperlink" Target="https://www.rsssf.org/colours/italy.html" TargetMode="External"/><Relationship Id="rId1242" Type="http://schemas.openxmlformats.org/officeDocument/2006/relationships/hyperlink" Target="about:blank" TargetMode="External"/><Relationship Id="rId257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10" Type="http://schemas.openxmlformats.org/officeDocument/2006/relationships/hyperlink" Target="about:blank" TargetMode="External"/><Relationship Id="rId894" Type="http://schemas.openxmlformats.org/officeDocument/2006/relationships/hyperlink" Target="about:blank" TargetMode="External"/><Relationship Id="rId1243" Type="http://schemas.openxmlformats.org/officeDocument/2006/relationships/hyperlink" Target="https://www.rsssf.org/colours/france.html" TargetMode="External"/><Relationship Id="rId2574" Type="http://schemas.openxmlformats.org/officeDocument/2006/relationships/hyperlink" Target="about:blank" TargetMode="External"/><Relationship Id="rId893" Type="http://schemas.openxmlformats.org/officeDocument/2006/relationships/hyperlink" Target="https://it.blastingnews.com/calcio/2026/07/ultimora-serie-c-svelati-i-gironi-ufficiali-2026-27-004083523.html" TargetMode="External"/><Relationship Id="rId1244" Type="http://schemas.openxmlformats.org/officeDocument/2006/relationships/hyperlink" Target="about:blank" TargetMode="External"/><Relationship Id="rId2575" Type="http://schemas.openxmlformats.org/officeDocument/2006/relationships/hyperlink" Target="https://www.rsssf.org/colours/netherlands.html" TargetMode="External"/><Relationship Id="rId892" Type="http://schemas.openxmlformats.org/officeDocument/2006/relationships/hyperlink" Target="about:blank" TargetMode="External"/><Relationship Id="rId1245" Type="http://schemas.openxmlformats.org/officeDocument/2006/relationships/hyperlink" Target="https://ligue1.com/en/articles/l1_article_5292-the-2026-27-ligue-1-mc-donald-s-calendar-is-released" TargetMode="External"/><Relationship Id="rId2576" Type="http://schemas.openxmlformats.org/officeDocument/2006/relationships/hyperlink" Target="about:blank" TargetMode="External"/><Relationship Id="rId1279" Type="http://schemas.openxmlformats.org/officeDocument/2006/relationships/hyperlink" Target="https://www.rsssf.org/colours/france.html" TargetMode="External"/><Relationship Id="rId2126" Type="http://schemas.openxmlformats.org/officeDocument/2006/relationships/hyperlink" Target="about:blank" TargetMode="External"/><Relationship Id="rId2127" Type="http://schemas.openxmlformats.org/officeDocument/2006/relationships/hyperlink" Target="about:blank" TargetMode="External"/><Relationship Id="rId2128" Type="http://schemas.openxmlformats.org/officeDocument/2006/relationships/hyperlink" Target="https://en.wikipedia.org/wiki/2026%E2%80%9327_Gamma_Ethniki" TargetMode="External"/><Relationship Id="rId2129" Type="http://schemas.openxmlformats.org/officeDocument/2006/relationships/hyperlink" Target="about:blank" TargetMode="External"/><Relationship Id="rId448" Type="http://schemas.openxmlformats.org/officeDocument/2006/relationships/hyperlink" Target="about:blank" TargetMode="External"/><Relationship Id="rId447" Type="http://schemas.openxmlformats.org/officeDocument/2006/relationships/hyperlink" Target="https://fr.wikipedia.org/wiki/Arenas_Club_de_Getxo" TargetMode="External"/><Relationship Id="rId446" Type="http://schemas.openxmlformats.org/officeDocument/2006/relationships/hyperlink" Target="about:blank" TargetMode="External"/><Relationship Id="rId445" Type="http://schemas.openxmlformats.org/officeDocument/2006/relationships/hyperlink" Target="https://rfef.es/es/noticias/aprobados-los-grupos-de-primera-federacion-para-la-temporada-202627" TargetMode="External"/><Relationship Id="rId449" Type="http://schemas.openxmlformats.org/officeDocument/2006/relationships/hyperlink" Target="https://rfef.es/es/noticias/aprobados-los-grupos-de-primera-federacion-para-la-temporada-202627" TargetMode="External"/><Relationship Id="rId1270" Type="http://schemas.openxmlformats.org/officeDocument/2006/relationships/hyperlink" Target="about:blank" TargetMode="External"/><Relationship Id="rId440" Type="http://schemas.openxmlformats.org/officeDocument/2006/relationships/hyperlink" Target="about:blank" TargetMode="External"/><Relationship Id="rId1271" Type="http://schemas.openxmlformats.org/officeDocument/2006/relationships/hyperlink" Target="https://www.ogcnice.com/fr/article/126970/par-amour-de-lart.html" TargetMode="External"/><Relationship Id="rId1272" Type="http://schemas.openxmlformats.org/officeDocument/2006/relationships/hyperlink" Target="about:blank" TargetMode="External"/><Relationship Id="rId1273" Type="http://schemas.openxmlformats.org/officeDocument/2006/relationships/hyperlink" Target="https://ligue1.com/en/articles/l1_article_5292-the-2026-27-ligue-1-mc-donald-s-calendar-is-released" TargetMode="External"/><Relationship Id="rId2120" Type="http://schemas.openxmlformats.org/officeDocument/2006/relationships/hyperlink" Target="about:blank" TargetMode="External"/><Relationship Id="rId1274" Type="http://schemas.openxmlformats.org/officeDocument/2006/relationships/hyperlink" Target="about:blank" TargetMode="External"/><Relationship Id="rId2121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1275" Type="http://schemas.openxmlformats.org/officeDocument/2006/relationships/hyperlink" Target="https://fr.wikipedia.org/wiki/Paris_Football_Club" TargetMode="External"/><Relationship Id="rId2122" Type="http://schemas.openxmlformats.org/officeDocument/2006/relationships/hyperlink" Target="https://en.wikipedia.org/wiki/2026%E2%80%9327_Gamma_Ethniki" TargetMode="External"/><Relationship Id="rId443" Type="http://schemas.openxmlformats.org/officeDocument/2006/relationships/hyperlink" Target="https://www.rsssf.org/colours/spain.html" TargetMode="External"/><Relationship Id="rId1276" Type="http://schemas.openxmlformats.org/officeDocument/2006/relationships/hyperlink" Target="about:blank" TargetMode="External"/><Relationship Id="rId2123" Type="http://schemas.openxmlformats.org/officeDocument/2006/relationships/hyperlink" Target="about:blank" TargetMode="External"/><Relationship Id="rId442" Type="http://schemas.openxmlformats.org/officeDocument/2006/relationships/hyperlink" Target="about:blank" TargetMode="External"/><Relationship Id="rId1277" Type="http://schemas.openxmlformats.org/officeDocument/2006/relationships/hyperlink" Target="https://ligue1.com/en/articles/l1_article_5292-the-2026-27-ligue-1-mc-donald-s-calendar-is-released" TargetMode="External"/><Relationship Id="rId2124" Type="http://schemas.openxmlformats.org/officeDocument/2006/relationships/hyperlink" Target="about:blank" TargetMode="External"/><Relationship Id="rId441" Type="http://schemas.openxmlformats.org/officeDocument/2006/relationships/hyperlink" Target="https://www.laliga.com/en-GB/laliga-hypermotion/clubs" TargetMode="External"/><Relationship Id="rId1278" Type="http://schemas.openxmlformats.org/officeDocument/2006/relationships/hyperlink" Target="about:blank" TargetMode="External"/><Relationship Id="rId2125" Type="http://schemas.openxmlformats.org/officeDocument/2006/relationships/hyperlink" Target="https://en.wikipedia.org/wiki/2026%E2%80%9327_Gamma_Ethniki" TargetMode="External"/><Relationship Id="rId1268" Type="http://schemas.openxmlformats.org/officeDocument/2006/relationships/hyperlink" Target="about:blank" TargetMode="External"/><Relationship Id="rId2115" Type="http://schemas.openxmlformats.org/officeDocument/2006/relationships/hyperlink" Target="https://en.wikipedia.org/wiki/2026%E2%80%9327_Gamma_Ethniki" TargetMode="External"/><Relationship Id="rId2599" Type="http://schemas.openxmlformats.org/officeDocument/2006/relationships/hyperlink" Target="https://en.wikipedia.org/wiki/Liverpool_F.C." TargetMode="External"/><Relationship Id="rId1269" Type="http://schemas.openxmlformats.org/officeDocument/2006/relationships/hyperlink" Target="https://ligue1.com/en/articles/l1_article_5292-the-2026-27-ligue-1-mc-donald-s-calendar-is-released" TargetMode="External"/><Relationship Id="rId2116" Type="http://schemas.openxmlformats.org/officeDocument/2006/relationships/hyperlink" Target="about:blank" TargetMode="External"/><Relationship Id="rId2117" Type="http://schemas.openxmlformats.org/officeDocument/2006/relationships/hyperlink" Target="https://www.rsssf.org/colours/greece.html" TargetMode="External"/><Relationship Id="rId2118" Type="http://schemas.openxmlformats.org/officeDocument/2006/relationships/hyperlink" Target="about:blank" TargetMode="External"/><Relationship Id="rId2119" Type="http://schemas.openxmlformats.org/officeDocument/2006/relationships/hyperlink" Target="https://en.wikipedia.org/wiki/2026%E2%80%9327_Gamma_Ethniki" TargetMode="External"/><Relationship Id="rId437" Type="http://schemas.openxmlformats.org/officeDocument/2006/relationships/hyperlink" Target="https://www.laliga.com/en-GB/laliga-hypermotion/clubs" TargetMode="External"/><Relationship Id="rId436" Type="http://schemas.openxmlformats.org/officeDocument/2006/relationships/hyperlink" Target="about:blank" TargetMode="External"/><Relationship Id="rId435" Type="http://schemas.openxmlformats.org/officeDocument/2006/relationships/hyperlink" Target="https://www.rsssf.org/colours/spain.html" TargetMode="External"/><Relationship Id="rId434" Type="http://schemas.openxmlformats.org/officeDocument/2006/relationships/hyperlink" Target="about:blank" TargetMode="External"/><Relationship Id="rId439" Type="http://schemas.openxmlformats.org/officeDocument/2006/relationships/hyperlink" Target="https://www.rsssf.org/colours/spain.html" TargetMode="External"/><Relationship Id="rId438" Type="http://schemas.openxmlformats.org/officeDocument/2006/relationships/hyperlink" Target="about:blank" TargetMode="External"/><Relationship Id="rId2590" Type="http://schemas.openxmlformats.org/officeDocument/2006/relationships/hyperlink" Target="about:blank" TargetMode="External"/><Relationship Id="rId1260" Type="http://schemas.openxmlformats.org/officeDocument/2006/relationships/hyperlink" Target="about:blank" TargetMode="External"/><Relationship Id="rId2591" Type="http://schemas.openxmlformats.org/officeDocument/2006/relationships/hyperlink" Target="https://www.rsssf.org/colours/france.html" TargetMode="External"/><Relationship Id="rId1261" Type="http://schemas.openxmlformats.org/officeDocument/2006/relationships/hyperlink" Target="https://ligue1.com/en/articles/l1_article_5292-the-2026-27-ligue-1-mc-donald-s-calendar-is-released" TargetMode="External"/><Relationship Id="rId2592" Type="http://schemas.openxmlformats.org/officeDocument/2006/relationships/hyperlink" Target="about:blank" TargetMode="External"/><Relationship Id="rId1262" Type="http://schemas.openxmlformats.org/officeDocument/2006/relationships/hyperlink" Target="about:blank" TargetMode="External"/><Relationship Id="rId259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63" Type="http://schemas.openxmlformats.org/officeDocument/2006/relationships/hyperlink" Target="https://www.rsssf.org/colours/france.html" TargetMode="External"/><Relationship Id="rId2110" Type="http://schemas.openxmlformats.org/officeDocument/2006/relationships/hyperlink" Target="https://www.rsssf.org/colours/greece.html" TargetMode="External"/><Relationship Id="rId2594" Type="http://schemas.openxmlformats.org/officeDocument/2006/relationships/hyperlink" Target="about:blank" TargetMode="External"/><Relationship Id="rId433" Type="http://schemas.openxmlformats.org/officeDocument/2006/relationships/hyperlink" Target="https://www.laliga.com/en-GB/laliga-hypermotion/clubs" TargetMode="External"/><Relationship Id="rId1264" Type="http://schemas.openxmlformats.org/officeDocument/2006/relationships/hyperlink" Target="about:blank" TargetMode="External"/><Relationship Id="rId2111" Type="http://schemas.openxmlformats.org/officeDocument/2006/relationships/hyperlink" Target="about:blank" TargetMode="External"/><Relationship Id="rId2595" Type="http://schemas.openxmlformats.org/officeDocument/2006/relationships/hyperlink" Target="https://www.rsssf.org/colours/france.html" TargetMode="External"/><Relationship Id="rId432" Type="http://schemas.openxmlformats.org/officeDocument/2006/relationships/hyperlink" Target="about:blank" TargetMode="External"/><Relationship Id="rId1265" Type="http://schemas.openxmlformats.org/officeDocument/2006/relationships/hyperlink" Target="https://ligue1.com/en/articles/l1_article_5292-the-2026-27-ligue-1-mc-donald-s-calendar-is-released" TargetMode="External"/><Relationship Id="rId2112" Type="http://schemas.openxmlformats.org/officeDocument/2006/relationships/hyperlink" Target="https://en.wikipedia.org/wiki/2026%E2%80%9327_Gamma_Ethniki" TargetMode="External"/><Relationship Id="rId2596" Type="http://schemas.openxmlformats.org/officeDocument/2006/relationships/hyperlink" Target="about:blank" TargetMode="External"/><Relationship Id="rId431" Type="http://schemas.openxmlformats.org/officeDocument/2006/relationships/hyperlink" Target="https://www.rsssf.org/colours/spain.html" TargetMode="External"/><Relationship Id="rId1266" Type="http://schemas.openxmlformats.org/officeDocument/2006/relationships/hyperlink" Target="about:blank" TargetMode="External"/><Relationship Id="rId2113" Type="http://schemas.openxmlformats.org/officeDocument/2006/relationships/hyperlink" Target="about:blank" TargetMode="External"/><Relationship Id="rId259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30" Type="http://schemas.openxmlformats.org/officeDocument/2006/relationships/hyperlink" Target="about:blank" TargetMode="External"/><Relationship Id="rId1267" Type="http://schemas.openxmlformats.org/officeDocument/2006/relationships/hyperlink" Target="https://www.rsssf.org/colours/france.html" TargetMode="External"/><Relationship Id="rId2114" Type="http://schemas.openxmlformats.org/officeDocument/2006/relationships/hyperlink" Target="about:blank" TargetMode="External"/><Relationship Id="rId2598" Type="http://schemas.openxmlformats.org/officeDocument/2006/relationships/hyperlink" Target="about:blank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hyperlink" Target="https://www.premierleague.com/en/clubs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laliga.com/en-GB/laliga-easports/clubs" TargetMode="External"/><Relationship Id="rId5" Type="http://schemas.openxmlformats.org/officeDocument/2006/relationships/hyperlink" Target="https://www.efl.com/news/2026/august/22/sky-bet-championship-results--table---stats/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efl.com/competitions/efl-league-one/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en.wikipedia.org/wiki/2026%E2%80%9327_Super_League_Greece_2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en.wikipedia.org/wiki/2026%E2%80%9327_Gamma_Ethniki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veikkausliiga.com/tilastot/joukkueet/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transfermarkt.co.uk/ykkonen/startseite/wettbewerb/FI2" TargetMode="External"/><Relationship Id="rId49" Type="http://schemas.openxmlformats.org/officeDocument/2006/relationships/hyperlink" Target="https://www.palloliitto.fi/ajankohtaista/ykkosen-jatkosarjojen-ohjelma-kaudelle-2026-julkaistu" TargetMode="External"/><Relationship Id="rId31" Type="http://schemas.openxmlformats.org/officeDocument/2006/relationships/hyperlink" Target="https://www.fff.fr/article/17022-le-calendrier-2026-2027-est-servi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lpf.ro/liga-1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frf.ro/recomandate/s-a-tras-la-sorti-programul-seriilor-din-superscore-liga-3-editia-2026-2027/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slgr.gr/en/teams/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en.wikipedia.org/wiki/2026%E2%80%9327_Bundesliga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bundesliga.com/de/2bundesliga/tabelle?view=ful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dfb.de/news/teilnehmerfeld-der-3-liga-steht-fest-havelse-rueckt-fuer-1860-nach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ligue1.com/en/articles/l1_article_5292-the-2026-27-ligue-1-mc-donald-s-calendar-is-released" TargetMode="External"/><Relationship Id="rId29" Type="http://schemas.openxmlformats.org/officeDocument/2006/relationships/hyperlink" Target="https://en.wikipedia.org/wiki/2026%E2%80%9327_Ligue_2" TargetMode="External"/><Relationship Id="rId11" Type="http://schemas.openxmlformats.org/officeDocument/2006/relationships/hyperlink" Target="https://www.laliga.com/en-GB/laliga-hypermotion/clubs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rfef.es/es/noticias/aprobados-los-grupos-de-primera-federacion-para-la-temporada-202627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sport.virgilio.it/calcio/squadre/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sport.virgilio.it/calcio/squadre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it.blastingnews.com/calcio/2026/07/ultimora-serie-c-svelati-i-gironi-ufficiali-2026-27-004083523.html" TargetMode="External"/><Relationship Id="rId18" Type="http://schemas.openxmlformats.org/officeDocument/2006/relationships/hyperlink" Target="about:blank" TargetMode="External"/><Relationship Id="rId5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uefa.com/uefaeuropaleague/clubs/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54" Type="http://schemas.openxmlformats.org/officeDocument/2006/relationships/hyperlink" Target="about:blank" TargetMode="External"/><Relationship Id="rId56" Type="http://schemas.openxmlformats.org/officeDocument/2006/relationships/drawing" Target="../drawings/drawing5.xml"/><Relationship Id="rId58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premierleague.com/en/clubs" TargetMode="External"/><Relationship Id="rId5" Type="http://schemas.openxmlformats.org/officeDocument/2006/relationships/hyperlink" Target="https://www.premierleague.com/en/clubs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rsssf.org/colours/england.html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www.premierleague.com/en/clubs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england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premierleague.com/en/clubs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england.html" TargetMode="External"/><Relationship Id="rId49" Type="http://schemas.openxmlformats.org/officeDocument/2006/relationships/hyperlink" Target="https://www.premierleague.com/en/clubs" TargetMode="External"/><Relationship Id="rId31" Type="http://schemas.openxmlformats.org/officeDocument/2006/relationships/hyperlink" Target="https://en.wikipedia.org/wiki/Coventry_City_F.C.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premierleague.com/en/clubs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rsssf.org/colours/england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premierleague.com/en/clubs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england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premierleague.com/en/clubs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england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premierleague.com/en/clubs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england.html" TargetMode="External"/><Relationship Id="rId29" Type="http://schemas.openxmlformats.org/officeDocument/2006/relationships/hyperlink" Target="https://www.premierleague.com/en/clubs" TargetMode="External"/><Relationship Id="rId11" Type="http://schemas.openxmlformats.org/officeDocument/2006/relationships/hyperlink" Target="https://www.rsssf.org/colours/england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premierleague.com/en/clubs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en.wikipedia.org/wiki/AFC_Bournemouth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premierleague.com/en/clubs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en.wikipedia.org/wiki/Brentford_F.C.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england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efl.com/news/2026/august/22/sky-bet-championship-results--table---stats/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rsssf.org/colours/england.html" TargetMode="External"/><Relationship Id="rId89" Type="http://schemas.openxmlformats.org/officeDocument/2006/relationships/hyperlink" Target="https://www.efl.com/news/2026/august/22/sky-bet-championship-results--table---stats/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premierleague.com/en/clubs" TargetMode="External"/><Relationship Id="rId73" Type="http://schemas.openxmlformats.org/officeDocument/2006/relationships/hyperlink" Target="https://www.premierleague.com/en/clubs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england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premierleague.com/en/clubs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england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england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premierleague.com/en/clubs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www.rsssf.org/colours/england.html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premierleague.com/en/clubs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england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premierleague.com/en/clubs" TargetMode="External"/><Relationship Id="rId51" Type="http://schemas.openxmlformats.org/officeDocument/2006/relationships/hyperlink" Target="https://www.rsssf.org/colours/england.html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premierleague.com/en/clubs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england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www.premierleague.com/en/clubs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en.wikipedia.org/wiki/Liverpool_F.C." TargetMode="External"/><Relationship Id="rId58" Type="http://schemas.openxmlformats.org/officeDocument/2006/relationships/hyperlink" Target="about:blank" TargetMode="External"/><Relationship Id="rId95" Type="http://schemas.openxmlformats.org/officeDocument/2006/relationships/hyperlink" Target="https://en.wikipedia.org/wiki/Bolton_Wanderers_F.C.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efl.com/news/2026/august/22/sky-bet-championship-results--table---stats/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england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england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efl.com/news/2026/august/22/sky-bet-championship-results--table---stats/" TargetMode="External"/><Relationship Id="rId92" Type="http://schemas.openxmlformats.org/officeDocument/2006/relationships/hyperlink" Target="about:blank" TargetMode="External"/><Relationship Id="rId271" Type="http://schemas.openxmlformats.org/officeDocument/2006/relationships/hyperlink" Target="https://www.rsssf.org/colours/england.html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www.efl.com/competitions/efl-league-one/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en.wikipedia.org/wiki/Stevenage_F.C.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https://www.efl.com/competitions/efl-league-one/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www.rsssf.org/colours/england.html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www.efl.com/competitions/efl-league-one/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https://www.rsssf.org/colours/england.html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https://www.efl.com/competitions/efl-league-one/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www.rsssf.org/colours/england.html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https://www.efl.com/competitions/efl-league-one/" TargetMode="External"/><Relationship Id="rId256" Type="http://schemas.openxmlformats.org/officeDocument/2006/relationships/hyperlink" Target="about:blank" TargetMode="External"/><Relationship Id="rId255" Type="http://schemas.openxmlformats.org/officeDocument/2006/relationships/hyperlink" Target="https://www.rsssf.org/colours/england.html" TargetMode="External"/><Relationship Id="rId254" Type="http://schemas.openxmlformats.org/officeDocument/2006/relationships/hyperlink" Target="about:blank" TargetMode="External"/><Relationship Id="rId275" Type="http://schemas.openxmlformats.org/officeDocument/2006/relationships/hyperlink" Target="https://www.rsssf.org/colours/england.html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https://www.efl.com/competitions/efl-league-one/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table" Target="../tables/table4.xml"/><Relationship Id="rId277" Type="http://schemas.openxmlformats.org/officeDocument/2006/relationships/vmlDrawing" Target="../drawings/vmlDrawing4.vml"/><Relationship Id="rId276" Type="http://schemas.openxmlformats.org/officeDocument/2006/relationships/drawing" Target="../drawings/drawing6.xm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en.wikipedia.org/wiki/Luton_Town_F.C.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efl.com/competitions/efl-league-one/" TargetMode="External"/><Relationship Id="rId229" Type="http://schemas.openxmlformats.org/officeDocument/2006/relationships/hyperlink" Target="https://www.efl.com/competitions/efl-league-one/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www.rsssf.org/colours/england.html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efl.com/competitions/efl-league-one/" TargetMode="External"/><Relationship Id="rId217" Type="http://schemas.openxmlformats.org/officeDocument/2006/relationships/hyperlink" Target="https://www.efl.com/competitions/efl-league-one/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www.rsssf.org/colours/england.html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www.rsssf.org/colours/england.html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www.efl.com/competitions/efl-league-one/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www.rsssf.org/colours/england.html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https://www.efl.com/competitions/efl-league-one/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https://www.rsssf.org/colours/england.html" TargetMode="External"/><Relationship Id="rId242" Type="http://schemas.openxmlformats.org/officeDocument/2006/relationships/hyperlink" Target="about:blank" TargetMode="External"/><Relationship Id="rId241" Type="http://schemas.openxmlformats.org/officeDocument/2006/relationships/hyperlink" Target="https://www.efl.com/competitions/efl-league-one/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www.efl.com/competitions/efl-league-one/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https://www.football-stadiums.co.uk/articles/football-club-kit-colours/" TargetMode="External"/><Relationship Id="rId239" Type="http://schemas.openxmlformats.org/officeDocument/2006/relationships/hyperlink" Target="https://www.rsssf.org/colours/england.html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www.efl.com/competitions/efl-league-one/" TargetMode="External"/><Relationship Id="rId236" Type="http://schemas.openxmlformats.org/officeDocument/2006/relationships/hyperlink" Target="about:blank" TargetMode="External"/><Relationship Id="rId231" Type="http://schemas.openxmlformats.org/officeDocument/2006/relationships/hyperlink" Target="https://www.rsssf.org/colours/england.html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https://www.rsssf.org/colours/england.html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www.efl.com/competitions/efl-league-one/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efl.com/competitions/efl-league-one/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en.wikipedia.org/wiki/Burton_Albion_F.C." TargetMode="External"/><Relationship Id="rId209" Type="http://schemas.openxmlformats.org/officeDocument/2006/relationships/hyperlink" Target="https://www.efl.com/competitions/efl-league-one/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en.wikipedia.org/wiki/Cambridge_United_F.C.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www.efl.com/competitions/efl-league-one/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efl.com/competitions/efl-league-one/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england.html" TargetMode="External"/><Relationship Id="rId187" Type="http://schemas.openxmlformats.org/officeDocument/2006/relationships/hyperlink" Target="https://www.rsssf.org/colours/england.html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efl.com/competitions/efl-league-one/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efl.com/competitions/efl-league-one/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en.wikipedia.org/wiki/AFC_Wimbledon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efl.com/competitions/efl-league-one/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www.rsssf.org/colours/england.html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efl.com/news/2026/august/22/sky-bet-championship-results--table---stats/" TargetMode="External"/><Relationship Id="rId179" Type="http://schemas.openxmlformats.org/officeDocument/2006/relationships/hyperlink" Target="https://en.wikipedia.org/wiki/Wrexham_A.F.C.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efl.com/news/2026/august/22/sky-bet-championship-results--table---stats/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efl.com/competitions/efl-league-one/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www.rsssf.org/colours/england.html" TargetMode="External"/><Relationship Id="rId199" Type="http://schemas.openxmlformats.org/officeDocument/2006/relationships/hyperlink" Target="https://teamcolorcodes.com/bromley-f-c-color-codes/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efl.com/news/2026/august/22/sky-bet-championship-results--table---stats/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england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efl.com/news/2026/august/22/sky-bet-championship-results--table---stats/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england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efl.com/news/2026/august/22/sky-bet-championship-results--table---stats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england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efl.com/news/2026/august/22/sky-bet-championship-results--table---stats/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england.html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england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efl.com/news/2026/august/22/sky-bet-championship-results--table---stats/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www.rsssf.org/colours/england.html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efl.com/news/2026/august/22/sky-bet-championship-results--table---stats/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football-stadiums.co.uk/articles/football-club-kit-colours/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efl.com/news/2026/august/22/sky-bet-championship-results--table---stats/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en.wikipedia.org/wiki/West_Bromwich_Albion_F.C.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efl.com/news/2026/august/22/sky-bet-championship-results--table---stats/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england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efl.com/news/2026/august/22/sky-bet-championship-results--table---stats/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england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efl.com/news/2026/august/22/sky-bet-championship-results--table---stats/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www.rsssf.org/colours/england.html" TargetMode="External"/><Relationship Id="rId107" Type="http://schemas.openxmlformats.org/officeDocument/2006/relationships/hyperlink" Target="https://www.rsssf.org/colours/england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efl.com/news/2026/august/22/sky-bet-championship-results--table---stats/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efl.com/news/2026/august/22/sky-bet-championship-results--table---stats/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england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efl.com/news/2026/august/22/sky-bet-championship-results--table---stats/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www.efl.com/news/2026/august/22/sky-bet-championship-results--table---stats/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www.rsssf.org/colours/england.html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www.efl.com/news/2026/august/22/sky-bet-championship-results--table---stats/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www.efl.com/news/2026/august/22/sky-bet-championship-results--table---stats/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www.rsssf.org/colours/england.html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efl.com/news/2026/august/22/sky-bet-championship-results--table---stats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england.html" TargetMode="External"/><Relationship Id="rId119" Type="http://schemas.openxmlformats.org/officeDocument/2006/relationships/hyperlink" Target="https://www.rsssf.org/colours/england.html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efl.com/news/2026/august/22/sky-bet-championship-results--table---stats/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england.html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laliga.com/en-GB/laliga-easports/clubs" TargetMode="External"/><Relationship Id="rId5" Type="http://schemas.openxmlformats.org/officeDocument/2006/relationships/hyperlink" Target="https://www.laliga.com/en-GB/laliga-easports/clubs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rsssf.org/colours/spain.html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www.laliga.com/en-GB/laliga-easports/clubs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spain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laliga.com/en-GB/laliga-easports/clubs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spain.html" TargetMode="External"/><Relationship Id="rId49" Type="http://schemas.openxmlformats.org/officeDocument/2006/relationships/hyperlink" Target="https://www.laliga.com/en-GB/laliga-easports/clubs" TargetMode="External"/><Relationship Id="rId31" Type="http://schemas.openxmlformats.org/officeDocument/2006/relationships/hyperlink" Target="https://www.rsssf.org/colours/spain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laliga.com/en-GB/laliga-easports/clubs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rsssf.org/colours/spain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laliga.com/en-GB/laliga-easports/clubs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spain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laliga.com/en-GB/laliga-easports/clubs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spain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laliga.com/en-GB/laliga-easports/clubs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spain.html" TargetMode="External"/><Relationship Id="rId29" Type="http://schemas.openxmlformats.org/officeDocument/2006/relationships/hyperlink" Target="https://www.laliga.com/en-GB/laliga-easports/clubs" TargetMode="External"/><Relationship Id="rId11" Type="http://schemas.openxmlformats.org/officeDocument/2006/relationships/hyperlink" Target="https://www.rsssf.org/colours/spain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laliga.com/en-GB/laliga-easports/clubs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spain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laliga.com/en-GB/laliga-easports/clubs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spain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spain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laliga.com/en-GB/laliga-hypermotion/clubs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rtvce.es/articulo/deportes/tradicion-innovacion-nuevas-equipaciones-ad-ceuta/20260727200148101725.html" TargetMode="External"/><Relationship Id="rId89" Type="http://schemas.openxmlformats.org/officeDocument/2006/relationships/hyperlink" Target="https://www.laliga.com/en-GB/laliga-hypermotion/clubs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laliga.com/en-GB/laliga-easports/clubs" TargetMode="External"/><Relationship Id="rId73" Type="http://schemas.openxmlformats.org/officeDocument/2006/relationships/hyperlink" Target="https://www.laliga.com/en-GB/laliga-easports/clubs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spain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laliga.com/en-GB/laliga-easports/clubs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spain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spain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laliga.com/en-GB/laliga-easports/clubs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www.rsssf.org/colours/spain.html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laliga.com/en-GB/laliga-easports/clubs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spain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laliga.com/en-GB/laliga-easports/clubs" TargetMode="External"/><Relationship Id="rId51" Type="http://schemas.openxmlformats.org/officeDocument/2006/relationships/hyperlink" Target="https://fr.wikipedia.org/wiki/Club_Atl%C3%A9tico_Osasuna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laliga.com/en-GB/laliga-easports/clubs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spain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www.laliga.com/en-GB/laliga-easports/clubs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www.rsssf.org/colours/spain.html" TargetMode="External"/><Relationship Id="rId58" Type="http://schemas.openxmlformats.org/officeDocument/2006/relationships/hyperlink" Target="about:blank" TargetMode="External"/><Relationship Id="rId331" Type="http://schemas.openxmlformats.org/officeDocument/2006/relationships/table" Target="../tables/table5.xml"/><Relationship Id="rId95" Type="http://schemas.openxmlformats.org/officeDocument/2006/relationships/hyperlink" Target="https://www.rsssf.org/colours/spain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laliga.com/en-GB/laliga-hypermotion/clubs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spain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fr.wikipedia.org/wiki/Albacete_Balompi%C3%A9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laliga.com/en-GB/laliga-hypermotion/clubs" TargetMode="External"/><Relationship Id="rId92" Type="http://schemas.openxmlformats.org/officeDocument/2006/relationships/hyperlink" Target="about:blank" TargetMode="External"/><Relationship Id="rId305" Type="http://schemas.openxmlformats.org/officeDocument/2006/relationships/hyperlink" Target="https://rfef.es/es/noticias/aprobados-los-grupos-de-primera-federacion-para-la-temporada-202627" TargetMode="External"/><Relationship Id="rId304" Type="http://schemas.openxmlformats.org/officeDocument/2006/relationships/hyperlink" Target="about:blank" TargetMode="External"/><Relationship Id="rId303" Type="http://schemas.openxmlformats.org/officeDocument/2006/relationships/hyperlink" Target="https://www.rsssf.org/colours/spain.html" TargetMode="External"/><Relationship Id="rId302" Type="http://schemas.openxmlformats.org/officeDocument/2006/relationships/hyperlink" Target="about:blank" TargetMode="External"/><Relationship Id="rId309" Type="http://schemas.openxmlformats.org/officeDocument/2006/relationships/hyperlink" Target="https://rfef.es/es/noticias/aprobados-los-grupos-de-primera-federacion-para-la-temporada-202627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www.rsssf.org/colours/spain.html" TargetMode="External"/><Relationship Id="rId306" Type="http://schemas.openxmlformats.org/officeDocument/2006/relationships/hyperlink" Target="about:blank" TargetMode="External"/><Relationship Id="rId301" Type="http://schemas.openxmlformats.org/officeDocument/2006/relationships/hyperlink" Target="https://rfef.es/es/noticias/aprobados-los-grupos-de-primera-federacion-para-la-temporada-202627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https://es.wikipedia.org/wiki/%C3%81guilas_F%C3%BAtbol_Club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rfef.es/es/noticias/aprobados-los-grupos-de-primera-federacion-para-la-temporada-202627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vmlDrawing" Target="../drawings/vmlDrawing5.vml"/><Relationship Id="rId328" Type="http://schemas.openxmlformats.org/officeDocument/2006/relationships/drawing" Target="../drawings/drawing7.xml"/><Relationship Id="rId323" Type="http://schemas.openxmlformats.org/officeDocument/2006/relationships/hyperlink" Target="https://www.rsssf.org/colours/spain.html" TargetMode="External"/><Relationship Id="rId322" Type="http://schemas.openxmlformats.org/officeDocument/2006/relationships/hyperlink" Target="about:blank" TargetMode="External"/><Relationship Id="rId321" Type="http://schemas.openxmlformats.org/officeDocument/2006/relationships/hyperlink" Target="https://rfef.es/es/noticias/aprobados-los-grupos-de-primera-federacion-para-la-temporada-202627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fr.wikipedia.org/wiki/Uni%C3%B3n_Deportiva_Ibiza" TargetMode="External"/><Relationship Id="rId314" Type="http://schemas.openxmlformats.org/officeDocument/2006/relationships/hyperlink" Target="about:blank" TargetMode="External"/><Relationship Id="rId313" Type="http://schemas.openxmlformats.org/officeDocument/2006/relationships/hyperlink" Target="https://rfef.es/es/noticias/aprobados-los-grupos-de-primera-federacion-para-la-temporada-202627" TargetMode="External"/><Relationship Id="rId319" Type="http://schemas.openxmlformats.org/officeDocument/2006/relationships/hyperlink" Target="https://www.rsssf.org/colours/spain.html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rfef.es/es/noticias/aprobados-los-grupos-de-primera-federacion-para-la-temporada-202627" TargetMode="External"/><Relationship Id="rId312" Type="http://schemas.openxmlformats.org/officeDocument/2006/relationships/hyperlink" Target="about:blank" TargetMode="External"/><Relationship Id="rId311" Type="http://schemas.openxmlformats.org/officeDocument/2006/relationships/hyperlink" Target="https://fr.wikipedia.org/wiki/Club_Deportivo_Teruel" TargetMode="External"/><Relationship Id="rId310" Type="http://schemas.openxmlformats.org/officeDocument/2006/relationships/hyperlink" Target="about:blank" TargetMode="External"/><Relationship Id="rId297" Type="http://schemas.openxmlformats.org/officeDocument/2006/relationships/hyperlink" Target="https://rfef.es/es/noticias/aprobados-los-grupos-de-primera-federacion-para-la-temporada-202627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fr.wikipedia.org/wiki/Real_Ja%C3%A9n_Club_de_F%C3%BAtbol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www.rsssf.org/colours/spain.html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about:blank" TargetMode="External"/><Relationship Id="rId270" Type="http://schemas.openxmlformats.org/officeDocument/2006/relationships/hyperlink" Target="https://rfef.es/es/noticias/aprobados-los-grupos-de-primera-federacion-para-la-temporada-202627" TargetMode="External"/><Relationship Id="rId269" Type="http://schemas.openxmlformats.org/officeDocument/2006/relationships/hyperlink" Target="about:blank" TargetMode="External"/><Relationship Id="rId264" Type="http://schemas.openxmlformats.org/officeDocument/2006/relationships/hyperlink" Target="https://www.rsssf.org/colours/spain.html" TargetMode="External"/><Relationship Id="rId263" Type="http://schemas.openxmlformats.org/officeDocument/2006/relationships/hyperlink" Target="about:blank" TargetMode="External"/><Relationship Id="rId262" Type="http://schemas.openxmlformats.org/officeDocument/2006/relationships/hyperlink" Target="https://rfef.es/es/noticias/aprobados-los-grupos-de-primera-federacion-para-la-temporada-202627" TargetMode="External"/><Relationship Id="rId261" Type="http://schemas.openxmlformats.org/officeDocument/2006/relationships/hyperlink" Target="about:blank" TargetMode="External"/><Relationship Id="rId268" Type="http://schemas.openxmlformats.org/officeDocument/2006/relationships/hyperlink" Target="https://www.rsssf.org/colours/spain.html" TargetMode="External"/><Relationship Id="rId267" Type="http://schemas.openxmlformats.org/officeDocument/2006/relationships/hyperlink" Target="about:blank" TargetMode="External"/><Relationship Id="rId266" Type="http://schemas.openxmlformats.org/officeDocument/2006/relationships/hyperlink" Target="https://rfef.es/es/noticias/aprobados-los-grupos-de-primera-federacion-para-la-temporada-202627" TargetMode="External"/><Relationship Id="rId265" Type="http://schemas.openxmlformats.org/officeDocument/2006/relationships/hyperlink" Target="about:blank" TargetMode="External"/><Relationship Id="rId260" Type="http://schemas.openxmlformats.org/officeDocument/2006/relationships/hyperlink" Target="https://www.rsssf.org/colours/spain.html" TargetMode="External"/><Relationship Id="rId259" Type="http://schemas.openxmlformats.org/officeDocument/2006/relationships/hyperlink" Target="about:blank" TargetMode="External"/><Relationship Id="rId258" Type="http://schemas.openxmlformats.org/officeDocument/2006/relationships/hyperlink" Target="https://rfef.es/es/noticias/aprobados-los-grupos-de-primera-federacion-para-la-temporada-202627" TargetMode="External"/><Relationship Id="rId253" Type="http://schemas.openxmlformats.org/officeDocument/2006/relationships/hyperlink" Target="about:blank" TargetMode="External"/><Relationship Id="rId252" Type="http://schemas.openxmlformats.org/officeDocument/2006/relationships/hyperlink" Target="https://www.rsssf.org/colours/spain.html" TargetMode="External"/><Relationship Id="rId251" Type="http://schemas.openxmlformats.org/officeDocument/2006/relationships/hyperlink" Target="about:blank" TargetMode="External"/><Relationship Id="rId250" Type="http://schemas.openxmlformats.org/officeDocument/2006/relationships/hyperlink" Target="https://rfef.es/es/noticias/aprobados-los-grupos-de-primera-federacion-para-la-temporada-202627" TargetMode="External"/><Relationship Id="rId257" Type="http://schemas.openxmlformats.org/officeDocument/2006/relationships/hyperlink" Target="about:blank" TargetMode="External"/><Relationship Id="rId256" Type="http://schemas.openxmlformats.org/officeDocument/2006/relationships/hyperlink" Target="https://www.rsssf.org/colours/spain.html" TargetMode="External"/><Relationship Id="rId255" Type="http://schemas.openxmlformats.org/officeDocument/2006/relationships/hyperlink" Target="about:blank" TargetMode="External"/><Relationship Id="rId254" Type="http://schemas.openxmlformats.org/officeDocument/2006/relationships/hyperlink" Target="https://rfef.es/es/noticias/aprobados-los-grupos-de-primera-federacion-para-la-temporada-202627" TargetMode="External"/><Relationship Id="rId293" Type="http://schemas.openxmlformats.org/officeDocument/2006/relationships/hyperlink" Target="https://rfef.es/es/noticias/aprobados-los-grupos-de-primera-federacion-para-la-temporada-202627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www.rsssf.org/colours/spain.html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https://rfef.es/es/noticias/aprobados-los-grupos-de-primera-federacion-para-la-temporada-202627" TargetMode="External"/><Relationship Id="rId285" Type="http://schemas.openxmlformats.org/officeDocument/2006/relationships/hyperlink" Target="about:blank" TargetMode="External"/><Relationship Id="rId284" Type="http://schemas.openxmlformats.org/officeDocument/2006/relationships/hyperlink" Target="https://www.rsssf.org/colours/spain.html" TargetMode="External"/><Relationship Id="rId283" Type="http://schemas.openxmlformats.org/officeDocument/2006/relationships/hyperlink" Target="about:blank" TargetMode="External"/><Relationship Id="rId289" Type="http://schemas.openxmlformats.org/officeDocument/2006/relationships/hyperlink" Target="https://rfef.es/es/noticias/aprobados-los-grupos-de-primera-federacion-para-la-temporada-202627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about:blank" TargetMode="External"/><Relationship Id="rId282" Type="http://schemas.openxmlformats.org/officeDocument/2006/relationships/hyperlink" Target="https://rfef.es/es/noticias/aprobados-los-grupos-de-primera-federacion-para-la-temporada-202627" TargetMode="External"/><Relationship Id="rId281" Type="http://schemas.openxmlformats.org/officeDocument/2006/relationships/hyperlink" Target="about:blank" TargetMode="External"/><Relationship Id="rId280" Type="http://schemas.openxmlformats.org/officeDocument/2006/relationships/hyperlink" Target="https://www.rsssf.org/colours/spain.html" TargetMode="External"/><Relationship Id="rId275" Type="http://schemas.openxmlformats.org/officeDocument/2006/relationships/hyperlink" Target="about:blank" TargetMode="External"/><Relationship Id="rId274" Type="http://schemas.openxmlformats.org/officeDocument/2006/relationships/hyperlink" Target="https://rfef.es/es/noticias/aprobados-los-grupos-de-primera-federacion-para-la-temporada-202627" TargetMode="External"/><Relationship Id="rId273" Type="http://schemas.openxmlformats.org/officeDocument/2006/relationships/hyperlink" Target="about:blank" TargetMode="External"/><Relationship Id="rId272" Type="http://schemas.openxmlformats.org/officeDocument/2006/relationships/hyperlink" Target="https://fr.wikipedia.org/wiki/Club_Esportiu_Europa" TargetMode="External"/><Relationship Id="rId279" Type="http://schemas.openxmlformats.org/officeDocument/2006/relationships/hyperlink" Target="about:blank" TargetMode="External"/><Relationship Id="rId278" Type="http://schemas.openxmlformats.org/officeDocument/2006/relationships/hyperlink" Target="https://rfef.es/es/noticias/aprobados-los-grupos-de-primera-federacion-para-la-temporada-202627" TargetMode="External"/><Relationship Id="rId277" Type="http://schemas.openxmlformats.org/officeDocument/2006/relationships/hyperlink" Target="about:blank" TargetMode="External"/><Relationship Id="rId276" Type="http://schemas.openxmlformats.org/officeDocument/2006/relationships/hyperlink" Target="https://www.rsssf.org/colours/spain.html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rfef.es/es/noticias/aprobados-los-grupos-de-primera-federacion-para-la-temporada-202627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rsssf.org/colours/spain.html" TargetMode="External"/><Relationship Id="rId229" Type="http://schemas.openxmlformats.org/officeDocument/2006/relationships/hyperlink" Target="https://www.rsssf.org/colours/spain.html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rfef.es/es/noticias/aprobados-los-grupos-de-primera-federacion-para-la-temporada-202627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rsssf.org/colours/spain.html" TargetMode="External"/><Relationship Id="rId217" Type="http://schemas.openxmlformats.org/officeDocument/2006/relationships/hyperlink" Target="https://www.rsssf.org/colours/spain.html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rfef.es/es/noticias/aprobados-los-grupos-de-primera-federacion-para-la-temporada-202627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rfef.es/es/noticias/aprobados-los-grupos-de-primera-federacion-para-la-temporada-202627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212" Type="http://schemas.openxmlformats.org/officeDocument/2006/relationships/hyperlink" Target="https://rfef.es/es/noticias/aprobados-los-grupos-de-primera-federacion-para-la-temporada-202627" TargetMode="External"/><Relationship Id="rId211" Type="http://schemas.openxmlformats.org/officeDocument/2006/relationships/hyperlink" Target="about:blank" TargetMode="External"/><Relationship Id="rId210" Type="http://schemas.openxmlformats.org/officeDocument/2006/relationships/hyperlink" Target="https://www.rsssf.org/colours/spain.html" TargetMode="External"/><Relationship Id="rId249" Type="http://schemas.openxmlformats.org/officeDocument/2006/relationships/hyperlink" Target="about:blank" TargetMode="External"/><Relationship Id="rId248" Type="http://schemas.openxmlformats.org/officeDocument/2006/relationships/hyperlink" Target="https://www.rsssf.org/colours/spain.html" TargetMode="External"/><Relationship Id="rId247" Type="http://schemas.openxmlformats.org/officeDocument/2006/relationships/hyperlink" Target="about:blank" TargetMode="External"/><Relationship Id="rId242" Type="http://schemas.openxmlformats.org/officeDocument/2006/relationships/hyperlink" Target="https://rfef.es/es/noticias/aprobados-los-grupos-de-primera-federacion-para-la-temporada-202627" TargetMode="External"/><Relationship Id="rId241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https://rfef.es/es/noticias/aprobados-los-grupos-de-primera-federacion-para-la-temporada-202627" TargetMode="External"/><Relationship Id="rId245" Type="http://schemas.openxmlformats.org/officeDocument/2006/relationships/hyperlink" Target="about:blank" TargetMode="External"/><Relationship Id="rId244" Type="http://schemas.openxmlformats.org/officeDocument/2006/relationships/hyperlink" Target="https://fr.wikipedia.org/wiki/Unionistas_de_Salamanca_Club_de_F%C3%BAtbol" TargetMode="External"/><Relationship Id="rId243" Type="http://schemas.openxmlformats.org/officeDocument/2006/relationships/hyperlink" Target="about:blank" TargetMode="External"/><Relationship Id="rId239" Type="http://schemas.openxmlformats.org/officeDocument/2006/relationships/hyperlink" Target="https://rfef.es/es/noticias/aprobados-los-grupos-de-primera-federacion-para-la-temporada-202627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fr.wikipedia.org/wiki/Uni%C3%B3n_Deportiva_Logro%C3%B1%C3%A9s" TargetMode="External"/><Relationship Id="rId236" Type="http://schemas.openxmlformats.org/officeDocument/2006/relationships/hyperlink" Target="about:blank" TargetMode="External"/><Relationship Id="rId231" Type="http://schemas.openxmlformats.org/officeDocument/2006/relationships/hyperlink" Target="https://rfef.es/es/noticias/aprobados-los-grupos-de-primera-federacion-para-la-temporada-202627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https://rfef.es/es/noticias/aprobados-los-grupos-de-primera-federacion-para-la-temporada-202627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www.rsssf.org/colours/spain.html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https://www.rsssf.org/colours/spain.html" TargetMode="External"/><Relationship Id="rId205" Type="http://schemas.openxmlformats.org/officeDocument/2006/relationships/hyperlink" Target="about:blank" TargetMode="External"/><Relationship Id="rId204" Type="http://schemas.openxmlformats.org/officeDocument/2006/relationships/hyperlink" Target="https://rfef.es/es/noticias/aprobados-los-grupos-de-primera-federacion-para-la-temporada-202627" TargetMode="External"/><Relationship Id="rId203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https://rfef.es/es/noticias/aprobados-los-grupos-de-primera-federacion-para-la-temporada-202627" TargetMode="External"/><Relationship Id="rId207" Type="http://schemas.openxmlformats.org/officeDocument/2006/relationships/hyperlink" Target="about:blank" TargetMode="External"/><Relationship Id="rId202" Type="http://schemas.openxmlformats.org/officeDocument/2006/relationships/hyperlink" Target="https://es.wikipedia.org/wiki/Club_Deportivo_Extremadura" TargetMode="External"/><Relationship Id="rId201" Type="http://schemas.openxmlformats.org/officeDocument/2006/relationships/hyperlink" Target="about:blank" TargetMode="External"/><Relationship Id="rId200" Type="http://schemas.openxmlformats.org/officeDocument/2006/relationships/hyperlink" Target="https://rfef.es/es/noticias/aprobados-los-grupos-de-primera-federacion-para-la-temporada-202627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https://fr.wikipedia.org/wiki/Cultural_y_Deportiva_Leonesa" TargetMode="External"/><Relationship Id="rId193" Type="http://schemas.openxmlformats.org/officeDocument/2006/relationships/hyperlink" Target="about:blank" TargetMode="External"/><Relationship Id="rId192" Type="http://schemas.openxmlformats.org/officeDocument/2006/relationships/hyperlink" Target="https://rfef.es/es/noticias/aprobados-los-grupos-de-primera-federacion-para-la-temporada-202627" TargetMode="External"/><Relationship Id="rId191" Type="http://schemas.openxmlformats.org/officeDocument/2006/relationships/hyperlink" Target="about:blank" TargetMode="External"/><Relationship Id="rId187" Type="http://schemas.openxmlformats.org/officeDocument/2006/relationships/hyperlink" Target="https://www.rsssf.org/colours/spain.html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rfef.es/es/noticias/aprobados-los-grupos-de-primera-federacion-para-la-temporada-202627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rfef.es/es/noticias/aprobados-los-grupos-de-primera-federacion-para-la-temporada-202627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www.rsssf.org/colours/spain.html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rfef.es/es/noticias/aprobados-los-grupos-de-primera-federacion-para-la-temporada-202627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fr.wikipedia.org/wiki/Arenas_Club_de_Getxo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rfef.es/es/noticias/aprobados-los-grupos-de-primera-federacion-para-la-temporada-202627" TargetMode="External"/><Relationship Id="rId179" Type="http://schemas.openxmlformats.org/officeDocument/2006/relationships/hyperlink" Target="https://www.rsssf.org/colours/spain.html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rfef.es/es/noticias/aprobados-los-grupos-de-primera-federacion-para-la-temporada-202627" TargetMode="External"/><Relationship Id="rId198" Type="http://schemas.openxmlformats.org/officeDocument/2006/relationships/hyperlink" Target="https://www.rsssf.org/colours/spain.html" TargetMode="External"/><Relationship Id="rId197" Type="http://schemas.openxmlformats.org/officeDocument/2006/relationships/hyperlink" Target="about:blank" TargetMode="External"/><Relationship Id="rId196" Type="http://schemas.openxmlformats.org/officeDocument/2006/relationships/hyperlink" Target="https://rfef.es/es/noticias/aprobados-los-grupos-de-primera-federacion-para-la-temporada-202627" TargetMode="External"/><Relationship Id="rId195" Type="http://schemas.openxmlformats.org/officeDocument/2006/relationships/hyperlink" Target="about:blank" TargetMode="External"/><Relationship Id="rId19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laliga.com/en-GB/laliga-hypermotion/clubs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spain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laliga.com/en-GB/laliga-hypermotion/clubs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spain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laliga.com/en-GB/laliga-hypermotion/clubs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spain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laliga.com/en-GB/laliga-hypermotion/clubs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spain.html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spain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laliga.com/en-GB/laliga-hypermotion/clubs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www.rsssf.org/colours/spain.html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laliga.com/en-GB/laliga-hypermotion/clubs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rsssf.org/colours/spain.html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laliga.com/en-GB/laliga-hypermotion/clubs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www.rsssf.org/colours/spain.html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laliga.com/en-GB/laliga-hypermotion/clubs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spain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laliga.com/en-GB/laliga-hypermotion/clubs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fr.wikipedia.org/wiki/Real_Oviedo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laliga.com/en-GB/laliga-hypermotion/clubs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www.rsssf.org/colours/spain.html" TargetMode="External"/><Relationship Id="rId107" Type="http://schemas.openxmlformats.org/officeDocument/2006/relationships/hyperlink" Target="https://www.rsssf.org/colours/spain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laliga.com/en-GB/laliga-hypermotion/clubs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laliga.com/en-GB/laliga-hypermotion/clubs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spain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laliga.com/en-GB/laliga-hypermotion/clubs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www.laliga.com/en-GB/laliga-hypermotion/clubs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es.wikipedia.org/wiki/Futbol_Club_Andorra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www.laliga.com/en-GB/laliga-hypermotion/clubs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www.laliga.com/en-GB/laliga-hypermotion/clubs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es.wikipedia.org/wiki/Club_Deportivo_Eldense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laliga.com/en-GB/laliga-hypermotion/clubs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spain.html" TargetMode="External"/><Relationship Id="rId119" Type="http://schemas.openxmlformats.org/officeDocument/2006/relationships/hyperlink" Target="https://www.rsssf.org/colours/spain.html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laliga.com/en-GB/laliga-hypermotion/clubs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spain.html" TargetMode="External"/></Relationships>
</file>

<file path=xl/worksheets/_rels/sheet8.xml.rels><?xml version="1.0" encoding="UTF-8" standalone="yes"?><Relationships xmlns="http://schemas.openxmlformats.org/package/2006/relationships"><Relationship Id="rId392" Type="http://schemas.openxmlformats.org/officeDocument/2006/relationships/hyperlink" Target="about:blank" TargetMode="External"/><Relationship Id="rId391" Type="http://schemas.openxmlformats.org/officeDocument/2006/relationships/hyperlink" Target="https://it.wikipedia.org/wiki/Savoia_1908" TargetMode="External"/><Relationship Id="rId390" Type="http://schemas.openxmlformats.org/officeDocument/2006/relationships/hyperlink" Target="about:blank" TargetMode="External"/><Relationship Id="rId1" Type="http://schemas.openxmlformats.org/officeDocument/2006/relationships/comments" Target="../comments6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sport.virgilio.it/calcio/squadre/" TargetMode="External"/><Relationship Id="rId385" Type="http://schemas.openxmlformats.org/officeDocument/2006/relationships/hyperlink" Target="https://it.blastingnews.com/calcio/2026/07/ultimora-serie-c-svelati-i-gironi-ufficiali-2026-27-004083523.html" TargetMode="External"/><Relationship Id="rId384" Type="http://schemas.openxmlformats.org/officeDocument/2006/relationships/hyperlink" Target="about:blank" TargetMode="External"/><Relationship Id="rId383" Type="http://schemas.openxmlformats.org/officeDocument/2006/relationships/hyperlink" Target="https://it.wikipedia.org/wiki/Potenza_Calcio" TargetMode="External"/><Relationship Id="rId382" Type="http://schemas.openxmlformats.org/officeDocument/2006/relationships/hyperlink" Target="about:blank" TargetMode="External"/><Relationship Id="rId5" Type="http://schemas.openxmlformats.org/officeDocument/2006/relationships/hyperlink" Target="https://sport.virgilio.it/calcio/squadre/" TargetMode="External"/><Relationship Id="rId389" Type="http://schemas.openxmlformats.org/officeDocument/2006/relationships/hyperlink" Target="https://it.blastingnews.com/calcio/2026/07/ultimora-serie-c-svelati-i-gironi-ufficiali-2026-27-004083523.html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https://www.rsssf.org/colours/italy.html" TargetMode="External"/><Relationship Id="rId387" Type="http://schemas.openxmlformats.org/officeDocument/2006/relationships/hyperlink" Target="https://it.wikipedia.org/wiki/Unione_Sportiva_Salernitana_1919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1" Type="http://schemas.openxmlformats.org/officeDocument/2006/relationships/hyperlink" Target="https://it.blastingnews.com/calcio/2026/07/ultimora-serie-c-svelati-i-gironi-ufficiali-2026-27-004083523.html" TargetMode="External"/><Relationship Id="rId380" Type="http://schemas.openxmlformats.org/officeDocument/2006/relationships/hyperlink" Target="about:blank" TargetMode="External"/><Relationship Id="rId379" Type="http://schemas.openxmlformats.org/officeDocument/2006/relationships/hyperlink" Target="https://it.wikipedia.org/wiki/AZ_Picerno" TargetMode="External"/><Relationship Id="rId374" Type="http://schemas.openxmlformats.org/officeDocument/2006/relationships/hyperlink" Target="about:blank" TargetMode="External"/><Relationship Id="rId373" Type="http://schemas.openxmlformats.org/officeDocument/2006/relationships/hyperlink" Target="https://it.blastingnews.com/calcio/2026/07/ultimora-serie-c-svelati-i-gironi-ufficiali-2026-27-004083523.html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https://www.rsssf.org/colours/italy.html" TargetMode="External"/><Relationship Id="rId378" Type="http://schemas.openxmlformats.org/officeDocument/2006/relationships/hyperlink" Target="about:blank" TargetMode="External"/><Relationship Id="rId377" Type="http://schemas.openxmlformats.org/officeDocument/2006/relationships/hyperlink" Target="https://it.blastingnews.com/calcio/2026/07/ultimora-serie-c-svelati-i-gironi-ufficiali-2026-27-004083523.html" TargetMode="External"/><Relationship Id="rId376" Type="http://schemas.openxmlformats.org/officeDocument/2006/relationships/hyperlink" Target="about:blank" TargetMode="External"/><Relationship Id="rId375" Type="http://schemas.openxmlformats.org/officeDocument/2006/relationships/hyperlink" Target="https://it.wikipedia.org/wiki/Societ%C3%A0_Sportiva_Monopoli_1966" TargetMode="External"/><Relationship Id="rId396" Type="http://schemas.openxmlformats.org/officeDocument/2006/relationships/hyperlink" Target="about:blank" TargetMode="External"/><Relationship Id="rId395" Type="http://schemas.openxmlformats.org/officeDocument/2006/relationships/hyperlink" Target="https://it.wikipedia.org/wiki/Scafatese_Calcio_1922" TargetMode="External"/><Relationship Id="rId394" Type="http://schemas.openxmlformats.org/officeDocument/2006/relationships/hyperlink" Target="about:blank" TargetMode="External"/><Relationship Id="rId393" Type="http://schemas.openxmlformats.org/officeDocument/2006/relationships/hyperlink" Target="https://it.blastingnews.com/calcio/2026/07/ultimora-serie-c-svelati-i-gironi-ufficiali-2026-27-004083523.html" TargetMode="External"/><Relationship Id="rId399" Type="http://schemas.openxmlformats.org/officeDocument/2006/relationships/hyperlink" Target="https://it.wikipedia.org/wiki/Sorrento_Calcio_1945" TargetMode="External"/><Relationship Id="rId398" Type="http://schemas.openxmlformats.org/officeDocument/2006/relationships/hyperlink" Target="about:blank" TargetMode="External"/><Relationship Id="rId397" Type="http://schemas.openxmlformats.org/officeDocument/2006/relationships/hyperlink" Target="https://it.blastingnews.com/calcio/2026/07/ultimora-serie-c-svelati-i-gironi-ufficiali-2026-27-004083523.html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sport.virgilio.it/calcio/squadre/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italy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sport.virgilio.it/calcio/squadre/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italy.html" TargetMode="External"/><Relationship Id="rId49" Type="http://schemas.openxmlformats.org/officeDocument/2006/relationships/hyperlink" Target="https://sport.virgilio.it/calcio/squadre/" TargetMode="External"/><Relationship Id="rId31" Type="http://schemas.openxmlformats.org/officeDocument/2006/relationships/hyperlink" Target="https://www.rsssf.org/colours/italy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sport.virgilio.it/calcio/squadre/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rsssf.org/colours/italy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sport.virgilio.it/calcio/squadre/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italy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sport.virgilio.it/calcio/squadre/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italy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sport.virgilio.it/calcio/squadre/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it.wikipedia.org/wiki/Frosinone_Calcio" TargetMode="External"/><Relationship Id="rId29" Type="http://schemas.openxmlformats.org/officeDocument/2006/relationships/hyperlink" Target="https://sport.virgilio.it/calcio/squadre/" TargetMode="External"/><Relationship Id="rId11" Type="http://schemas.openxmlformats.org/officeDocument/2006/relationships/hyperlink" Target="https://www.rsssf.org/colours/italy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sport.virgilio.it/calcio/squadre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italy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sport.virgilio.it/calcio/squadre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italy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italy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sport.virgilio.it/calcio/squadre/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it.wikipedia.org/wiki/Societ%C3%A0_Sportiva_Arezzo" TargetMode="External"/><Relationship Id="rId89" Type="http://schemas.openxmlformats.org/officeDocument/2006/relationships/hyperlink" Target="https://sport.virgilio.it/calcio/squadre/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sport.virgilio.it/calcio/squadre/" TargetMode="External"/><Relationship Id="rId73" Type="http://schemas.openxmlformats.org/officeDocument/2006/relationships/hyperlink" Target="https://sport.virgilio.it/calcio/squadre/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italy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sport.virgilio.it/calcio/squadre/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italy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it.wikipedia.org/wiki/Unione_Sportiva_Sassuolo_Calcio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sport.virgilio.it/calcio/squadre/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www.rsssf.org/colours/italy.html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sport.virgilio.it/calcio/squadre/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italy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sport.virgilio.it/calcio/squadre/" TargetMode="External"/><Relationship Id="rId51" Type="http://schemas.openxmlformats.org/officeDocument/2006/relationships/hyperlink" Target="https://www.rsssf.org/colours/italy.html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sport.virgilio.it/calcio/squadre/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italy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sport.virgilio.it/calcio/squadre/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www.rsssf.org/colours/italy.html" TargetMode="External"/><Relationship Id="rId58" Type="http://schemas.openxmlformats.org/officeDocument/2006/relationships/hyperlink" Target="about:blank" TargetMode="External"/><Relationship Id="rId349" Type="http://schemas.openxmlformats.org/officeDocument/2006/relationships/hyperlink" Target="https://it.blastingnews.com/calcio/2026/07/ultimora-serie-c-svelati-i-gironi-ufficiali-2026-27-004083523.html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it.wikipedia.org/wiki/Catania_Football_Club" TargetMode="External"/><Relationship Id="rId346" Type="http://schemas.openxmlformats.org/officeDocument/2006/relationships/hyperlink" Target="about:blank" TargetMode="External"/><Relationship Id="rId341" Type="http://schemas.openxmlformats.org/officeDocument/2006/relationships/hyperlink" Target="https://it.blastingnews.com/calcio/2026/07/ultimora-serie-c-svelati-i-gironi-ufficiali-2026-27-004083523.html" TargetMode="External"/><Relationship Id="rId340" Type="http://schemas.openxmlformats.org/officeDocument/2006/relationships/hyperlink" Target="about:blank" TargetMode="External"/><Relationship Id="rId345" Type="http://schemas.openxmlformats.org/officeDocument/2006/relationships/hyperlink" Target="https://it.blastingnews.com/calcio/2026/07/ultimora-serie-c-svelati-i-gironi-ufficiali-2026-27-004083523.html" TargetMode="External"/><Relationship Id="rId344" Type="http://schemas.openxmlformats.org/officeDocument/2006/relationships/hyperlink" Target="about:blank" TargetMode="External"/><Relationship Id="rId343" Type="http://schemas.openxmlformats.org/officeDocument/2006/relationships/hyperlink" Target="https://www.rsssf.org/colours/italy.html" TargetMode="External"/><Relationship Id="rId342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it.blastingnews.com/calcio/2026/07/ultimora-serie-c-svelati-i-gironi-ufficiali-2026-27-004083523.html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https://it.wikipedia.org/wiki/Barletta_1922" TargetMode="External"/><Relationship Id="rId339" Type="http://schemas.openxmlformats.org/officeDocument/2006/relationships/hyperlink" Target="https://it.wikipedia.org/wiki/Casarano_Calcio" TargetMode="External"/><Relationship Id="rId330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333" Type="http://schemas.openxmlformats.org/officeDocument/2006/relationships/hyperlink" Target="https://it.blastingnews.com/calcio/2026/07/ultimora-serie-c-svelati-i-gironi-ufficiali-2026-27-004083523.html" TargetMode="External"/><Relationship Id="rId332" Type="http://schemas.openxmlformats.org/officeDocument/2006/relationships/hyperlink" Target="about:blank" TargetMode="External"/><Relationship Id="rId331" Type="http://schemas.openxmlformats.org/officeDocument/2006/relationships/hyperlink" Target="https://www.rsssf.org/colours/italy.html" TargetMode="External"/><Relationship Id="rId370" Type="http://schemas.openxmlformats.org/officeDocument/2006/relationships/hyperlink" Target="about:blank" TargetMode="External"/><Relationship Id="rId369" Type="http://schemas.openxmlformats.org/officeDocument/2006/relationships/hyperlink" Target="https://it.blastingnews.com/calcio/2026/07/ultimora-serie-c-svelati-i-gironi-ufficiali-2026-27-004083523.html" TargetMode="External"/><Relationship Id="rId368" Type="http://schemas.openxmlformats.org/officeDocument/2006/relationships/hyperlink" Target="about:blank" TargetMode="External"/><Relationship Id="rId363" Type="http://schemas.openxmlformats.org/officeDocument/2006/relationships/hyperlink" Target="https://www.rsssf.org/colours/italy.html" TargetMode="External"/><Relationship Id="rId362" Type="http://schemas.openxmlformats.org/officeDocument/2006/relationships/hyperlink" Target="about:blank" TargetMode="External"/><Relationship Id="rId361" Type="http://schemas.openxmlformats.org/officeDocument/2006/relationships/hyperlink" Target="https://it.blastingnews.com/calcio/2026/07/ultimora-serie-c-svelati-i-gironi-ufficiali-2026-27-004083523.html" TargetMode="External"/><Relationship Id="rId360" Type="http://schemas.openxmlformats.org/officeDocument/2006/relationships/hyperlink" Target="about:blank" TargetMode="External"/><Relationship Id="rId367" Type="http://schemas.openxmlformats.org/officeDocument/2006/relationships/hyperlink" Target="https://it.wikipedia.org/wiki/Giugliano_Calcio_1928" TargetMode="External"/><Relationship Id="rId366" Type="http://schemas.openxmlformats.org/officeDocument/2006/relationships/hyperlink" Target="about:blank" TargetMode="External"/><Relationship Id="rId365" Type="http://schemas.openxmlformats.org/officeDocument/2006/relationships/hyperlink" Target="https://it.blastingnews.com/calcio/2026/07/ultimora-serie-c-svelati-i-gironi-ufficiali-2026-27-004083523.html" TargetMode="External"/><Relationship Id="rId364" Type="http://schemas.openxmlformats.org/officeDocument/2006/relationships/hyperlink" Target="about:blank" TargetMode="External"/><Relationship Id="rId95" Type="http://schemas.openxmlformats.org/officeDocument/2006/relationships/hyperlink" Target="https://www.rsssf.org/colours/italy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sport.virgilio.it/calcio/squadre/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it.wikipedia.org/wiki/Benevento_Calcio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italy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sport.virgilio.it/calcio/squadre/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https://it.wikipedia.org/wiki/Football_Club_Crotone" TargetMode="External"/><Relationship Id="rId358" Type="http://schemas.openxmlformats.org/officeDocument/2006/relationships/hyperlink" Target="about:blank" TargetMode="External"/><Relationship Id="rId357" Type="http://schemas.openxmlformats.org/officeDocument/2006/relationships/hyperlink" Target="https://it.blastingnews.com/calcio/2026/07/ultimora-serie-c-svelati-i-gironi-ufficiali-2026-27-004083523.html" TargetMode="External"/><Relationship Id="rId352" Type="http://schemas.openxmlformats.org/officeDocument/2006/relationships/hyperlink" Target="about:blank" TargetMode="External"/><Relationship Id="rId351" Type="http://schemas.openxmlformats.org/officeDocument/2006/relationships/hyperlink" Target="https://it.wikipedia.org/wiki/Cavese_1919" TargetMode="External"/><Relationship Id="rId350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355" Type="http://schemas.openxmlformats.org/officeDocument/2006/relationships/hyperlink" Target="https://www.rsssf.org/colours/italy.html" TargetMode="External"/><Relationship Id="rId354" Type="http://schemas.openxmlformats.org/officeDocument/2006/relationships/hyperlink" Target="about:blank" TargetMode="External"/><Relationship Id="rId353" Type="http://schemas.openxmlformats.org/officeDocument/2006/relationships/hyperlink" Target="https://it.blastingnews.com/calcio/2026/07/ultimora-serie-c-svelati-i-gironi-ufficiali-2026-27-004083523.html" TargetMode="External"/><Relationship Id="rId305" Type="http://schemas.openxmlformats.org/officeDocument/2006/relationships/hyperlink" Target="https://it.blastingnews.com/calcio/2026/07/ultimora-serie-c-svelati-i-gironi-ufficiali-2026-27-004083523.html" TargetMode="External"/><Relationship Id="rId304" Type="http://schemas.openxmlformats.org/officeDocument/2006/relationships/hyperlink" Target="about:blank" TargetMode="External"/><Relationship Id="rId303" Type="http://schemas.openxmlformats.org/officeDocument/2006/relationships/hyperlink" Target="https://www.rsssf.org/colours/italy.html" TargetMode="External"/><Relationship Id="rId302" Type="http://schemas.openxmlformats.org/officeDocument/2006/relationships/hyperlink" Target="about:blank" TargetMode="External"/><Relationship Id="rId309" Type="http://schemas.openxmlformats.org/officeDocument/2006/relationships/hyperlink" Target="https://it.blastingnews.com/calcio/2026/07/ultimora-serie-c-svelati-i-gironi-ufficiali-2026-27-004083523.html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www.lega-pro.com/campionato/squadre/girone-b/sambenedettese/" TargetMode="External"/><Relationship Id="rId306" Type="http://schemas.openxmlformats.org/officeDocument/2006/relationships/hyperlink" Target="about:blank" TargetMode="External"/><Relationship Id="rId301" Type="http://schemas.openxmlformats.org/officeDocument/2006/relationships/hyperlink" Target="https://it.blastingnews.com/calcio/2026/07/ultimora-serie-c-svelati-i-gironi-ufficiali-2026-27-004083523.html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https://it.wikipedia.org/wiki/Societ%C3%A0_Sportiva_Audace_Cerignola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it.blastingnews.com/calcio/2026/07/ultimora-serie-c-svelati-i-gironi-ufficiali-2026-27-004083523.html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https://it.blastingnews.com/calcio/2026/07/ultimora-serie-c-svelati-i-gironi-ufficiali-2026-27-004083523.html" TargetMode="External"/><Relationship Id="rId328" Type="http://schemas.openxmlformats.org/officeDocument/2006/relationships/hyperlink" Target="about:blank" TargetMode="External"/><Relationship Id="rId323" Type="http://schemas.openxmlformats.org/officeDocument/2006/relationships/hyperlink" Target="https://it.wikipedia.org/wiki/Vis_Pesaro_dal_1898" TargetMode="External"/><Relationship Id="rId322" Type="http://schemas.openxmlformats.org/officeDocument/2006/relationships/hyperlink" Target="about:blank" TargetMode="External"/><Relationship Id="rId321" Type="http://schemas.openxmlformats.org/officeDocument/2006/relationships/hyperlink" Target="https://it.blastingnews.com/calcio/2026/07/ultimora-serie-c-svelati-i-gironi-ufficiali-2026-27-004083523.html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it.wikipedia.org/wiki/Torres_(calcio)" TargetMode="External"/><Relationship Id="rId314" Type="http://schemas.openxmlformats.org/officeDocument/2006/relationships/hyperlink" Target="about:blank" TargetMode="External"/><Relationship Id="rId313" Type="http://schemas.openxmlformats.org/officeDocument/2006/relationships/hyperlink" Target="https://it.blastingnews.com/calcio/2026/07/ultimora-serie-c-svelati-i-gironi-ufficiali-2026-27-004083523.html" TargetMode="External"/><Relationship Id="rId319" Type="http://schemas.openxmlformats.org/officeDocument/2006/relationships/hyperlink" Target="https://it.wikipedia.org/wiki/Vado_Football_Club_1913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it.blastingnews.com/calcio/2026/07/ultimora-serie-c-svelati-i-gironi-ufficiali-2026-27-004083523.html" TargetMode="External"/><Relationship Id="rId312" Type="http://schemas.openxmlformats.org/officeDocument/2006/relationships/hyperlink" Target="about:blank" TargetMode="External"/><Relationship Id="rId311" Type="http://schemas.openxmlformats.org/officeDocument/2006/relationships/hyperlink" Target="https://it.wikipedia.org/wiki/Spezia_Calcio" TargetMode="External"/><Relationship Id="rId310" Type="http://schemas.openxmlformats.org/officeDocument/2006/relationships/hyperlink" Target="about:blank" TargetMode="External"/><Relationship Id="rId297" Type="http://schemas.openxmlformats.org/officeDocument/2006/relationships/hyperlink" Target="https://it.blastingnews.com/calcio/2026/07/ultimora-serie-c-svelati-i-gironi-ufficiali-2026-27-004083523.html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it.wikipedia.org/wiki/Associazione_Sportiva_Pineto_Calcio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www.rsssf.org/colours/italy.html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https://it.wikipedia.org/wiki/Latina_Calcio_1932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it.blastingnews.com/calcio/2026/07/ultimora-serie-c-svelati-i-gironi-ufficiali-2026-27-004083523.html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it.wikipedia.org/wiki/Associazione_Sportiva_Gubbio_1910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https://it.blastingnews.com/calcio/2026/07/ultimora-serie-c-svelati-i-gironi-ufficiali-2026-27-004083523.html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it.wikipedia.org/wiki/Guidonia_Montecelio_1937_Football_Club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it.blastingnews.com/calcio/2026/07/ultimora-serie-c-svelati-i-gironi-ufficiali-2026-27-004083523.html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https://it.wikipedia.org/wiki/Unione_Sportiva_Grosseto_1912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https://it.blastingnews.com/calcio/2026/07/ultimora-serie-c-svelati-i-gironi-ufficiali-2026-27-004083523.html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it.wikipedia.org/wiki/Campobasso_Football_Club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https://it.blastingnews.com/calcio/2026/07/ultimora-serie-c-svelati-i-gironi-ufficiali-2026-27-004083523.html" TargetMode="External"/><Relationship Id="rId256" Type="http://schemas.openxmlformats.org/officeDocument/2006/relationships/hyperlink" Target="about:blank" TargetMode="External"/><Relationship Id="rId255" Type="http://schemas.openxmlformats.org/officeDocument/2006/relationships/hyperlink" Target="https://it.wikipedia.org/wiki/Forl%C3%AC_Football_Club" TargetMode="External"/><Relationship Id="rId254" Type="http://schemas.openxmlformats.org/officeDocument/2006/relationships/hyperlink" Target="about:blank" TargetMode="External"/><Relationship Id="rId293" Type="http://schemas.openxmlformats.org/officeDocument/2006/relationships/hyperlink" Target="https://it.blastingnews.com/calcio/2026/07/ultimora-serie-c-svelati-i-gironi-ufficiali-2026-27-004083523.html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it.wikipedia.org/wiki/Unione_Sportiva_Pianese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5" Type="http://schemas.openxmlformats.org/officeDocument/2006/relationships/hyperlink" Target="https://it.blastingnews.com/calcio/2026/07/ultimora-serie-c-svelati-i-gironi-ufficiali-2026-27-004083523.html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https://www.rsssf.org/colours/italy.html" TargetMode="External"/><Relationship Id="rId289" Type="http://schemas.openxmlformats.org/officeDocument/2006/relationships/hyperlink" Target="https://it.blastingnews.com/calcio/2026/07/ultimora-serie-c-svelati-i-gironi-ufficiali-2026-27-004083523.html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https://www.rsssf.org/colours/italy.html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https://it.blastingnews.com/calcio/2026/07/ultimora-serie-c-svelati-i-gironi-ufficiali-2026-27-004083523.html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https://www.rsssf.org/colours/italy.html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https://it.blastingnews.com/calcio/2026/07/ultimora-serie-c-svelati-i-gironi-ufficiali-2026-27-004083523.html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hyperlink" Target="https://it.wikipedia.org/wiki/Associazione_Sportiva_Ostia_Mare_Lido_Calcio" TargetMode="External"/><Relationship Id="rId278" Type="http://schemas.openxmlformats.org/officeDocument/2006/relationships/hyperlink" Target="about:blank" TargetMode="External"/><Relationship Id="rId277" Type="http://schemas.openxmlformats.org/officeDocument/2006/relationships/hyperlink" Target="https://it.blastingnews.com/calcio/2026/07/ultimora-serie-c-svelati-i-gironi-ufficiali-2026-27-004083523.html" TargetMode="External"/><Relationship Id="rId276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it.wikipedia.org/wiki/Football_Club_Pro_Vercelli_1892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it.blastingnews.com/calcio/2026/07/ultimora-serie-c-svelati-i-gironi-ufficiali-2026-27-004083523.html" TargetMode="External"/><Relationship Id="rId229" Type="http://schemas.openxmlformats.org/officeDocument/2006/relationships/hyperlink" Target="https://it.blastingnews.com/calcio/2026/07/ultimora-serie-c-svelati-i-gironi-ufficiali-2026-27-004083523.html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it.wikipedia.org/wiki/Unione_Sportiva_Pergolettese_1932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it.blastingnews.com/calcio/2026/07/ultimora-serie-c-svelati-i-gironi-ufficiali-2026-27-004083523.html" TargetMode="External"/><Relationship Id="rId217" Type="http://schemas.openxmlformats.org/officeDocument/2006/relationships/hyperlink" Target="https://it.blastingnews.com/calcio/2026/07/ultimora-serie-c-svelati-i-gironi-ufficiali-2026-27-004083523.html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it.wikipedia.org/wiki/Novara_Football_Club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it.wikipedia.org/wiki/Associazione_Calcio_Ospitaletto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it.blastingnews.com/calcio/2026/07/ultimora-serie-c-svelati-i-gironi-ufficiali-2026-27-004083523.html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it.wikipedia.org/wiki/Football_Club_Lumezzane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https://it.blastingnews.com/calcio/2026/07/ultimora-serie-c-svelati-i-gironi-ufficiali-2026-27-004083523.html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https://www.rsssf.org/colours/italy.html" TargetMode="External"/><Relationship Id="rId242" Type="http://schemas.openxmlformats.org/officeDocument/2006/relationships/hyperlink" Target="about:blank" TargetMode="External"/><Relationship Id="rId241" Type="http://schemas.openxmlformats.org/officeDocument/2006/relationships/hyperlink" Target="https://it.blastingnews.com/calcio/2026/07/ultimora-serie-c-svelati-i-gironi-ufficiali-2026-27-004083523.html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it.blastingnews.com/calcio/2026/07/ultimora-serie-c-svelati-i-gironi-ufficiali-2026-27-004083523.html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https://it.wikipedia.org/wiki/Union_Brescia" TargetMode="External"/><Relationship Id="rId239" Type="http://schemas.openxmlformats.org/officeDocument/2006/relationships/hyperlink" Target="https://www.rsssf.org/colours/italy.html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it.blastingnews.com/calcio/2026/07/ultimora-serie-c-svelati-i-gironi-ufficiali-2026-27-004083523.html" TargetMode="External"/><Relationship Id="rId236" Type="http://schemas.openxmlformats.org/officeDocument/2006/relationships/hyperlink" Target="about:blank" TargetMode="External"/><Relationship Id="rId231" Type="http://schemas.openxmlformats.org/officeDocument/2006/relationships/hyperlink" Target="https://it.wikipedia.org/wiki/Associazione_Calcio_Renate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https://it.wikipedia.org/wiki/Associazione_Calcio_Trento_1921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it.blastingnews.com/calcio/2026/07/ultimora-serie-c-svelati-i-gironi-ufficiali-2026-27-004083523.html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it.blastingnews.com/calcio/2026/07/ultimora-serie-c-svelati-i-gironi-ufficiali-2026-27-004083523.html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www.rsssf.org/colours/italy.html" TargetMode="External"/><Relationship Id="rId209" Type="http://schemas.openxmlformats.org/officeDocument/2006/relationships/hyperlink" Target="https://it.blastingnews.com/calcio/2026/07/ultimora-serie-c-svelati-i-gironi-ufficiali-2026-27-004083523.html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it.wikipedia.org/wiki/Calcio_Lecco_1912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it.blastingnews.com/calcio/2026/07/ultimora-serie-c-svelati-i-gironi-ufficiali-2026-27-004083523.html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it.blastingnews.com/calcio/2026/07/ultimora-serie-c-svelati-i-gironi-ufficiali-2026-27-004083523.html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it.wikipedia.org/wiki/Dolomiti_Bellunesi_(squadra_di_calcio)" TargetMode="External"/><Relationship Id="rId187" Type="http://schemas.openxmlformats.org/officeDocument/2006/relationships/hyperlink" Target="https://www.calciodesenzano.it/2026/08/18/desenzano-f-c-presentata-la-nuova-maglia-away-2026-2027/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it.blastingnews.com/calcio/2026/07/ultimora-serie-c-svelati-i-gironi-ufficiali-2026-27-004083523.html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it.blastingnews.com/calcio/2026/07/ultimora-serie-c-svelati-i-gironi-ufficiali-2026-27-004083523.html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it.wikipedia.org/wiki/Associazione_Sportiva_Cittadella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it.blastingnews.com/calcio/2026/07/ultimora-serie-c-svelati-i-gironi-ufficiali-2026-27-004083523.html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it.wikipedia.org/wiki/Football_Club_Arzignano_Valchiampo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it.blastingnews.com/calcio/2026/07/ultimora-serie-c-svelati-i-gironi-ufficiali-2026-27-004083523.html" TargetMode="External"/><Relationship Id="rId179" Type="http://schemas.openxmlformats.org/officeDocument/2006/relationships/hyperlink" Target="https://it.wikipedia.org/wiki/Carpi_Football_Club_1909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it.blastingnews.com/calcio/2026/07/ultimora-serie-c-svelati-i-gironi-ufficiali-2026-27-004083523.html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it.blastingnews.com/calcio/2026/07/ultimora-serie-c-svelati-i-gironi-ufficiali-2026-27-004083523.html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it.wikipedia.org/wiki/Unione_Sportiva_Folgore_Caratese" TargetMode="External"/><Relationship Id="rId199" Type="http://schemas.openxmlformats.org/officeDocument/2006/relationships/hyperlink" Target="https://it.wikipedia.org/wiki/Associazione_Sportiva_Giana_Erminio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sport.virgilio.it/calcio/squadre/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italy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sport.virgilio.it/calcio/squadre/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italy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sport.virgilio.it/calcio/squadre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italy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sport.virgilio.it/calcio/squadre/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it.wikipedia.org/wiki/Mantova_1911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italy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sport.virgilio.it/calcio/squadre/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it.wikipedia.org/wiki/Alcione_Milano_Societ%C3%A0_Sportiva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it.blastingnews.com/calcio/2026/07/ultimora-serie-c-svelati-i-gironi-ufficiali-2026-27-004083523.html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it.wikipedia.org/wiki/Virtus_Entella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it.blastingnews.com/calcio/2026/07/ultimora-serie-c-svelati-i-gironi-ufficiali-2026-27-004083523.html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it.wikipedia.org/wiki/Unione_Calcio_AlbinoLeffe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sport.virgilio.it/calcio/squadre/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italy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sport.virgilio.it/calcio/squadre/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italy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sport.virgilio.it/calcio/squadre/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it.wikipedia.org/wiki/Fussball_Club_S%C3%BCdtirol" TargetMode="External"/><Relationship Id="rId107" Type="http://schemas.openxmlformats.org/officeDocument/2006/relationships/hyperlink" Target="https://it.wikipedia.org/wiki/Unione_Sportiva_Catanzaro_1929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sport.virgilio.it/calcio/squadre/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sport.virgilio.it/calcio/squadre/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it.wikipedia.org/wiki/Carrarese_Calcio_1908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sport.virgilio.it/calcio/squadre/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sport.virgilio.it/calcio/squadre/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it.wikipedia.org/wiki/Societ%C3%A0_Sportiva_Juve_Stabia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sport.virgilio.it/calcio/squadre/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sport.virgilio.it/calcio/squadre/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www.rsssf.org/colours/italy.html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sport.virgilio.it/calcio/squadre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italy.html" TargetMode="External"/><Relationship Id="rId119" Type="http://schemas.openxmlformats.org/officeDocument/2006/relationships/hyperlink" Target="https://it.wikipedia.org/wiki/Empoli_Football_Club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sport.virgilio.it/calcio/squadre/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italy.html" TargetMode="External"/><Relationship Id="rId404" Type="http://schemas.openxmlformats.org/officeDocument/2006/relationships/drawing" Target="../drawings/drawing8.xml"/><Relationship Id="rId403" Type="http://schemas.openxmlformats.org/officeDocument/2006/relationships/hyperlink" Target="https://it.wikipedia.org/wiki/Team_Altamura" TargetMode="External"/><Relationship Id="rId402" Type="http://schemas.openxmlformats.org/officeDocument/2006/relationships/hyperlink" Target="about:blank" TargetMode="External"/><Relationship Id="rId401" Type="http://schemas.openxmlformats.org/officeDocument/2006/relationships/hyperlink" Target="https://it.blastingnews.com/calcio/2026/07/ultimora-serie-c-svelati-i-gironi-ufficiali-2026-27-004083523.html" TargetMode="External"/><Relationship Id="rId407" Type="http://schemas.openxmlformats.org/officeDocument/2006/relationships/table" Target="../tables/table6.xml"/><Relationship Id="rId405" Type="http://schemas.openxmlformats.org/officeDocument/2006/relationships/vmlDrawing" Target="../drawings/vmlDrawing6.vml"/><Relationship Id="rId400" Type="http://schemas.openxmlformats.org/officeDocument/2006/relationships/hyperlink" Target="about:blank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en.wikipedia.org/wiki/2026%E2%80%9327_Bundesliga" TargetMode="External"/><Relationship Id="rId5" Type="http://schemas.openxmlformats.org/officeDocument/2006/relationships/hyperlink" Target="https://en.wikipedia.org/wiki/2026%E2%80%9327_Bundesliga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rsssf.org/colours/germany.html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en.wikipedia.org/wiki/2026%E2%80%9327_Bundesliga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de.wikipedia.org/wiki/RB_Leipzig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en.wikipedia.org/wiki/2026%E2%80%9327_Bundesliga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germany.html" TargetMode="External"/><Relationship Id="rId49" Type="http://schemas.openxmlformats.org/officeDocument/2006/relationships/hyperlink" Target="https://en.wikipedia.org/wiki/2026%E2%80%9327_Bundesliga" TargetMode="External"/><Relationship Id="rId31" Type="http://schemas.openxmlformats.org/officeDocument/2006/relationships/hyperlink" Target="https://de.wikipedia.org/wiki/FC_Augsburg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en.wikipedia.org/wiki/2026%E2%80%9327_Bundesliga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de.wikipedia.org/wiki/Hamburger_SV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en.wikipedia.org/wiki/2026%E2%80%9327_Bundesliga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de.wikipedia.org/wiki/1._FSV_Mainz_05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en.wikipedia.org/wiki/2026%E2%80%9327_Bundesliga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de.wikipedia.org/wiki/Borussia_M%C3%B6nchengladbach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en.wikipedia.org/wiki/2026%E2%80%9327_Bundesliga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germany.html" TargetMode="External"/><Relationship Id="rId29" Type="http://schemas.openxmlformats.org/officeDocument/2006/relationships/hyperlink" Target="https://en.wikipedia.org/wiki/2026%E2%80%9327_Bundesliga" TargetMode="External"/><Relationship Id="rId11" Type="http://schemas.openxmlformats.org/officeDocument/2006/relationships/hyperlink" Target="https://www.rsssf.org/colours/germany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en.wikipedia.org/wiki/2026%E2%80%9327_Bundesliga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germany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en.wikipedia.org/wiki/2026%E2%80%9327_Bundesliga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germany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germany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bundesliga.com/de/2bundesliga/tabelle?view=full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rsssf.org/colours/germany.html" TargetMode="External"/><Relationship Id="rId89" Type="http://schemas.openxmlformats.org/officeDocument/2006/relationships/hyperlink" Target="https://www.bundesliga.com/de/2bundesliga/tabelle?view=full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bundesliga.com/de/2bundesliga/tabelle?view=full" TargetMode="External"/><Relationship Id="rId73" Type="http://schemas.openxmlformats.org/officeDocument/2006/relationships/hyperlink" Target="https://en.wikipedia.org/wiki/2026%E2%80%9327_Bundesliga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germany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bundesliga.com/de/2bundesliga/tabelle?view=full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de.wikipedia.org/wiki/1._FC_Heidenheim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germany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en.wikipedia.org/wiki/2026%E2%80%9327_Bundesliga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de.wikipedia.org/wiki/TSG_1899_Hoffenheim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en.wikipedia.org/wiki/2026%E2%80%9327_Bundesliga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germany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en.wikipedia.org/wiki/2026%E2%80%9327_Bundesliga" TargetMode="External"/><Relationship Id="rId51" Type="http://schemas.openxmlformats.org/officeDocument/2006/relationships/hyperlink" Target="https://de.wikipedia.org/wiki/SC_Paderborn_07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en.wikipedia.org/wiki/2026%E2%80%9327_Bundesliga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germany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en.wikipedia.org/wiki/2026%E2%80%9327_Bundesliga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de.wikipedia.org/wiki/SV_Elversberg" TargetMode="External"/><Relationship Id="rId58" Type="http://schemas.openxmlformats.org/officeDocument/2006/relationships/hyperlink" Target="about:blank" TargetMode="External"/><Relationship Id="rId95" Type="http://schemas.openxmlformats.org/officeDocument/2006/relationships/hyperlink" Target="https://www.rsssf.org/colours/germany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bundesliga.com/de/2bundesliga/tabelle?view=full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germany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germany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bundesliga.com/de/2bundesliga/tabelle?view=full" TargetMode="External"/><Relationship Id="rId92" Type="http://schemas.openxmlformats.org/officeDocument/2006/relationships/hyperlink" Target="about:blank" TargetMode="External"/><Relationship Id="rId228" Type="http://schemas.openxmlformats.org/officeDocument/2006/relationships/drawing" Target="../drawings/drawing9.xml"/><Relationship Id="rId227" Type="http://schemas.openxmlformats.org/officeDocument/2006/relationships/hyperlink" Target="https://de.wikipedia.org/wiki/W%C3%BCrzburger_Kickers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dfb.de/news/teilnehmerfeld-der-3-liga-steht-fest-havelse-rueckt-fuer-1860-nach" TargetMode="External"/><Relationship Id="rId229" Type="http://schemas.openxmlformats.org/officeDocument/2006/relationships/vmlDrawing" Target="../drawings/vmlDrawing7.vm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www.rsssf.org/colours/germany.html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dfb.de/news/teilnehmerfeld-der-3-liga-steht-fest-havelse-rueckt-fuer-1860-nach" TargetMode="External"/><Relationship Id="rId217" Type="http://schemas.openxmlformats.org/officeDocument/2006/relationships/hyperlink" Target="https://www.dfb.de/news/teilnehmerfeld-der-3-liga-steht-fest-havelse-rueckt-fuer-1860-nach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www.rsssf.org/colours/germany.html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de.wikipedia.org/wiki/FC_Viktoria_K%C3%B6ln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www.dfb.de/news/teilnehmerfeld-der-3-liga-steht-fest-havelse-rueckt-fuer-1860-nach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de.wikipedia.org/wiki/TSV_Havelse" TargetMode="External"/><Relationship Id="rId210" Type="http://schemas.openxmlformats.org/officeDocument/2006/relationships/hyperlink" Target="about:blank" TargetMode="External"/><Relationship Id="rId231" Type="http://schemas.openxmlformats.org/officeDocument/2006/relationships/table" Target="../tables/table7.xm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dfb.de/news/teilnehmerfeld-der-3-liga-steht-fest-havelse-rueckt-fuer-1860-nach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de.wikipedia.org/wiki/SV_Wehen_Wiesbaden" TargetMode="External"/><Relationship Id="rId209" Type="http://schemas.openxmlformats.org/officeDocument/2006/relationships/hyperlink" Target="https://www.dfb.de/news/teilnehmerfeld-der-3-liga-steht-fest-havelse-rueckt-fuer-1860-nach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de.wikipedia.org/wiki/TSG_1899_Hoffenheim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www.dfb.de/news/teilnehmerfeld-der-3-liga-steht-fest-havelse-rueckt-fuer-1860-nach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dfb.de/news/teilnehmerfeld-der-3-liga-steht-fest-havelse-rueckt-fuer-1860-nach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germany.html" TargetMode="External"/><Relationship Id="rId187" Type="http://schemas.openxmlformats.org/officeDocument/2006/relationships/hyperlink" Target="https://www.rsssf.org/colours/germany.html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dfb.de/news/teilnehmerfeld-der-3-liga-steht-fest-havelse-rueckt-fuer-1860-nach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dfb.de/news/teilnehmerfeld-der-3-liga-steht-fest-havelse-rueckt-fuer-1860-nach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de.wikipedia.org/wiki/Preu%C3%9Fen_M%C3%BCnster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dfb.de/news/teilnehmerfeld-der-3-liga-steht-fest-havelse-rueckt-fuer-1860-nach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de.wikipedia.org/wiki/SSV_Jahn_Regensburg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dfb.de/news/teilnehmerfeld-der-3-liga-steht-fest-havelse-rueckt-fuer-1860-nach" TargetMode="External"/><Relationship Id="rId179" Type="http://schemas.openxmlformats.org/officeDocument/2006/relationships/hyperlink" Target="https://www.rsssf.org/colours/germany.html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dfb.de/news/teilnehmerfeld-der-3-liga-steht-fest-havelse-rueckt-fuer-1860-nach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dfb.de/news/teilnehmerfeld-der-3-liga-steht-fest-havelse-rueckt-fuer-1860-nach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de.wikipedia.org/wiki/SG_Sonnenhof_Gro%C3%9Faspach" TargetMode="External"/><Relationship Id="rId199" Type="http://schemas.openxmlformats.org/officeDocument/2006/relationships/hyperlink" Target="https://www.rsssf.org/colours/germany.html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dfb.de/news/teilnehmerfeld-der-3-liga-steht-fest-havelse-rueckt-fuer-1860-nach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germany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bundesliga.com/de/2bundesliga/tabelle?view=full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germany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bundesliga.com/de/2bundesliga/tabelle?view=full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germany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bundesliga.com/de/2bundesliga/tabelle?view=full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germany.html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germany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bundesliga.com/de/2bundesliga/tabelle?view=full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de.wikipedia.org/wiki/Hansa_Rostock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dfb.de/news/teilnehmerfeld-der-3-liga-steht-fest-havelse-rueckt-fuer-1860-nach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rsssf.org/colours/germany.html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dfb.de/news/teilnehmerfeld-der-3-liga-steht-fest-havelse-rueckt-fuer-1860-nach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www.rsssf.org/colours/germany.html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dfb.de/news/teilnehmerfeld-der-3-liga-steht-fest-havelse-rueckt-fuer-1860-nach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de.wikipedia.org/wiki/FC_Ingolstadt_04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dfb.de/news/teilnehmerfeld-der-3-liga-steht-fest-havelse-rueckt-fuer-1860-nach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germany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dfb.de/news/teilnehmerfeld-der-3-liga-steht-fest-havelse-rueckt-fuer-1860-nach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www.rsssf.org/colours/germany.html" TargetMode="External"/><Relationship Id="rId107" Type="http://schemas.openxmlformats.org/officeDocument/2006/relationships/hyperlink" Target="https://www.rsssf.org/colours/germany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bundesliga.com/de/2bundesliga/tabelle?view=full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bundesliga.com/de/2bundesliga/tabelle?view=full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germany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bundesliga.com/de/2bundesliga/tabelle?view=full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www.bundesliga.com/de/2bundesliga/tabelle?view=full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www.rsssf.org/colours/germany.html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www.bundesliga.com/de/2bundesliga/tabelle?view=full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www.bundesliga.com/de/2bundesliga/tabelle?view=full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de.wikipedia.org/wiki/Hannover_96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bundesliga.com/de/2bundesliga/tabelle?view=full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germany.html" TargetMode="External"/><Relationship Id="rId119" Type="http://schemas.openxmlformats.org/officeDocument/2006/relationships/hyperlink" Target="https://www.rsssf.org/colours/germany.html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bundesliga.com/de/2bundesliga/tabelle?view=full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de.wikipedia.org/wiki/Energie_Cottbus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ligue1.com/en/articles/l1_article_5292-the-2026-27-ligue-1-mc-donald-s-calendar-is-released" TargetMode="External"/><Relationship Id="rId5" Type="http://schemas.openxmlformats.org/officeDocument/2006/relationships/hyperlink" Target="https://ligue1.com/en/articles/l1_article_5292-the-2026-27-ligue-1-mc-donald-s-calendar-is-released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www.rsssf.org/colours/france.html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ligue1.com/en/articles/l1_article_5292-the-2026-27-ligue-1-mc-donald-s-calendar-is-released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france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ligue1.com/en/articles/l1_article_5292-the-2026-27-ligue-1-mc-donald-s-calendar-is-released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france.html" TargetMode="External"/><Relationship Id="rId49" Type="http://schemas.openxmlformats.org/officeDocument/2006/relationships/hyperlink" Target="https://ligue1.com/en/articles/l1_article_5292-the-2026-27-ligue-1-mc-donald-s-calendar-is-released" TargetMode="External"/><Relationship Id="rId31" Type="http://schemas.openxmlformats.org/officeDocument/2006/relationships/hyperlink" Target="https://www.rsssf.org/colours/france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ligue1.com/en/articles/l1_article_5292-the-2026-27-ligue-1-mc-donald-s-calendar-is-released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fr.wikipedia.org/wiki/Football_Club_Lorient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ligue1.com/en/articles/l1_article_5292-the-2026-27-ligue-1-mc-donald-s-calendar-is-released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france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ligue1.com/en/articles/l1_article_5292-the-2026-27-ligue-1-mc-donald-s-calendar-is-released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france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ligue1.com/en/articles/l1_article_5292-the-2026-27-ligue-1-mc-donald-s-calendar-is-released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france.html" TargetMode="External"/><Relationship Id="rId29" Type="http://schemas.openxmlformats.org/officeDocument/2006/relationships/hyperlink" Target="https://ligue1.com/en/articles/l1_article_5292-the-2026-27-ligue-1-mc-donald-s-calendar-is-released" TargetMode="External"/><Relationship Id="rId11" Type="http://schemas.openxmlformats.org/officeDocument/2006/relationships/hyperlink" Target="https://www.rsssf.org/colours/france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ligue1.com/en/articles/l1_article_5292-the-2026-27-ligue-1-mc-donald-s-calendar-is-released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france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ligue1.com/en/articles/l1_article_5292-the-2026-27-ligue-1-mc-donald-s-calendar-is-released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france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fr.wikipedia.org/wiki/Union_sportive_Boulogne_C%C3%B4te_d%27Opale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en.wikipedia.org/wiki/2026%E2%80%9327_Ligue_2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fr.wikipedia.org/wiki/Clermont_Foot_63" TargetMode="External"/><Relationship Id="rId89" Type="http://schemas.openxmlformats.org/officeDocument/2006/relationships/hyperlink" Target="https://en.wikipedia.org/wiki/2026%E2%80%9327_Ligue_2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en.wikipedia.org/wiki/2026%E2%80%9327_Ligue_2" TargetMode="External"/><Relationship Id="rId73" Type="http://schemas.openxmlformats.org/officeDocument/2006/relationships/hyperlink" Target="https://ligue1.com/en/articles/l1_article_5292-the-2026-27-ligue-1-mc-donald-s-calendar-is-released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rsssf.org/colours/france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en.wikipedia.org/wiki/2026%E2%80%9327_Ligue_2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france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france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ligue1.com/en/articles/l1_article_5292-the-2026-27-ligue-1-mc-donald-s-calendar-is-released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fr.wikipedia.org/wiki/Stade_rennais_football_club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ligue1.com/en/articles/l1_article_5292-the-2026-27-ligue-1-mc-donald-s-calendar-is-released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france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ligue1.com/en/articles/l1_article_5292-the-2026-27-ligue-1-mc-donald-s-calendar-is-released" TargetMode="External"/><Relationship Id="rId51" Type="http://schemas.openxmlformats.org/officeDocument/2006/relationships/hyperlink" Target="https://www.ogcnice.com/fr/article/126970/par-amour-de-lart.html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ligue1.com/en/articles/l1_article_5292-the-2026-27-ligue-1-mc-donald-s-calendar-is-released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fr.wikipedia.org/wiki/Paris_Football_Club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ligue1.com/en/articles/l1_article_5292-the-2026-27-ligue-1-mc-donald-s-calendar-is-released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www.rsssf.org/colours/france.html" TargetMode="External"/><Relationship Id="rId58" Type="http://schemas.openxmlformats.org/officeDocument/2006/relationships/hyperlink" Target="about:blank" TargetMode="External"/><Relationship Id="rId95" Type="http://schemas.openxmlformats.org/officeDocument/2006/relationships/hyperlink" Target="https://www.rsssf.org/colours/france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en.wikipedia.org/wiki/2026%E2%80%9327_Ligue_2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fr.wikipedia.org/wiki/Grenoble_Foot_38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fr.wikipedia.org/wiki/Dijon_Football_C%C3%B4te-d%27Or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en.wikipedia.org/wiki/2026%E2%80%9327_Ligue_2" TargetMode="External"/><Relationship Id="rId92" Type="http://schemas.openxmlformats.org/officeDocument/2006/relationships/hyperlink" Target="about:blank" TargetMode="External"/><Relationship Id="rId220" Type="http://schemas.openxmlformats.org/officeDocument/2006/relationships/drawing" Target="../drawings/drawing10.xml"/><Relationship Id="rId223" Type="http://schemas.openxmlformats.org/officeDocument/2006/relationships/table" Target="../tables/table8.xml"/><Relationship Id="rId221" Type="http://schemas.openxmlformats.org/officeDocument/2006/relationships/vmlDrawing" Target="../drawings/vmlDrawing8.vml"/><Relationship Id="rId217" Type="http://schemas.openxmlformats.org/officeDocument/2006/relationships/hyperlink" Target="https://www.fff.fr/article/17022-le-calendrier-2026-2027-est-servi.html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fr.wikipedia.org/wiki/Football_Club_Versailles_78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fr.wikipedia.org/wiki/Football_Club_Villefranche_Beaujolais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www.fff.fr/article/17022-le-calendrier-2026-2027-est-servi.html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www.rsssf.org/colours/france.html" TargetMode="External"/><Relationship Id="rId210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fff.fr/article/17022-le-calendrier-2026-2027-est-servi.html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www.rsssf.org/colours/france.html" TargetMode="External"/><Relationship Id="rId209" Type="http://schemas.openxmlformats.org/officeDocument/2006/relationships/hyperlink" Target="https://www.fff.fr/article/17022-le-calendrier-2026-2027-est-servi.html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fr.wikipedia.org/wiki/Union_sportive_Thionville_Lusitanos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www.fff.fr/article/17022-le-calendrier-2026-2027-est-servi.html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fff.fr/article/17022-le-calendrier-2026-2027-est-servi.html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france.html" TargetMode="External"/><Relationship Id="rId187" Type="http://schemas.openxmlformats.org/officeDocument/2006/relationships/hyperlink" Target="https://fr.wikipedia.org/wiki/Le_Puy_Foot_43_Auvergne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fff.fr/article/17022-le-calendrier-2026-2027-est-servi.html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fff.fr/article/17022-le-calendrier-2026-2027-est-servi.html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fr.wikipedia.org/wiki/Vend%C3%A9e_Foot_Club_La_Roche-sur-Yon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fff.fr/article/17022-le-calendrier-2026-2027-est-servi.html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fr.wikipedia.org/wiki/Union_sportive_concarnoise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fff.fr/article/17022-le-calendrier-2026-2027-est-servi.html" TargetMode="External"/><Relationship Id="rId179" Type="http://schemas.openxmlformats.org/officeDocument/2006/relationships/hyperlink" Target="https://fr.wikipedia.org/wiki/Football_Club_Fleury_91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fff.fr/article/17022-le-calendrier-2026-2027-est-servi.html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fff.fr/article/17022-le-calendrier-2026-2027-est-servi.html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fr.wikipedia.org/wiki/Paris_13_Atletico" TargetMode="External"/><Relationship Id="rId199" Type="http://schemas.openxmlformats.org/officeDocument/2006/relationships/hyperlink" Target="https://fr.wikipedia.org/wiki/Union_sportive_Quevilly-Rouen_M%C3%A9tropole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fff.fr/article/17022-le-calendrier-2026-2027-est-servi.html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france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en.wikipedia.org/wiki/2026%E2%80%9327_Ligue_2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france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en.wikipedia.org/wiki/2026%E2%80%9327_Ligue_2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france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en.wikipedia.org/wiki/2026%E2%80%9327_Ligue_2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www.rsssf.org/colours/france.html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france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en.wikipedia.org/wiki/2026%E2%80%9327_Ligue_2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fr.wikipedia.org/wiki/Association_sportive_de_Cannes_(football)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fff.fr/article/17022-le-calendrier-2026-2027-est-servi.html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fr.wikipedia.org/wiki/Football_Bourg-en-Bresse_P%C3%A9ronnas_01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fff.fr/article/17022-le-calendrier-2026-2027-est-servi.html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www.rsssf.org/colours/france.html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fff.fr/article/17022-le-calendrier-2026-2027-est-servi.html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france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fff.fr/article/17022-le-calendrier-2026-2027-est-servi.html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fr.wikipedia.org/wiki/Amiens_Sporting_Club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fff.fr/article/17022-le-calendrier-2026-2027-est-servi.html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fr.wikipedia.org/wiki/Aubagne_Football_Club" TargetMode="External"/><Relationship Id="rId107" Type="http://schemas.openxmlformats.org/officeDocument/2006/relationships/hyperlink" Target="https://www.rsssf.org/colours/france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en.wikipedia.org/wiki/2026%E2%80%9327_Ligue_2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en.wikipedia.org/wiki/2026%E2%80%9327_Ligue_2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rsssf.org/colours/france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en.wikipedia.org/wiki/2026%E2%80%9327_Ligue_2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en.wikipedia.org/wiki/2026%E2%80%9327_Ligue_2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fr.wikipedia.org/wiki/Pau_Football_Club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en.wikipedia.org/wiki/2026%E2%80%9327_Ligue_2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en.wikipedia.org/wiki/2026%E2%80%9327_Ligue_2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www.rsssf.org/colours/france.html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en.wikipedia.org/wiki/2026%E2%80%9327_Ligue_2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france.html" TargetMode="External"/><Relationship Id="rId119" Type="http://schemas.openxmlformats.org/officeDocument/2006/relationships/hyperlink" Target="https://www.rsssf.org/colours/france.html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en.wikipedia.org/wiki/2026%E2%80%9327_Ligue_2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france.html" TargetMode="External"/></Relationships>
</file>

<file path=xl/worksheets/_rels/sheet11.xml.rels><?xml version="1.0" encoding="UTF-8" standalone="yes"?><Relationships xmlns="http://schemas.openxmlformats.org/package/2006/relationships"><Relationship Id="rId392" Type="http://schemas.openxmlformats.org/officeDocument/2006/relationships/hyperlink" Target="https://liga2.prosport.ro/liga-3/componenta-seriilor-noului-sezon-de-liga-3-editia-2026-2027-19397075" TargetMode="External"/><Relationship Id="rId391" Type="http://schemas.openxmlformats.org/officeDocument/2006/relationships/hyperlink" Target="about:blank" TargetMode="External"/><Relationship Id="rId390" Type="http://schemas.openxmlformats.org/officeDocument/2006/relationships/hyperlink" Target="about:blank" TargetMode="External"/><Relationship Id="rId1" Type="http://schemas.openxmlformats.org/officeDocument/2006/relationships/comments" Target="../comments9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lpf.ro/liga-1" TargetMode="External"/><Relationship Id="rId385" Type="http://schemas.openxmlformats.org/officeDocument/2006/relationships/hyperlink" Target="about:blank" TargetMode="External"/><Relationship Id="rId384" Type="http://schemas.openxmlformats.org/officeDocument/2006/relationships/hyperlink" Target="about:blank" TargetMode="External"/><Relationship Id="rId383" Type="http://schemas.openxmlformats.org/officeDocument/2006/relationships/hyperlink" Target="https://liga2.prosport.ro/liga-3/componenta-seriilor-noului-sezon-de-liga-3-editia-2026-2027-19397075" TargetMode="External"/><Relationship Id="rId382" Type="http://schemas.openxmlformats.org/officeDocument/2006/relationships/hyperlink" Target="about:blank" TargetMode="External"/><Relationship Id="rId5" Type="http://schemas.openxmlformats.org/officeDocument/2006/relationships/hyperlink" Target="https://lpf.ro/liga-1" TargetMode="External"/><Relationship Id="rId389" Type="http://schemas.openxmlformats.org/officeDocument/2006/relationships/hyperlink" Target="https://liga2.prosport.ro/liga-3/componenta-seriilor-noului-sezon-de-liga-3-editia-2026-2027-19397075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https://en.wikipedia.org/wiki/CFR_Cluj" TargetMode="External"/><Relationship Id="rId387" Type="http://schemas.openxmlformats.org/officeDocument/2006/relationships/hyperlink" Target="about:blank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https://liga2.prosport.ro/liga-3/componenta-seriilor-noului-sezon-de-liga-3-editia-2026-2027-19397075" TargetMode="External"/><Relationship Id="rId381" Type="http://schemas.openxmlformats.org/officeDocument/2006/relationships/hyperlink" Target="about:blank" TargetMode="External"/><Relationship Id="rId380" Type="http://schemas.openxmlformats.org/officeDocument/2006/relationships/hyperlink" Target="https://liga2.prosport.ro/liga-3/componenta-seriilor-noului-sezon-de-liga-3-editia-2026-2027-19397075" TargetMode="External"/><Relationship Id="rId379" Type="http://schemas.openxmlformats.org/officeDocument/2006/relationships/hyperlink" Target="about:blank" TargetMode="External"/><Relationship Id="rId374" Type="http://schemas.openxmlformats.org/officeDocument/2006/relationships/hyperlink" Target="about:blank" TargetMode="External"/><Relationship Id="rId373" Type="http://schemas.openxmlformats.org/officeDocument/2006/relationships/hyperlink" Target="https://liga2.prosport.ro/liga-3/componenta-seriilor-noului-sezon-de-liga-3-editia-2026-2027-19397075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about:blank" TargetMode="External"/><Relationship Id="rId378" Type="http://schemas.openxmlformats.org/officeDocument/2006/relationships/hyperlink" Target="about:blank" TargetMode="External"/><Relationship Id="rId377" Type="http://schemas.openxmlformats.org/officeDocument/2006/relationships/hyperlink" Target="https://liga2.prosport.ro/liga-3/componenta-seriilor-noului-sezon-de-liga-3-editia-2026-2027-19397075" TargetMode="External"/><Relationship Id="rId376" Type="http://schemas.openxmlformats.org/officeDocument/2006/relationships/hyperlink" Target="about:blank" TargetMode="External"/><Relationship Id="rId375" Type="http://schemas.openxmlformats.org/officeDocument/2006/relationships/hyperlink" Target="https://en.wikipedia.org/wiki/CS_Universitatea_Craiova" TargetMode="External"/><Relationship Id="rId396" Type="http://schemas.openxmlformats.org/officeDocument/2006/relationships/hyperlink" Target="about:blank" TargetMode="External"/><Relationship Id="rId395" Type="http://schemas.openxmlformats.org/officeDocument/2006/relationships/hyperlink" Target="https://liga2.prosport.ro/liga-3/componenta-seriilor-noului-sezon-de-liga-3-editia-2026-2027-19397075" TargetMode="External"/><Relationship Id="rId394" Type="http://schemas.openxmlformats.org/officeDocument/2006/relationships/hyperlink" Target="about:blank" TargetMode="External"/><Relationship Id="rId393" Type="http://schemas.openxmlformats.org/officeDocument/2006/relationships/hyperlink" Target="about:blank" TargetMode="External"/><Relationship Id="rId399" Type="http://schemas.openxmlformats.org/officeDocument/2006/relationships/hyperlink" Target="about:blank" TargetMode="External"/><Relationship Id="rId398" Type="http://schemas.openxmlformats.org/officeDocument/2006/relationships/hyperlink" Target="https://liga2.prosport.ro/liga-3/componenta-seriilor-noului-sezon-de-liga-3-editia-2026-2027-19397075" TargetMode="External"/><Relationship Id="rId397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lpf.ro/liga-1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en.wikipedia.org/wiki/ASC_O%C8%9Belul_Gala%C8%9Bi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lpf.ro/liga-1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en.wikipedia.org/wiki/FC_Petrolul_Ploie%C8%99ti" TargetMode="External"/><Relationship Id="rId49" Type="http://schemas.openxmlformats.org/officeDocument/2006/relationships/hyperlink" Target="https://lpf.ro/liga-1" TargetMode="External"/><Relationship Id="rId31" Type="http://schemas.openxmlformats.org/officeDocument/2006/relationships/hyperlink" Target="https://ro.wikipedia.org/wiki/FC_Boto%C8%99ani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lpf.ro/liga-1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the-sports.org/football-soccer-fc-voluntari-results-identity-equ44644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lpf.ro/liga-1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en.wikipedia.org/wiki/FCSB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lpf.ro/liga-1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en.wikipedia.org/wiki/FCV_Farul_Constan%C8%9Ba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lpf.ro/liga-1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ro.wikipedia.org/wiki/FC_Arge%C8%99_Pite%C8%99ti" TargetMode="External"/><Relationship Id="rId29" Type="http://schemas.openxmlformats.org/officeDocument/2006/relationships/hyperlink" Target="https://lpf.ro/liga-1" TargetMode="External"/><Relationship Id="rId11" Type="http://schemas.openxmlformats.org/officeDocument/2006/relationships/hyperlink" Target="https://en.wikipedia.org/wiki/CS_Corvinul_Hunedoara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lpf.ro/liga-1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en.wikipedia.org/wiki/FK_Cs%C3%ADkszereda_Miercurea_Ciuc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lpf.ro/liga-1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ro.wikipedia.org/wiki/FC_Dinamo_Bucure%C8%99ti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en.wikipedia.org/wiki/CS_Afuma%C8%9Bi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89" Type="http://schemas.openxmlformats.org/officeDocument/2006/relationships/hyperlink" Target="https://en.wikipedia.org/wiki/CS_Dinamo_Bucure%C8%99ti_(football)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en.wikipedia.org/wiki/CS_Concordia_Chiajna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7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en.wikipedia.org/wiki/AFC_Chindia_T%C3%A2rgovi%C8%99te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about:blank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lpf.ro/liga-1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en.wikipedia.org/wiki/CS_Universitatea_Craiova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lpf.ro/liga-1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ro.wikipedia.org/wiki/FC_UTA_Arad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51" Type="http://schemas.openxmlformats.org/officeDocument/2006/relationships/hyperlink" Target="https://ro.wikipedia.org/wiki/FC_Rapid_Bucure%C8%99ti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lpf.ro/liga-1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en.wikipedia.org/wiki/Sepsi_OSK_Sf%C3%A2ntu_Gheorghe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lpf.ro/liga-1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ro.wikipedia.org/wiki/FC_Universitatea_Cluj" TargetMode="External"/><Relationship Id="rId58" Type="http://schemas.openxmlformats.org/officeDocument/2006/relationships/hyperlink" Target="about:blank" TargetMode="External"/><Relationship Id="rId349" Type="http://schemas.openxmlformats.org/officeDocument/2006/relationships/hyperlink" Target="about:blank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liga2.prosport.ro/liga-3/componenta-seriilor-noului-sezon-de-liga-3-editia-2026-2027-19397075" TargetMode="External"/><Relationship Id="rId346" Type="http://schemas.openxmlformats.org/officeDocument/2006/relationships/hyperlink" Target="about:blank" TargetMode="External"/><Relationship Id="rId341" Type="http://schemas.openxmlformats.org/officeDocument/2006/relationships/hyperlink" Target="about:blank" TargetMode="External"/><Relationship Id="rId340" Type="http://schemas.openxmlformats.org/officeDocument/2006/relationships/hyperlink" Target="https://liga2.prosport.ro/liga-3/componenta-seriilor-noului-sezon-de-liga-3-editia-2026-2027-19397075" TargetMode="External"/><Relationship Id="rId345" Type="http://schemas.openxmlformats.org/officeDocument/2006/relationships/hyperlink" Target="https://en.wikipedia.org/wiki/CSO_Filia%C8%99i" TargetMode="External"/><Relationship Id="rId344" Type="http://schemas.openxmlformats.org/officeDocument/2006/relationships/hyperlink" Target="about:blank" TargetMode="External"/><Relationship Id="rId343" Type="http://schemas.openxmlformats.org/officeDocument/2006/relationships/hyperlink" Target="https://liga2.prosport.ro/liga-3/componenta-seriilor-noului-sezon-de-liga-3-editia-2026-2027-19397075" TargetMode="External"/><Relationship Id="rId342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liga2.prosport.ro/liga-3/componenta-seriilor-noului-sezon-de-liga-3-editia-2026-2027-19397075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about:blank" TargetMode="External"/><Relationship Id="rId339" Type="http://schemas.openxmlformats.org/officeDocument/2006/relationships/hyperlink" Target="about:blank" TargetMode="External"/><Relationship Id="rId330" Type="http://schemas.openxmlformats.org/officeDocument/2006/relationships/hyperlink" Target="about:blank" TargetMode="External"/><Relationship Id="rId334" Type="http://schemas.openxmlformats.org/officeDocument/2006/relationships/hyperlink" Target="https://liga2.prosport.ro/liga-3/componenta-seriilor-noului-sezon-de-liga-3-editia-2026-2027-19397075" TargetMode="External"/><Relationship Id="rId333" Type="http://schemas.openxmlformats.org/officeDocument/2006/relationships/hyperlink" Target="about:blank" TargetMode="External"/><Relationship Id="rId332" Type="http://schemas.openxmlformats.org/officeDocument/2006/relationships/hyperlink" Target="about:blank" TargetMode="External"/><Relationship Id="rId331" Type="http://schemas.openxmlformats.org/officeDocument/2006/relationships/hyperlink" Target="https://liga2.prosport.ro/liga-3/componenta-seriilor-noului-sezon-de-liga-3-editia-2026-2027-19397075" TargetMode="External"/><Relationship Id="rId370" Type="http://schemas.openxmlformats.org/officeDocument/2006/relationships/hyperlink" Target="https://liga2.prosport.ro/liga-3/componenta-seriilor-noului-sezon-de-liga-3-editia-2026-2027-19397075" TargetMode="External"/><Relationship Id="rId369" Type="http://schemas.openxmlformats.org/officeDocument/2006/relationships/hyperlink" Target="about:blank" TargetMode="External"/><Relationship Id="rId368" Type="http://schemas.openxmlformats.org/officeDocument/2006/relationships/hyperlink" Target="about:blank" TargetMode="External"/><Relationship Id="rId363" Type="http://schemas.openxmlformats.org/officeDocument/2006/relationships/hyperlink" Target="about:blank" TargetMode="External"/><Relationship Id="rId362" Type="http://schemas.openxmlformats.org/officeDocument/2006/relationships/hyperlink" Target="https://en.wikipedia.org/wiki/ACS_Minerul_Lupeni" TargetMode="External"/><Relationship Id="rId361" Type="http://schemas.openxmlformats.org/officeDocument/2006/relationships/hyperlink" Target="about:blank" TargetMode="External"/><Relationship Id="rId360" Type="http://schemas.openxmlformats.org/officeDocument/2006/relationships/hyperlink" Target="https://liga2.prosport.ro/liga-3/componenta-seriilor-noului-sezon-de-liga-3-editia-2026-2027-19397075" TargetMode="External"/><Relationship Id="rId367" Type="http://schemas.openxmlformats.org/officeDocument/2006/relationships/hyperlink" Target="https://liga2.prosport.ro/liga-3/componenta-seriilor-noului-sezon-de-liga-3-editia-2026-2027-19397075" TargetMode="External"/><Relationship Id="rId366" Type="http://schemas.openxmlformats.org/officeDocument/2006/relationships/hyperlink" Target="about:blank" TargetMode="External"/><Relationship Id="rId365" Type="http://schemas.openxmlformats.org/officeDocument/2006/relationships/hyperlink" Target="about:blank" TargetMode="External"/><Relationship Id="rId364" Type="http://schemas.openxmlformats.org/officeDocument/2006/relationships/hyperlink" Target="https://liga2.prosport.ro/liga-3/componenta-seriilor-noului-sezon-de-liga-3-editia-2026-2027-19397075" TargetMode="External"/><Relationship Id="rId9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en.wikipedia.org/wiki/CSC_Dumbr%C4%83vi%C8%9Ba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en.wikipedia.org/wiki/CSC_1599_%C8%98elimb%C4%83r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358" Type="http://schemas.openxmlformats.org/officeDocument/2006/relationships/hyperlink" Target="https://en.wikipedia.org/wiki/CSM_Jiul_Petro%C8%99ani" TargetMode="External"/><Relationship Id="rId357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351" Type="http://schemas.openxmlformats.org/officeDocument/2006/relationships/hyperlink" Target="about:blank" TargetMode="External"/><Relationship Id="rId350" Type="http://schemas.openxmlformats.org/officeDocument/2006/relationships/hyperlink" Target="https://liga2.prosport.ro/liga-3/componenta-seriilor-noului-sezon-de-liga-3-editia-2026-2027-19397075" TargetMode="External"/><Relationship Id="rId356" Type="http://schemas.openxmlformats.org/officeDocument/2006/relationships/hyperlink" Target="https://liga2.prosport.ro/liga-3/componenta-seriilor-noului-sezon-de-liga-3-editia-2026-2027-19397075" TargetMode="External"/><Relationship Id="rId355" Type="http://schemas.openxmlformats.org/officeDocument/2006/relationships/hyperlink" Target="about:blank" TargetMode="External"/><Relationship Id="rId354" Type="http://schemas.openxmlformats.org/officeDocument/2006/relationships/hyperlink" Target="about:blank" TargetMode="External"/><Relationship Id="rId353" Type="http://schemas.openxmlformats.org/officeDocument/2006/relationships/hyperlink" Target="https://liga2.prosport.ro/liga-3/componenta-seriilor-noului-sezon-de-liga-3-editia-2026-2027-19397075" TargetMode="External"/><Relationship Id="rId305" Type="http://schemas.openxmlformats.org/officeDocument/2006/relationships/hyperlink" Target="about:blank" TargetMode="External"/><Relationship Id="rId304" Type="http://schemas.openxmlformats.org/officeDocument/2006/relationships/hyperlink" Target="https://liga2.prosport.ro/liga-3/componenta-seriilor-noului-sezon-de-liga-3-editia-2026-2027-19397075" TargetMode="External"/><Relationship Id="rId303" Type="http://schemas.openxmlformats.org/officeDocument/2006/relationships/hyperlink" Target="about:blank" TargetMode="External"/><Relationship Id="rId302" Type="http://schemas.openxmlformats.org/officeDocument/2006/relationships/hyperlink" Target="about:blank" TargetMode="External"/><Relationship Id="rId309" Type="http://schemas.openxmlformats.org/officeDocument/2006/relationships/hyperlink" Target="about:blank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liga2.prosport.ro/liga-3/componenta-seriilor-noului-sezon-de-liga-3-editia-2026-2027-19397075" TargetMode="External"/><Relationship Id="rId306" Type="http://schemas.openxmlformats.org/officeDocument/2006/relationships/hyperlink" Target="about:blank" TargetMode="External"/><Relationship Id="rId301" Type="http://schemas.openxmlformats.org/officeDocument/2006/relationships/hyperlink" Target="https://liga2.prosport.ro/liga-3/componenta-seriilor-noului-sezon-de-liga-3-editia-2026-2027-19397075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about:blank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liga2.prosport.ro/liga-3/componenta-seriilor-noului-sezon-de-liga-3-editia-2026-2027-19397075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about:blank" TargetMode="External"/><Relationship Id="rId328" Type="http://schemas.openxmlformats.org/officeDocument/2006/relationships/hyperlink" Target="https://liga2.prosport.ro/liga-3/componenta-seriilor-noului-sezon-de-liga-3-editia-2026-2027-19397075" TargetMode="External"/><Relationship Id="rId323" Type="http://schemas.openxmlformats.org/officeDocument/2006/relationships/hyperlink" Target="https://en.wikipedia.org/wiki/FCSB" TargetMode="External"/><Relationship Id="rId322" Type="http://schemas.openxmlformats.org/officeDocument/2006/relationships/hyperlink" Target="about:blank" TargetMode="External"/><Relationship Id="rId321" Type="http://schemas.openxmlformats.org/officeDocument/2006/relationships/hyperlink" Target="https://liga2.prosport.ro/liga-3/componenta-seriilor-noului-sezon-de-liga-3-editia-2026-2027-19397075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about:blank" TargetMode="External"/><Relationship Id="rId314" Type="http://schemas.openxmlformats.org/officeDocument/2006/relationships/hyperlink" Target="https://liga2.prosport.ro/liga-3/componenta-seriilor-noului-sezon-de-liga-3-editia-2026-2027-19397075" TargetMode="External"/><Relationship Id="rId313" Type="http://schemas.openxmlformats.org/officeDocument/2006/relationships/hyperlink" Target="about:blank" TargetMode="External"/><Relationship Id="rId319" Type="http://schemas.openxmlformats.org/officeDocument/2006/relationships/hyperlink" Target="https://www.the-sports.org/football-soccer-fc-voluntari-results-identity-equ44644.html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liga2.prosport.ro/liga-3/componenta-seriilor-noului-sezon-de-liga-3-editia-2026-2027-19397075" TargetMode="External"/><Relationship Id="rId312" Type="http://schemas.openxmlformats.org/officeDocument/2006/relationships/hyperlink" Target="https://ro.wikipedia.org/wiki/FC_Dinamo_Bucure%C8%99ti" TargetMode="External"/><Relationship Id="rId311" Type="http://schemas.openxmlformats.org/officeDocument/2006/relationships/hyperlink" Target="about:blank" TargetMode="External"/><Relationship Id="rId310" Type="http://schemas.openxmlformats.org/officeDocument/2006/relationships/hyperlink" Target="https://liga2.prosport.ro/liga-3/componenta-seriilor-noului-sezon-de-liga-3-editia-2026-2027-19397075" TargetMode="External"/><Relationship Id="rId297" Type="http://schemas.openxmlformats.org/officeDocument/2006/relationships/hyperlink" Target="about:blank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www.flashscore.ro/stiri/fotbal-liga-3-2026-2027-serii-echipe-program/Qkhurfcc/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about:blank" TargetMode="External"/><Relationship Id="rId298" Type="http://schemas.openxmlformats.org/officeDocument/2006/relationships/hyperlink" Target="https://www.flashscore.ro/stiri/fotbal-liga-3-2026-2027-serii-echipe-program/Qkhurfcc/" TargetMode="External"/><Relationship Id="rId271" Type="http://schemas.openxmlformats.org/officeDocument/2006/relationships/hyperlink" Target="about:blank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www.flashscore.ro/stiri/fotbal-liga-3-2026-2027-serii-echipe-program/Qkhurfcc/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www.flashscore.ro/stiri/fotbal-liga-3-2026-2027-serii-echipe-program/Qkhurfcc/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about:blank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about:blank" TargetMode="External"/><Relationship Id="rId266" Type="http://schemas.openxmlformats.org/officeDocument/2006/relationships/hyperlink" Target="https://www.flashscore.ro/stiri/fotbal-liga-3-2026-2027-serii-echipe-program/Qkhurfcc/" TargetMode="External"/><Relationship Id="rId265" Type="http://schemas.openxmlformats.org/officeDocument/2006/relationships/hyperlink" Target="about:blank" TargetMode="External"/><Relationship Id="rId260" Type="http://schemas.openxmlformats.org/officeDocument/2006/relationships/hyperlink" Target="https://www.flashscore.ro/stiri/fotbal-liga-3-2026-2027-serii-echipe-program/Qkhurfcc/" TargetMode="External"/><Relationship Id="rId259" Type="http://schemas.openxmlformats.org/officeDocument/2006/relationships/hyperlink" Target="about:blank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about:blank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www.flashscore.ro/stiri/fotbal-liga-3-2026-2027-serii-echipe-program/Qkhurfcc/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https://www.flashscore.ro/stiri/fotbal-liga-3-2026-2027-serii-echipe-program/Qkhurfcc/" TargetMode="External"/><Relationship Id="rId256" Type="http://schemas.openxmlformats.org/officeDocument/2006/relationships/hyperlink" Target="about:blank" TargetMode="External"/><Relationship Id="rId255" Type="http://schemas.openxmlformats.org/officeDocument/2006/relationships/hyperlink" Target="about:blank" TargetMode="External"/><Relationship Id="rId254" Type="http://schemas.openxmlformats.org/officeDocument/2006/relationships/hyperlink" Target="https://www.flashscore.ro/stiri/fotbal-liga-3-2026-2027-serii-echipe-program/Qkhurfcc/" TargetMode="External"/><Relationship Id="rId293" Type="http://schemas.openxmlformats.org/officeDocument/2006/relationships/hyperlink" Target="about:blank" TargetMode="External"/><Relationship Id="rId292" Type="http://schemas.openxmlformats.org/officeDocument/2006/relationships/hyperlink" Target="https://www.flashscore.ro/stiri/fotbal-liga-3-2026-2027-serii-echipe-program/Qkhurfcc/" TargetMode="External"/><Relationship Id="rId291" Type="http://schemas.openxmlformats.org/officeDocument/2006/relationships/hyperlink" Target="about:blank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https://www.flashscore.ro/stiri/fotbal-liga-3-2026-2027-serii-echipe-program/Qkhurfcc/" TargetMode="External"/><Relationship Id="rId285" Type="http://schemas.openxmlformats.org/officeDocument/2006/relationships/hyperlink" Target="about:blank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https://www.flashscore.ro/stiri/fotbal-liga-3-2026-2027-serii-echipe-program/Qkhurfcc/" TargetMode="External"/><Relationship Id="rId289" Type="http://schemas.openxmlformats.org/officeDocument/2006/relationships/hyperlink" Target="https://www.flashscore.ro/stiri/fotbal-liga-3-2026-2027-serii-echipe-program/Qkhurfcc/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about:blank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https://en.wikipedia.org/wiki/ASC_O%C8%9Belul_Gala%C8%9Bi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about:blank" TargetMode="External"/><Relationship Id="rId274" Type="http://schemas.openxmlformats.org/officeDocument/2006/relationships/hyperlink" Target="https://en.wikipedia.org/wiki/FC_Dun%C4%83rea_C%C4%83l%C4%83ra%C8%99i" TargetMode="External"/><Relationship Id="rId273" Type="http://schemas.openxmlformats.org/officeDocument/2006/relationships/hyperlink" Target="about:blank" TargetMode="External"/><Relationship Id="rId272" Type="http://schemas.openxmlformats.org/officeDocument/2006/relationships/hyperlink" Target="https://www.flashscore.ro/stiri/fotbal-liga-3-2026-2027-serii-echipe-program/Qkhurfcc/" TargetMode="External"/><Relationship Id="rId279" Type="http://schemas.openxmlformats.org/officeDocument/2006/relationships/hyperlink" Target="https://www.flashscore.ro/stiri/fotbal-liga-3-2026-2027-serii-echipe-program/Qkhurfcc/" TargetMode="External"/><Relationship Id="rId278" Type="http://schemas.openxmlformats.org/officeDocument/2006/relationships/hyperlink" Target="about:blank" TargetMode="External"/><Relationship Id="rId277" Type="http://schemas.openxmlformats.org/officeDocument/2006/relationships/hyperlink" Target="about:blank" TargetMode="External"/><Relationship Id="rId276" Type="http://schemas.openxmlformats.org/officeDocument/2006/relationships/hyperlink" Target="https://www.flashscore.ro/stiri/fotbal-liga-3-2026-2027-serii-echipe-program/Qkhurfcc/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www.flashscore.ro/stiri/fotbal-liga-3-2026-2027-serii-echipe-program/Qkhurfcc/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about:blank" TargetMode="External"/><Relationship Id="rId229" Type="http://schemas.openxmlformats.org/officeDocument/2006/relationships/hyperlink" Target="about:blank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https://www.flashscore.ro/stiri/fotbal-liga-3-2026-2027-serii-echipe-program/Qkhurfcc/" TargetMode="External"/><Relationship Id="rId223" Type="http://schemas.openxmlformats.org/officeDocument/2006/relationships/hyperlink" Target="about:blank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flashscore.ro/stiri/fotbal-liga-3-2026-2027-serii-echipe-program/Qkhurfcc/" TargetMode="External"/><Relationship Id="rId217" Type="http://schemas.openxmlformats.org/officeDocument/2006/relationships/hyperlink" Target="https://www.flashscore.ro/stiri/fotbal-liga-3-2026-2027-serii-echipe-program/Qkhurfcc/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about:blank" TargetMode="External"/><Relationship Id="rId214" Type="http://schemas.openxmlformats.org/officeDocument/2006/relationships/hyperlink" Target="https://www.flashscore.ro/stiri/fotbal-liga-3-2026-2027-serii-echipe-program/Qkhurfcc/" TargetMode="External"/><Relationship Id="rId219" Type="http://schemas.openxmlformats.org/officeDocument/2006/relationships/hyperlink" Target="https://en.wikipedia.org/wiki/Sepsi_OSK_Sf%C3%A2ntu_Gheorghe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www.flashscore.ro/stiri/fotbal-liga-3-2026-2027-serii-echipe-program/Qkhurfcc/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248" Type="http://schemas.openxmlformats.org/officeDocument/2006/relationships/hyperlink" Target="https://www.flashscore.ro/stiri/fotbal-liga-3-2026-2027-serii-echipe-program/Qkhurfcc/" TargetMode="External"/><Relationship Id="rId247" Type="http://schemas.openxmlformats.org/officeDocument/2006/relationships/hyperlink" Target="about:blank" TargetMode="External"/><Relationship Id="rId242" Type="http://schemas.openxmlformats.org/officeDocument/2006/relationships/hyperlink" Target="https://www.flashscore.ro/stiri/fotbal-liga-3-2026-2027-serii-echipe-program/Qkhurfcc/" TargetMode="External"/><Relationship Id="rId241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www.flashscore.ro/stiri/fotbal-liga-3-2026-2027-serii-echipe-program/Qkhurfcc/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about:blank" TargetMode="External"/><Relationship Id="rId239" Type="http://schemas.openxmlformats.org/officeDocument/2006/relationships/hyperlink" Target="https://www.flashscore.ro/stiri/fotbal-liga-3-2026-2027-serii-echipe-program/Qkhurfcc/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about:blank" TargetMode="External"/><Relationship Id="rId236" Type="http://schemas.openxmlformats.org/officeDocument/2006/relationships/hyperlink" Target="https://www.flashscore.ro/stiri/fotbal-liga-3-2026-2027-serii-echipe-program/Qkhurfcc/" TargetMode="External"/><Relationship Id="rId231" Type="http://schemas.openxmlformats.org/officeDocument/2006/relationships/hyperlink" Target="about:blank" TargetMode="External"/><Relationship Id="rId230" Type="http://schemas.openxmlformats.org/officeDocument/2006/relationships/hyperlink" Target="https://www.flashscore.ro/stiri/fotbal-liga-3-2026-2027-serii-echipe-program/Qkhurfcc/" TargetMode="External"/><Relationship Id="rId235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www.flashscore.ro/stiri/fotbal-liga-3-2026-2027-serii-echipe-program/Qkhurfcc/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flashscore.ro/stiri/fotbal-liga-3-2026-2027-serii-echipe-program/Qkhurfcc/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https://www.flashscore.ro/stiri/fotbal-liga-3-2026-2027-serii-echipe-program/Qkhurfcc/" TargetMode="External"/><Relationship Id="rId207" Type="http://schemas.openxmlformats.org/officeDocument/2006/relationships/hyperlink" Target="about:blank" TargetMode="External"/><Relationship Id="rId202" Type="http://schemas.openxmlformats.org/officeDocument/2006/relationships/hyperlink" Target="https://www.flashscore.ro/stiri/fotbal-liga-3-2026-2027-serii-echipe-program/Qkhurfcc/" TargetMode="External"/><Relationship Id="rId201" Type="http://schemas.openxmlformats.org/officeDocument/2006/relationships/hyperlink" Target="about:blank" TargetMode="External"/><Relationship Id="rId200" Type="http://schemas.openxmlformats.org/officeDocument/2006/relationships/hyperlink" Target="https://en.wikipedia.org/wiki/CSM_S%C4%83cele" TargetMode="External"/><Relationship Id="rId190" Type="http://schemas.openxmlformats.org/officeDocument/2006/relationships/hyperlink" Target="https://en.wikipedia.org/wiki/ACS_Media%C8%99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about:blank" TargetMode="External"/><Relationship Id="rId192" Type="http://schemas.openxmlformats.org/officeDocument/2006/relationships/hyperlink" Target="https://www.flashscore.ro/stiri/fotbal-liga-3-2026-2027-serii-echipe-program/Qkhurfcc/" TargetMode="External"/><Relationship Id="rId191" Type="http://schemas.openxmlformats.org/officeDocument/2006/relationships/hyperlink" Target="about:blank" TargetMode="External"/><Relationship Id="rId187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flashscore.ro/stiri/fotbal-liga-3-2026-2027-serii-echipe-program/Qkhurfcc/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88" Type="http://schemas.openxmlformats.org/officeDocument/2006/relationships/hyperlink" Target="https://www.flashscore.ro/stiri/fotbal-liga-3-2026-2027-serii-echipe-program/Qkhurfcc/" TargetMode="External"/><Relationship Id="rId183" Type="http://schemas.openxmlformats.org/officeDocument/2006/relationships/hyperlink" Target="https://en.wikipedia.org/wiki/KSE_T%C3%A2rgu_Secuiesc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flashscore.ro/stiri/fotbal-liga-3-2026-2027-serii-echipe-program/Qkhurfcc/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www.flashscore.ro/stiri/fotbal-liga-3-2026-2027-serii-echipe-program/Qkhurfcc/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78" Type="http://schemas.openxmlformats.org/officeDocument/2006/relationships/hyperlink" Target="https://www.flashscore.ro/stiri/fotbal-liga-3-2026-2027-serii-echipe-program/Qkhurfcc/" TargetMode="External"/><Relationship Id="rId177" Type="http://schemas.openxmlformats.org/officeDocument/2006/relationships/hyperlink" Target="about:blank" TargetMode="External"/><Relationship Id="rId198" Type="http://schemas.openxmlformats.org/officeDocument/2006/relationships/hyperlink" Target="https://www.flashscore.ro/stiri/fotbal-liga-3-2026-2027-serii-echipe-program/Qkhurfcc/" TargetMode="External"/><Relationship Id="rId197" Type="http://schemas.openxmlformats.org/officeDocument/2006/relationships/hyperlink" Target="about:blank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www.flashscore.ro/stiri/fotbal-liga-3-2026-2027-serii-echipe-program/Qkhurfcc/" TargetMode="External"/><Relationship Id="rId199" Type="http://schemas.openxmlformats.org/officeDocument/2006/relationships/hyperlink" Target="about:blank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flashscore.ro/stiri/fotbal-liga-3-2026-2027-serii-echipe-program/Qkhurfcc/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en.wikipedia.org/wiki/CSA_Steaua_Bucure%C8%99ti_(football)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en.wikipedia.org/wiki/AFC_Unirea_Slobozia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https://en.wikipedia.org/wiki/SSU_Politehnica_Timi%C8%99oara" TargetMode="External"/><Relationship Id="rId131" Type="http://schemas.openxmlformats.org/officeDocument/2006/relationships/hyperlink" Target="about:blank" TargetMode="External"/><Relationship Id="rId13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36" Type="http://schemas.openxmlformats.org/officeDocument/2006/relationships/hyperlink" Target="https://en.wikipedia.org/wiki/SC_Pope%C8%99ti-Leordeni" TargetMode="External"/><Relationship Id="rId135" Type="http://schemas.openxmlformats.org/officeDocument/2006/relationships/hyperlink" Target="about:blank" TargetMode="External"/><Relationship Id="rId134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33" Type="http://schemas.openxmlformats.org/officeDocument/2006/relationships/hyperlink" Target="about:blank" TargetMode="External"/><Relationship Id="rId172" Type="http://schemas.openxmlformats.org/officeDocument/2006/relationships/hyperlink" Target="https://www.flashscore.ro/stiri/fotbal-liga-3-2026-2027-serii-echipe-program/Qkhurfcc/" TargetMode="External"/><Relationship Id="rId171" Type="http://schemas.openxmlformats.org/officeDocument/2006/relationships/hyperlink" Target="about:blank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4" Type="http://schemas.openxmlformats.org/officeDocument/2006/relationships/hyperlink" Target="https://en.wikipedia.org/wiki/CSM_Ceahl%C4%83ul_Piatra_Neam%C8%9B" TargetMode="External"/><Relationship Id="rId163" Type="http://schemas.openxmlformats.org/officeDocument/2006/relationships/hyperlink" Target="about:blank" TargetMode="External"/><Relationship Id="rId162" Type="http://schemas.openxmlformats.org/officeDocument/2006/relationships/hyperlink" Target="https://www.flashscore.ro/stiri/fotbal-liga-3-2026-2027-serii-echipe-program/Qkhurfcc/" TargetMode="External"/><Relationship Id="rId169" Type="http://schemas.openxmlformats.org/officeDocument/2006/relationships/hyperlink" Target="https://www.flashscore.ro/stiri/fotbal-liga-3-2026-2027-serii-echipe-program/Qkhurfcc/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about:blank" TargetMode="External"/><Relationship Id="rId166" Type="http://schemas.openxmlformats.org/officeDocument/2006/relationships/hyperlink" Target="https://www.flashscore.ro/stiri/fotbal-liga-3-2026-2027-serii-echipe-program/Qkhurfcc/" TargetMode="External"/><Relationship Id="rId161" Type="http://schemas.openxmlformats.org/officeDocument/2006/relationships/hyperlink" Target="about:blank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flashscore.ro/stiri/fotbal-liga-3-2026-2027-serii-echipe-program/Qkhurfcc/" TargetMode="External"/><Relationship Id="rId154" Type="http://schemas.openxmlformats.org/officeDocument/2006/relationships/hyperlink" Target="https://en.wikipedia.org/wiki/CS_Aerostar_Bac%C4%83u" TargetMode="External"/><Relationship Id="rId153" Type="http://schemas.openxmlformats.org/officeDocument/2006/relationships/hyperlink" Target="about:blank" TargetMode="External"/><Relationship Id="rId152" Type="http://schemas.openxmlformats.org/officeDocument/2006/relationships/hyperlink" Target="https://www.flashscore.ro/stiri/fotbal-liga-3-2026-2027-serii-echipe-program/Qkhurfcc/" TargetMode="External"/><Relationship Id="rId151" Type="http://schemas.openxmlformats.org/officeDocument/2006/relationships/hyperlink" Target="about:blank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about:blank" TargetMode="External"/><Relationship Id="rId156" Type="http://schemas.openxmlformats.org/officeDocument/2006/relationships/hyperlink" Target="https://www.flashscore.ro/stiri/fotbal-liga-3-2026-2027-serii-echipe-program/Qkhurfcc/" TargetMode="External"/><Relationship Id="rId155" Type="http://schemas.openxmlformats.org/officeDocument/2006/relationships/hyperlink" Target="about:blank" TargetMode="External"/><Relationship Id="rId107" Type="http://schemas.openxmlformats.org/officeDocument/2006/relationships/hyperlink" Target="about:blank" TargetMode="External"/><Relationship Id="rId106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05" Type="http://schemas.openxmlformats.org/officeDocument/2006/relationships/hyperlink" Target="about:blank" TargetMode="External"/><Relationship Id="rId104" Type="http://schemas.openxmlformats.org/officeDocument/2006/relationships/hyperlink" Target="https://en.wikipedia.org/wiki/CSM_Re%C8%99i%C8%9Ba" TargetMode="External"/><Relationship Id="rId109" Type="http://schemas.openxmlformats.org/officeDocument/2006/relationships/hyperlink" Target="about:blank" TargetMode="External"/><Relationship Id="rId108" Type="http://schemas.openxmlformats.org/officeDocument/2006/relationships/hyperlink" Target="https://en.wikipedia.org/wiki/CSM_Slatina_(football)" TargetMode="External"/><Relationship Id="rId103" Type="http://schemas.openxmlformats.org/officeDocument/2006/relationships/hyperlink" Target="about:blank" TargetMode="External"/><Relationship Id="rId102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01" Type="http://schemas.openxmlformats.org/officeDocument/2006/relationships/hyperlink" Target="about:blank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2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25" Type="http://schemas.openxmlformats.org/officeDocument/2006/relationships/hyperlink" Target="about:blank" TargetMode="External"/><Relationship Id="rId124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23" Type="http://schemas.openxmlformats.org/officeDocument/2006/relationships/hyperlink" Target="about:blank" TargetMode="External"/><Relationship Id="rId122" Type="http://schemas.openxmlformats.org/officeDocument/2006/relationships/hyperlink" Target="https://en.wikipedia.org/wiki/FC_Hermannstadt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en.wikipedia.org/wiki/FC_Bihor_Oradea_(2022)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frf.ro/competitii/competitii-masculin/liga-2-casa-pariurilor/au-fost-stabilite-meciurile-sezonului-regular-2026-2027-din-liga-2-casa-pariurilor/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about:blank" TargetMode="External"/><Relationship Id="rId409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403" Type="http://schemas.openxmlformats.org/officeDocument/2006/relationships/hyperlink" Target="about:blank" TargetMode="External"/><Relationship Id="rId402" Type="http://schemas.openxmlformats.org/officeDocument/2006/relationships/hyperlink" Target="https://liga2.prosport.ro/liga-3/componenta-seriilor-noului-sezon-de-liga-3-editia-2026-2027-19397075" TargetMode="External"/><Relationship Id="rId401" Type="http://schemas.openxmlformats.org/officeDocument/2006/relationships/hyperlink" Target="about:blank" TargetMode="External"/><Relationship Id="rId408" Type="http://schemas.openxmlformats.org/officeDocument/2006/relationships/hyperlink" Target="https://liga2.prosport.ro/liga-3/componenta-seriilor-noului-sezon-de-liga-3-editia-2026-2027-19397075" TargetMode="External"/><Relationship Id="rId407" Type="http://schemas.openxmlformats.org/officeDocument/2006/relationships/hyperlink" Target="about:blank" TargetMode="External"/><Relationship Id="rId406" Type="http://schemas.openxmlformats.org/officeDocument/2006/relationships/hyperlink" Target="about:blank" TargetMode="External"/><Relationship Id="rId405" Type="http://schemas.openxmlformats.org/officeDocument/2006/relationships/hyperlink" Target="https://liga2.prosport.ro/liga-3/componenta-seriilor-noului-sezon-de-liga-3-editia-2026-2027-19397075" TargetMode="External"/><Relationship Id="rId400" Type="http://schemas.openxmlformats.org/officeDocument/2006/relationships/hyperlink" Target="https://en.wikipedia.org/wiki/SSU_Politehnica_Timi%C8%99oara" TargetMode="External"/><Relationship Id="rId457" Type="http://schemas.openxmlformats.org/officeDocument/2006/relationships/table" Target="../tables/table9.xml"/><Relationship Id="rId451" Type="http://schemas.openxmlformats.org/officeDocument/2006/relationships/hyperlink" Target="about:blank" TargetMode="External"/><Relationship Id="rId450" Type="http://schemas.openxmlformats.org/officeDocument/2006/relationships/hyperlink" Target="about:blank" TargetMode="External"/><Relationship Id="rId455" Type="http://schemas.openxmlformats.org/officeDocument/2006/relationships/vmlDrawing" Target="../drawings/vmlDrawing9.vml"/><Relationship Id="rId454" Type="http://schemas.openxmlformats.org/officeDocument/2006/relationships/drawing" Target="../drawings/drawing11.xml"/><Relationship Id="rId453" Type="http://schemas.openxmlformats.org/officeDocument/2006/relationships/hyperlink" Target="about:blank" TargetMode="External"/><Relationship Id="rId452" Type="http://schemas.openxmlformats.org/officeDocument/2006/relationships/hyperlink" Target="https://liga2.prosport.ro/liga-3/componenta-seriilor-noului-sezon-de-liga-3-editia-2026-2027-19397075" TargetMode="External"/><Relationship Id="rId426" Type="http://schemas.openxmlformats.org/officeDocument/2006/relationships/hyperlink" Target="about:blank" TargetMode="External"/><Relationship Id="rId425" Type="http://schemas.openxmlformats.org/officeDocument/2006/relationships/hyperlink" Target="about:blank" TargetMode="External"/><Relationship Id="rId424" Type="http://schemas.openxmlformats.org/officeDocument/2006/relationships/hyperlink" Target="https://liga2.prosport.ro/liga-3/componenta-seriilor-noului-sezon-de-liga-3-editia-2026-2027-19397075" TargetMode="External"/><Relationship Id="rId423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428" Type="http://schemas.openxmlformats.org/officeDocument/2006/relationships/hyperlink" Target="about:blank" TargetMode="External"/><Relationship Id="rId427" Type="http://schemas.openxmlformats.org/officeDocument/2006/relationships/hyperlink" Target="https://liga2.prosport.ro/liga-3/componenta-seriilor-noului-sezon-de-liga-3-editia-2026-2027-19397075" TargetMode="External"/><Relationship Id="rId422" Type="http://schemas.openxmlformats.org/officeDocument/2006/relationships/hyperlink" Target="about:blank" TargetMode="External"/><Relationship Id="rId421" Type="http://schemas.openxmlformats.org/officeDocument/2006/relationships/hyperlink" Target="https://liga2.prosport.ro/liga-3/componenta-seriilor-noului-sezon-de-liga-3-editia-2026-2027-19397075" TargetMode="External"/><Relationship Id="rId420" Type="http://schemas.openxmlformats.org/officeDocument/2006/relationships/hyperlink" Target="about:blank" TargetMode="External"/><Relationship Id="rId415" Type="http://schemas.openxmlformats.org/officeDocument/2006/relationships/hyperlink" Target="https://liga2.prosport.ro/liga-3/componenta-seriilor-noului-sezon-de-liga-3-editia-2026-2027-19397075" TargetMode="External"/><Relationship Id="rId414" Type="http://schemas.openxmlformats.org/officeDocument/2006/relationships/hyperlink" Target="about:blank" TargetMode="External"/><Relationship Id="rId413" Type="http://schemas.openxmlformats.org/officeDocument/2006/relationships/hyperlink" Target="about:blank" TargetMode="External"/><Relationship Id="rId412" Type="http://schemas.openxmlformats.org/officeDocument/2006/relationships/hyperlink" Target="https://liga2.prosport.ro/liga-3/componenta-seriilor-noului-sezon-de-liga-3-editia-2026-2027-19397075" TargetMode="External"/><Relationship Id="rId419" Type="http://schemas.openxmlformats.org/officeDocument/2006/relationships/hyperlink" Target="about:blank" TargetMode="External"/><Relationship Id="rId418" Type="http://schemas.openxmlformats.org/officeDocument/2006/relationships/hyperlink" Target="https://liga2.prosport.ro/liga-3/componenta-seriilor-noului-sezon-de-liga-3-editia-2026-2027-19397075" TargetMode="External"/><Relationship Id="rId417" Type="http://schemas.openxmlformats.org/officeDocument/2006/relationships/hyperlink" Target="about:blank" TargetMode="External"/><Relationship Id="rId416" Type="http://schemas.openxmlformats.org/officeDocument/2006/relationships/hyperlink" Target="about:blank" TargetMode="External"/><Relationship Id="rId411" Type="http://schemas.openxmlformats.org/officeDocument/2006/relationships/hyperlink" Target="about:blank" TargetMode="External"/><Relationship Id="rId410" Type="http://schemas.openxmlformats.org/officeDocument/2006/relationships/hyperlink" Target="https://en.wikipedia.org/wiki/CSM_Unirea_Alba_Iulia" TargetMode="External"/><Relationship Id="rId448" Type="http://schemas.openxmlformats.org/officeDocument/2006/relationships/hyperlink" Target="about:blank" TargetMode="External"/><Relationship Id="rId447" Type="http://schemas.openxmlformats.org/officeDocument/2006/relationships/hyperlink" Target="https://en.wikipedia.org/wiki/FC_Unirea_Dej" TargetMode="External"/><Relationship Id="rId446" Type="http://schemas.openxmlformats.org/officeDocument/2006/relationships/hyperlink" Target="about:blank" TargetMode="External"/><Relationship Id="rId445" Type="http://schemas.openxmlformats.org/officeDocument/2006/relationships/hyperlink" Target="https://liga2.prosport.ro/liga-3/componenta-seriilor-noului-sezon-de-liga-3-editia-2026-2027-19397075" TargetMode="External"/><Relationship Id="rId449" Type="http://schemas.openxmlformats.org/officeDocument/2006/relationships/hyperlink" Target="https://liga2.prosport.ro/liga-3/componenta-seriilor-noului-sezon-de-liga-3-editia-2026-2027-19397075" TargetMode="External"/><Relationship Id="rId440" Type="http://schemas.openxmlformats.org/officeDocument/2006/relationships/hyperlink" Target="about:blank" TargetMode="External"/><Relationship Id="rId444" Type="http://schemas.openxmlformats.org/officeDocument/2006/relationships/hyperlink" Target="about:blank" TargetMode="External"/><Relationship Id="rId443" Type="http://schemas.openxmlformats.org/officeDocument/2006/relationships/hyperlink" Target="about:blank" TargetMode="External"/><Relationship Id="rId442" Type="http://schemas.openxmlformats.org/officeDocument/2006/relationships/hyperlink" Target="https://liga2.prosport.ro/liga-3/componenta-seriilor-noului-sezon-de-liga-3-editia-2026-2027-19397075" TargetMode="External"/><Relationship Id="rId441" Type="http://schemas.openxmlformats.org/officeDocument/2006/relationships/hyperlink" Target="about:blank" TargetMode="External"/><Relationship Id="rId437" Type="http://schemas.openxmlformats.org/officeDocument/2006/relationships/hyperlink" Target="about:blank" TargetMode="External"/><Relationship Id="rId436" Type="http://schemas.openxmlformats.org/officeDocument/2006/relationships/hyperlink" Target="https://liga2.prosport.ro/liga-3/componenta-seriilor-noului-sezon-de-liga-3-editia-2026-2027-19397075" TargetMode="External"/><Relationship Id="rId435" Type="http://schemas.openxmlformats.org/officeDocument/2006/relationships/hyperlink" Target="about:blank" TargetMode="External"/><Relationship Id="rId434" Type="http://schemas.openxmlformats.org/officeDocument/2006/relationships/hyperlink" Target="about:blank" TargetMode="External"/><Relationship Id="rId439" Type="http://schemas.openxmlformats.org/officeDocument/2006/relationships/hyperlink" Target="https://liga2.prosport.ro/liga-3/componenta-seriilor-noului-sezon-de-liga-3-editia-2026-2027-19397075" TargetMode="External"/><Relationship Id="rId438" Type="http://schemas.openxmlformats.org/officeDocument/2006/relationships/hyperlink" Target="about:blank" TargetMode="External"/><Relationship Id="rId433" Type="http://schemas.openxmlformats.org/officeDocument/2006/relationships/hyperlink" Target="https://liga2.prosport.ro/liga-3/componenta-seriilor-noului-sezon-de-liga-3-editia-2026-2027-19397075" TargetMode="External"/><Relationship Id="rId432" Type="http://schemas.openxmlformats.org/officeDocument/2006/relationships/hyperlink" Target="about:blank" TargetMode="External"/><Relationship Id="rId431" Type="http://schemas.openxmlformats.org/officeDocument/2006/relationships/hyperlink" Target="about:blank" TargetMode="External"/><Relationship Id="rId430" Type="http://schemas.openxmlformats.org/officeDocument/2006/relationships/hyperlink" Target="https://liga2.prosport.ro/liga-3/componenta-seriilor-noului-sezon-de-liga-3-editia-2026-2027-19397075" TargetMode="External"/></Relationships>
</file>

<file path=xl/worksheets/_rels/sheet12.xml.rels><?xml version="1.0" encoding="UTF-8" standalone="yes"?><Relationships xmlns="http://schemas.openxmlformats.org/package/2006/relationships"><Relationship Id="rId392" Type="http://schemas.openxmlformats.org/officeDocument/2006/relationships/hyperlink" Target="about:blank" TargetMode="External"/><Relationship Id="rId391" Type="http://schemas.openxmlformats.org/officeDocument/2006/relationships/hyperlink" Target="about:blank" TargetMode="External"/><Relationship Id="rId390" Type="http://schemas.openxmlformats.org/officeDocument/2006/relationships/hyperlink" Target="https://www.soccerway.com/greece/gamma-ethniki-group-8/" TargetMode="External"/><Relationship Id="rId1" Type="http://schemas.openxmlformats.org/officeDocument/2006/relationships/comments" Target="../comments10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slgr.gr/en/teams/" TargetMode="External"/><Relationship Id="rId385" Type="http://schemas.openxmlformats.org/officeDocument/2006/relationships/hyperlink" Target="about:blank" TargetMode="External"/><Relationship Id="rId384" Type="http://schemas.openxmlformats.org/officeDocument/2006/relationships/hyperlink" Target="https://www.epo.gr/el/competition/3/stage/1407/group/2072/matches" TargetMode="External"/><Relationship Id="rId383" Type="http://schemas.openxmlformats.org/officeDocument/2006/relationships/hyperlink" Target="about:blank" TargetMode="External"/><Relationship Id="rId382" Type="http://schemas.openxmlformats.org/officeDocument/2006/relationships/hyperlink" Target="https://www.rsssf.org/colours/greece.html" TargetMode="External"/><Relationship Id="rId5" Type="http://schemas.openxmlformats.org/officeDocument/2006/relationships/hyperlink" Target="https://www.slgr.gr/en/teams/" TargetMode="External"/><Relationship Id="rId389" Type="http://schemas.openxmlformats.org/officeDocument/2006/relationships/hyperlink" Target="about:blank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https://www.rsssf.org/colours/greece.html" TargetMode="External"/><Relationship Id="rId387" Type="http://schemas.openxmlformats.org/officeDocument/2006/relationships/hyperlink" Target="https://www.soccerway.com/greece/gamma-ethniki-group-8/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1" Type="http://schemas.openxmlformats.org/officeDocument/2006/relationships/hyperlink" Target="about:blank" TargetMode="External"/><Relationship Id="rId380" Type="http://schemas.openxmlformats.org/officeDocument/2006/relationships/hyperlink" Target="https://www.epo.gr/el/competition/3/stage/1407/group/2072/matches" TargetMode="External"/><Relationship Id="rId379" Type="http://schemas.openxmlformats.org/officeDocument/2006/relationships/hyperlink" Target="about:blank" TargetMode="External"/><Relationship Id="rId374" Type="http://schemas.openxmlformats.org/officeDocument/2006/relationships/hyperlink" Target="https://www.epo.gr/el/competition/3/stage/1407/group/2072/matches" TargetMode="External"/><Relationship Id="rId373" Type="http://schemas.openxmlformats.org/officeDocument/2006/relationships/hyperlink" Target="about:blank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https://www.epo.gr/el/competition/3/stage/1407/group/2072/matches" TargetMode="External"/><Relationship Id="rId378" Type="http://schemas.openxmlformats.org/officeDocument/2006/relationships/hyperlink" Target="about:blank" TargetMode="External"/><Relationship Id="rId377" Type="http://schemas.openxmlformats.org/officeDocument/2006/relationships/hyperlink" Target="https://www.epo.gr/el/competition/3/stage/1407/group/2072/matches" TargetMode="External"/><Relationship Id="rId376" Type="http://schemas.openxmlformats.org/officeDocument/2006/relationships/hyperlink" Target="about:blank" TargetMode="External"/><Relationship Id="rId375" Type="http://schemas.openxmlformats.org/officeDocument/2006/relationships/hyperlink" Target="about:blank" TargetMode="External"/><Relationship Id="rId396" Type="http://schemas.openxmlformats.org/officeDocument/2006/relationships/hyperlink" Target="about:blank" TargetMode="External"/><Relationship Id="rId395" Type="http://schemas.openxmlformats.org/officeDocument/2006/relationships/hyperlink" Target="https://www.rsssf.org/colours/greece.html" TargetMode="External"/><Relationship Id="rId394" Type="http://schemas.openxmlformats.org/officeDocument/2006/relationships/hyperlink" Target="about:blank" TargetMode="External"/><Relationship Id="rId393" Type="http://schemas.openxmlformats.org/officeDocument/2006/relationships/hyperlink" Target="https://www.soccerway.com/greece/gamma-ethniki-group-8/" TargetMode="External"/><Relationship Id="rId399" Type="http://schemas.openxmlformats.org/officeDocument/2006/relationships/hyperlink" Target="https://www.rsssf.org/colours/greece.html" TargetMode="External"/><Relationship Id="rId398" Type="http://schemas.openxmlformats.org/officeDocument/2006/relationships/hyperlink" Target="about:blank" TargetMode="External"/><Relationship Id="rId397" Type="http://schemas.openxmlformats.org/officeDocument/2006/relationships/hyperlink" Target="https://www.soccerway.com/greece/gamma-ethniki-group-8/" TargetMode="External"/><Relationship Id="rId40" Type="http://schemas.openxmlformats.org/officeDocument/2006/relationships/hyperlink" Target="https://www.slgr.gr/en/teams/" TargetMode="External"/><Relationship Id="rId42" Type="http://schemas.openxmlformats.org/officeDocument/2006/relationships/hyperlink" Target="https://www.rsssf.org/colours/greece.html" TargetMode="External"/><Relationship Id="rId41" Type="http://schemas.openxmlformats.org/officeDocument/2006/relationships/hyperlink" Target="about:blank" TargetMode="External"/><Relationship Id="rId44" Type="http://schemas.openxmlformats.org/officeDocument/2006/relationships/hyperlink" Target="https://www.slgr.gr/en/teams/" TargetMode="External"/><Relationship Id="rId43" Type="http://schemas.openxmlformats.org/officeDocument/2006/relationships/hyperlink" Target="about:blank" TargetMode="External"/><Relationship Id="rId46" Type="http://schemas.openxmlformats.org/officeDocument/2006/relationships/hyperlink" Target="https://www.rsssf.org/colours/greece.html" TargetMode="External"/><Relationship Id="rId45" Type="http://schemas.openxmlformats.org/officeDocument/2006/relationships/hyperlink" Target="about:blank" TargetMode="External"/><Relationship Id="rId48" Type="http://schemas.openxmlformats.org/officeDocument/2006/relationships/hyperlink" Target="https://www.slgr.gr/en/teams/" TargetMode="External"/><Relationship Id="rId47" Type="http://schemas.openxmlformats.org/officeDocument/2006/relationships/hyperlink" Target="about:blank" TargetMode="External"/><Relationship Id="rId49" Type="http://schemas.openxmlformats.org/officeDocument/2006/relationships/hyperlink" Target="about:blank" TargetMode="External"/><Relationship Id="rId31" Type="http://schemas.openxmlformats.org/officeDocument/2006/relationships/hyperlink" Target="https://en.wikipedia.org/wiki/A.E._Kifisia_F.C.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slgr.gr/en/teams/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about:blank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about:blank" TargetMode="External"/><Relationship Id="rId36" Type="http://schemas.openxmlformats.org/officeDocument/2006/relationships/hyperlink" Target="https://www.slgr.gr/en/teams/" TargetMode="External"/><Relationship Id="rId39" Type="http://schemas.openxmlformats.org/officeDocument/2006/relationships/hyperlink" Target="about:blank" TargetMode="External"/><Relationship Id="rId38" Type="http://schemas.openxmlformats.org/officeDocument/2006/relationships/hyperlink" Target="https://www.rsssf.org/colours/greece.html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slgr.gr/en/teams/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greece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slgr.gr/en/teams/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greece.html" TargetMode="External"/><Relationship Id="rId29" Type="http://schemas.openxmlformats.org/officeDocument/2006/relationships/hyperlink" Target="https://www.slgr.gr/en/teams/" TargetMode="External"/><Relationship Id="rId11" Type="http://schemas.openxmlformats.org/officeDocument/2006/relationships/hyperlink" Target="https://www.rsssf.org/colours/greece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slgr.gr/en/teams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greece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slgr.gr/en/teams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greece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en.wikipedia.org/wiki/2026%E2%80%9327_Super_League_Greece_2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rsssf.org/colours/greece.html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en.wikipedia.org/wiki/2026%E2%80%9327_Super_League_Greece_2" TargetMode="External"/><Relationship Id="rId89" Type="http://schemas.openxmlformats.org/officeDocument/2006/relationships/hyperlink" Target="https://www.rsssf.org/colours/greece.html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en.wikipedia.org/wiki/Hellas_Syros_F.C." TargetMode="External"/><Relationship Id="rId73" Type="http://schemas.openxmlformats.org/officeDocument/2006/relationships/hyperlink" Target="https://www.rsssf.org/colours/greece.html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en.wikipedia.org/wiki/2026%E2%80%9327_Super_League_Greece_2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rsssf.org/colours/greece.html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en.wikipedia.org/wiki/2026%E2%80%9327_Super_League_Greece_2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en.wikipedia.org/wiki/2026%E2%80%9327_Super_League_Greece_2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rsssf.org/colours/greece.html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en.wikipedia.org/wiki/2026%E2%80%9327_Super_League_Greece_2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rsssf.org/colours/greece.html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en.wikipedia.org/wiki/2026%E2%80%9327_Super_League_Greece_2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rsssf.org/colours/greece.html" TargetMode="External"/><Relationship Id="rId51" Type="http://schemas.openxmlformats.org/officeDocument/2006/relationships/hyperlink" Target="about:blank" TargetMode="External"/><Relationship Id="rId50" Type="http://schemas.openxmlformats.org/officeDocument/2006/relationships/hyperlink" Target="https://www.rsssf.org/colours/greece.html" TargetMode="External"/><Relationship Id="rId53" Type="http://schemas.openxmlformats.org/officeDocument/2006/relationships/hyperlink" Target="about:blank" TargetMode="External"/><Relationship Id="rId52" Type="http://schemas.openxmlformats.org/officeDocument/2006/relationships/hyperlink" Target="https://www.slgr.gr/en/teams/" TargetMode="External"/><Relationship Id="rId55" Type="http://schemas.openxmlformats.org/officeDocument/2006/relationships/hyperlink" Target="about:blank" TargetMode="External"/><Relationship Id="rId54" Type="http://schemas.openxmlformats.org/officeDocument/2006/relationships/hyperlink" Target="https://www.rsssf.org/colours/greece.html" TargetMode="External"/><Relationship Id="rId57" Type="http://schemas.openxmlformats.org/officeDocument/2006/relationships/hyperlink" Target="about:blank" TargetMode="External"/><Relationship Id="rId56" Type="http://schemas.openxmlformats.org/officeDocument/2006/relationships/hyperlink" Target="https://www.slgr.gr/en/teams/" TargetMode="External"/><Relationship Id="rId59" Type="http://schemas.openxmlformats.org/officeDocument/2006/relationships/hyperlink" Target="https://en.wikipedia.org/wiki/2026%E2%80%9327_Super_League_Greece_2" TargetMode="External"/><Relationship Id="rId58" Type="http://schemas.openxmlformats.org/officeDocument/2006/relationships/hyperlink" Target="about:blank" TargetMode="External"/><Relationship Id="rId349" Type="http://schemas.openxmlformats.org/officeDocument/2006/relationships/hyperlink" Target="https://www.rsssf.org/colours/greece.html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www.epo.gr/el/competition/3/stage/1407/group/2072/matches" TargetMode="External"/><Relationship Id="rId346" Type="http://schemas.openxmlformats.org/officeDocument/2006/relationships/hyperlink" Target="about:blank" TargetMode="External"/><Relationship Id="rId341" Type="http://schemas.openxmlformats.org/officeDocument/2006/relationships/hyperlink" Target="https://www.rsssf.org/colours/greece.html" TargetMode="External"/><Relationship Id="rId340" Type="http://schemas.openxmlformats.org/officeDocument/2006/relationships/hyperlink" Target="about:blank" TargetMode="External"/><Relationship Id="rId345" Type="http://schemas.openxmlformats.org/officeDocument/2006/relationships/hyperlink" Target="https://www.rsssf.org/colours/greece.html" TargetMode="External"/><Relationship Id="rId344" Type="http://schemas.openxmlformats.org/officeDocument/2006/relationships/hyperlink" Target="about:blank" TargetMode="External"/><Relationship Id="rId343" Type="http://schemas.openxmlformats.org/officeDocument/2006/relationships/hyperlink" Target="https://en.wikipedia.org/wiki/2026%E2%80%9327_Gamma_Ethniki" TargetMode="External"/><Relationship Id="rId342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www.rsssf.org/colours/greece.html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https://en.wikipedia.org/wiki/2026%E2%80%9327_Gamma_Ethniki" TargetMode="External"/><Relationship Id="rId339" Type="http://schemas.openxmlformats.org/officeDocument/2006/relationships/hyperlink" Target="https://en.wikipedia.org/wiki/2026%E2%80%9327_Gamma_Ethniki" TargetMode="External"/><Relationship Id="rId330" Type="http://schemas.openxmlformats.org/officeDocument/2006/relationships/hyperlink" Target="https://www.rsssf.org/colours/greece.html" TargetMode="External"/><Relationship Id="rId334" Type="http://schemas.openxmlformats.org/officeDocument/2006/relationships/hyperlink" Target="about:blank" TargetMode="External"/><Relationship Id="rId333" Type="http://schemas.openxmlformats.org/officeDocument/2006/relationships/hyperlink" Target="about:blank" TargetMode="External"/><Relationship Id="rId332" Type="http://schemas.openxmlformats.org/officeDocument/2006/relationships/hyperlink" Target="https://en.wikipedia.org/wiki/2026%E2%80%9327_Gamma_Ethniki" TargetMode="External"/><Relationship Id="rId331" Type="http://schemas.openxmlformats.org/officeDocument/2006/relationships/hyperlink" Target="about:blank" TargetMode="External"/><Relationship Id="rId370" Type="http://schemas.openxmlformats.org/officeDocument/2006/relationships/hyperlink" Target="about:blank" TargetMode="External"/><Relationship Id="rId369" Type="http://schemas.openxmlformats.org/officeDocument/2006/relationships/hyperlink" Target="about:blank" TargetMode="External"/><Relationship Id="rId368" Type="http://schemas.openxmlformats.org/officeDocument/2006/relationships/hyperlink" Target="https://www.epo.gr/el/competition/3/stage/1407/group/2072/matches" TargetMode="External"/><Relationship Id="rId363" Type="http://schemas.openxmlformats.org/officeDocument/2006/relationships/hyperlink" Target="about:blank" TargetMode="External"/><Relationship Id="rId362" Type="http://schemas.openxmlformats.org/officeDocument/2006/relationships/hyperlink" Target="about:blank" TargetMode="External"/><Relationship Id="rId361" Type="http://schemas.openxmlformats.org/officeDocument/2006/relationships/hyperlink" Target="https://www.epo.gr/el/competition/3/stage/1407/group/2072/matches" TargetMode="External"/><Relationship Id="rId360" Type="http://schemas.openxmlformats.org/officeDocument/2006/relationships/hyperlink" Target="about:blank" TargetMode="External"/><Relationship Id="rId367" Type="http://schemas.openxmlformats.org/officeDocument/2006/relationships/hyperlink" Target="about:blank" TargetMode="External"/><Relationship Id="rId366" Type="http://schemas.openxmlformats.org/officeDocument/2006/relationships/hyperlink" Target="https://www.rsssf.org/colours/greece.html" TargetMode="External"/><Relationship Id="rId365" Type="http://schemas.openxmlformats.org/officeDocument/2006/relationships/hyperlink" Target="about:blank" TargetMode="External"/><Relationship Id="rId364" Type="http://schemas.openxmlformats.org/officeDocument/2006/relationships/hyperlink" Target="https://www.epo.gr/el/competition/3/stage/1407/group/2072/matches" TargetMode="External"/><Relationship Id="rId95" Type="http://schemas.openxmlformats.org/officeDocument/2006/relationships/hyperlink" Target="https://en.wikipedia.org/wiki/2026%E2%80%9327_Super_League_Greece_2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rsssf.org/colours/greece.html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en.wikipedia.org/wiki/2026%E2%80%9327_Super_League_Greece_2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en.wikipedia.org/wiki/2026%E2%80%9327_Super_League_Greece_2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rsssf.org/colours/greece.html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about:blank" TargetMode="External"/><Relationship Id="rId358" Type="http://schemas.openxmlformats.org/officeDocument/2006/relationships/hyperlink" Target="https://www.epo.gr/el/competition/3/stage/1407/group/2072/matches" TargetMode="External"/><Relationship Id="rId357" Type="http://schemas.openxmlformats.org/officeDocument/2006/relationships/hyperlink" Target="about:blank" TargetMode="External"/><Relationship Id="rId352" Type="http://schemas.openxmlformats.org/officeDocument/2006/relationships/hyperlink" Target="about:blank" TargetMode="External"/><Relationship Id="rId351" Type="http://schemas.openxmlformats.org/officeDocument/2006/relationships/hyperlink" Target="https://www.epo.gr/el/competition/3/stage/1407/group/2072/matches" TargetMode="External"/><Relationship Id="rId350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355" Type="http://schemas.openxmlformats.org/officeDocument/2006/relationships/hyperlink" Target="https://www.epo.gr/el/competition/3/stage/1407/group/2072/matches" TargetMode="External"/><Relationship Id="rId354" Type="http://schemas.openxmlformats.org/officeDocument/2006/relationships/hyperlink" Target="about:blank" TargetMode="External"/><Relationship Id="rId353" Type="http://schemas.openxmlformats.org/officeDocument/2006/relationships/hyperlink" Target="https://www.rsssf.org/colours/greece.html" TargetMode="External"/><Relationship Id="rId305" Type="http://schemas.openxmlformats.org/officeDocument/2006/relationships/hyperlink" Target="about:blank" TargetMode="External"/><Relationship Id="rId304" Type="http://schemas.openxmlformats.org/officeDocument/2006/relationships/hyperlink" Target="https://www.rsssf.org/colours/greece.html" TargetMode="External"/><Relationship Id="rId303" Type="http://schemas.openxmlformats.org/officeDocument/2006/relationships/hyperlink" Target="about:blank" TargetMode="External"/><Relationship Id="rId302" Type="http://schemas.openxmlformats.org/officeDocument/2006/relationships/hyperlink" Target="https://en.wikipedia.org/wiki/2026%E2%80%9327_Gamma_Ethniki" TargetMode="External"/><Relationship Id="rId309" Type="http://schemas.openxmlformats.org/officeDocument/2006/relationships/hyperlink" Target="https://en.wikipedia.org/wiki/2026%E2%80%9327_Gamma_Ethniki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about:blank" TargetMode="External"/><Relationship Id="rId306" Type="http://schemas.openxmlformats.org/officeDocument/2006/relationships/hyperlink" Target="https://en.wikipedia.org/wiki/2026%E2%80%9327_Gamma_Ethniki" TargetMode="External"/><Relationship Id="rId301" Type="http://schemas.openxmlformats.org/officeDocument/2006/relationships/hyperlink" Target="about:blank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about:blank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en.wikipedia.org/wiki/2026%E2%80%9327_Gamma_Ethniki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about:blank" TargetMode="External"/><Relationship Id="rId328" Type="http://schemas.openxmlformats.org/officeDocument/2006/relationships/hyperlink" Target="https://en.wikipedia.org/wiki/2026%E2%80%9327_Gamma_Ethniki" TargetMode="External"/><Relationship Id="rId323" Type="http://schemas.openxmlformats.org/officeDocument/2006/relationships/hyperlink" Target="about:blank" TargetMode="External"/><Relationship Id="rId322" Type="http://schemas.openxmlformats.org/officeDocument/2006/relationships/hyperlink" Target="https://en.wikipedia.org/wiki/2026%E2%80%9327_Gamma_Ethniki" TargetMode="External"/><Relationship Id="rId321" Type="http://schemas.openxmlformats.org/officeDocument/2006/relationships/hyperlink" Target="about:blank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en.wikipedia.org/wiki/2026%E2%80%9327_Gamma_Ethniki" TargetMode="External"/><Relationship Id="rId314" Type="http://schemas.openxmlformats.org/officeDocument/2006/relationships/hyperlink" Target="about:blank" TargetMode="External"/><Relationship Id="rId313" Type="http://schemas.openxmlformats.org/officeDocument/2006/relationships/hyperlink" Target="about:blank" TargetMode="External"/><Relationship Id="rId319" Type="http://schemas.openxmlformats.org/officeDocument/2006/relationships/hyperlink" Target="https://en.wikipedia.org/wiki/2026%E2%80%9327_Gamma_Ethniki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www.rsssf.org/colours/greece.html" TargetMode="External"/><Relationship Id="rId312" Type="http://schemas.openxmlformats.org/officeDocument/2006/relationships/hyperlink" Target="https://en.wikipedia.org/wiki/2026%E2%80%9327_Gamma_Ethniki" TargetMode="External"/><Relationship Id="rId311" Type="http://schemas.openxmlformats.org/officeDocument/2006/relationships/hyperlink" Target="about:blank" TargetMode="External"/><Relationship Id="rId310" Type="http://schemas.openxmlformats.org/officeDocument/2006/relationships/hyperlink" Target="about:blank" TargetMode="External"/><Relationship Id="rId297" Type="http://schemas.openxmlformats.org/officeDocument/2006/relationships/hyperlink" Target="https://www.rsssf.org/colours/greece.html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en.wikipedia.org/wiki/2026%E2%80%9327_Gamma_Ethniki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en.wikipedia.org/wiki/2026%E2%80%9327_Gamma_Ethniki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about:blank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en.wikipedia.org/wiki/2026%E2%80%9327_Gamma_Ethniki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about:blank" TargetMode="External"/><Relationship Id="rId262" Type="http://schemas.openxmlformats.org/officeDocument/2006/relationships/hyperlink" Target="https://en.wikipedia.org/wiki/2026%E2%80%9327_Gamma_Ethniki" TargetMode="External"/><Relationship Id="rId261" Type="http://schemas.openxmlformats.org/officeDocument/2006/relationships/hyperlink" Target="about:blank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www.rsssf.org/colours/greece.html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en.wikipedia.org/wiki/2026%E2%80%9327_Gamma_Ethniki" TargetMode="External"/><Relationship Id="rId260" Type="http://schemas.openxmlformats.org/officeDocument/2006/relationships/hyperlink" Target="https://www.rsssf.org/colours/greece.html" TargetMode="External"/><Relationship Id="rId259" Type="http://schemas.openxmlformats.org/officeDocument/2006/relationships/hyperlink" Target="about:blank" TargetMode="External"/><Relationship Id="rId258" Type="http://schemas.openxmlformats.org/officeDocument/2006/relationships/hyperlink" Target="https://en.wikipedia.org/wiki/2026%E2%80%9327_Gamma_Ethniki" TargetMode="External"/><Relationship Id="rId253" Type="http://schemas.openxmlformats.org/officeDocument/2006/relationships/hyperlink" Target="about:blank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en.wikipedia.org/wiki/2026%E2%80%9327_Gamma_Ethniki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about:blank" TargetMode="External"/><Relationship Id="rId256" Type="http://schemas.openxmlformats.org/officeDocument/2006/relationships/hyperlink" Target="https://www.rsssf.org/colours/greece.html" TargetMode="External"/><Relationship Id="rId255" Type="http://schemas.openxmlformats.org/officeDocument/2006/relationships/hyperlink" Target="about:blank" TargetMode="External"/><Relationship Id="rId254" Type="http://schemas.openxmlformats.org/officeDocument/2006/relationships/hyperlink" Target="https://en.wikipedia.org/wiki/2026%E2%80%9327_Gamma_Ethniki" TargetMode="External"/><Relationship Id="rId293" Type="http://schemas.openxmlformats.org/officeDocument/2006/relationships/hyperlink" Target="https://www.rsssf.org/colours/greece.html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en.wikipedia.org/wiki/2026%E2%80%9327_Gamma_Ethniki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5" Type="http://schemas.openxmlformats.org/officeDocument/2006/relationships/hyperlink" Target="https://en.wikipedia.org/wiki/2026%E2%80%9327_Gamma_Ethniki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about:blank" TargetMode="External"/><Relationship Id="rId289" Type="http://schemas.openxmlformats.org/officeDocument/2006/relationships/hyperlink" Target="about:blank" TargetMode="External"/><Relationship Id="rId288" Type="http://schemas.openxmlformats.org/officeDocument/2006/relationships/hyperlink" Target="https://en.wikipedia.org/wiki/2026%E2%80%9327_Gamma_Ethniki" TargetMode="External"/><Relationship Id="rId287" Type="http://schemas.openxmlformats.org/officeDocument/2006/relationships/hyperlink" Target="about:blank" TargetMode="External"/><Relationship Id="rId282" Type="http://schemas.openxmlformats.org/officeDocument/2006/relationships/hyperlink" Target="https://en.wikipedia.org/wiki/2026%E2%80%9327_Gamma_Ethniki" TargetMode="External"/><Relationship Id="rId281" Type="http://schemas.openxmlformats.org/officeDocument/2006/relationships/hyperlink" Target="about:blank" TargetMode="External"/><Relationship Id="rId280" Type="http://schemas.openxmlformats.org/officeDocument/2006/relationships/hyperlink" Target="https://www.rsssf.org/colours/greece.html" TargetMode="External"/><Relationship Id="rId275" Type="http://schemas.openxmlformats.org/officeDocument/2006/relationships/hyperlink" Target="https://en.wikipedia.org/wiki/2026%E2%80%9327_Gamma_Ethniki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about:blank" TargetMode="External"/><Relationship Id="rId272" Type="http://schemas.openxmlformats.org/officeDocument/2006/relationships/hyperlink" Target="https://en.wikipedia.org/wiki/2026%E2%80%9327_Gamma_Ethniki" TargetMode="External"/><Relationship Id="rId279" Type="http://schemas.openxmlformats.org/officeDocument/2006/relationships/hyperlink" Target="about:blank" TargetMode="External"/><Relationship Id="rId278" Type="http://schemas.openxmlformats.org/officeDocument/2006/relationships/hyperlink" Target="https://en.wikipedia.org/wiki/2026%E2%80%9327_Gamma_Ethniki" TargetMode="External"/><Relationship Id="rId277" Type="http://schemas.openxmlformats.org/officeDocument/2006/relationships/hyperlink" Target="about:blank" TargetMode="External"/><Relationship Id="rId276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about:blank" TargetMode="External"/><Relationship Id="rId226" Type="http://schemas.openxmlformats.org/officeDocument/2006/relationships/hyperlink" Target="https://en.wikipedia.org/wiki/2026%E2%80%9327_Gamma_Ethniki" TargetMode="External"/><Relationship Id="rId225" Type="http://schemas.openxmlformats.org/officeDocument/2006/relationships/hyperlink" Target="about:blank" TargetMode="External"/><Relationship Id="rId229" Type="http://schemas.openxmlformats.org/officeDocument/2006/relationships/hyperlink" Target="https://en.wikipedia.org/wiki/2026%E2%80%9327_Gamma_Ethniki" TargetMode="External"/><Relationship Id="rId220" Type="http://schemas.openxmlformats.org/officeDocument/2006/relationships/hyperlink" Target="https://www.rsssf.org/colours/greece.html" TargetMode="External"/><Relationship Id="rId224" Type="http://schemas.openxmlformats.org/officeDocument/2006/relationships/hyperlink" Target="https://www.rsssf.org/colours/greece.html" TargetMode="External"/><Relationship Id="rId223" Type="http://schemas.openxmlformats.org/officeDocument/2006/relationships/hyperlink" Target="about:blank" TargetMode="External"/><Relationship Id="rId222" Type="http://schemas.openxmlformats.org/officeDocument/2006/relationships/hyperlink" Target="https://en.wikipedia.org/wiki/2026%E2%80%9327_Gamma_Ethniki" TargetMode="External"/><Relationship Id="rId221" Type="http://schemas.openxmlformats.org/officeDocument/2006/relationships/hyperlink" Target="about:blank" TargetMode="External"/><Relationship Id="rId217" Type="http://schemas.openxmlformats.org/officeDocument/2006/relationships/hyperlink" Target="about:blank" TargetMode="External"/><Relationship Id="rId216" Type="http://schemas.openxmlformats.org/officeDocument/2006/relationships/hyperlink" Target="https://www.rsssf.org/colours/greece.html" TargetMode="External"/><Relationship Id="rId215" Type="http://schemas.openxmlformats.org/officeDocument/2006/relationships/hyperlink" Target="about:blank" TargetMode="External"/><Relationship Id="rId214" Type="http://schemas.openxmlformats.org/officeDocument/2006/relationships/hyperlink" Target="https://en.wikipedia.org/wiki/2026%E2%80%9327_Gamma_Ethniki" TargetMode="External"/><Relationship Id="rId219" Type="http://schemas.openxmlformats.org/officeDocument/2006/relationships/hyperlink" Target="about:blank" TargetMode="External"/><Relationship Id="rId218" Type="http://schemas.openxmlformats.org/officeDocument/2006/relationships/hyperlink" Target="https://en.wikipedia.org/wiki/2026%E2%80%9327_Gamma_Ethniki" TargetMode="External"/><Relationship Id="rId213" Type="http://schemas.openxmlformats.org/officeDocument/2006/relationships/hyperlink" Target="about:blank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en.wikipedia.org/wiki/2026%E2%80%9327_Gamma_Ethniki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about:blank" TargetMode="External"/><Relationship Id="rId248" Type="http://schemas.openxmlformats.org/officeDocument/2006/relationships/hyperlink" Target="https://en.wikipedia.org/wiki/2026%E2%80%9327_Gamma_Ethniki" TargetMode="External"/><Relationship Id="rId247" Type="http://schemas.openxmlformats.org/officeDocument/2006/relationships/hyperlink" Target="about:blank" TargetMode="External"/><Relationship Id="rId242" Type="http://schemas.openxmlformats.org/officeDocument/2006/relationships/hyperlink" Target="https://en.wikipedia.org/wiki/2026%E2%80%9327_Gamma_Ethniki" TargetMode="External"/><Relationship Id="rId241" Type="http://schemas.openxmlformats.org/officeDocument/2006/relationships/hyperlink" Target="about:blank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en.wikipedia.org/wiki/2026%E2%80%9327_Gamma_Ethniki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about:blank" TargetMode="External"/><Relationship Id="rId239" Type="http://schemas.openxmlformats.org/officeDocument/2006/relationships/hyperlink" Target="https://en.wikipedia.org/wiki/2026%E2%80%9327_Gamma_Ethniki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about:blank" TargetMode="External"/><Relationship Id="rId236" Type="http://schemas.openxmlformats.org/officeDocument/2006/relationships/hyperlink" Target="https://en.wikipedia.org/wiki/2026%E2%80%9327_Gamma_Ethniki" TargetMode="External"/><Relationship Id="rId231" Type="http://schemas.openxmlformats.org/officeDocument/2006/relationships/hyperlink" Target="https://www.rsssf.org/colours/greece.html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about:blank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en.wikipedia.org/wiki/2026%E2%80%9327_Gamma_Ethniki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en.wikipedia.org/wiki/2026%E2%80%9327_Gamma_Ethniki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about:blank" TargetMode="External"/><Relationship Id="rId209" Type="http://schemas.openxmlformats.org/officeDocument/2006/relationships/hyperlink" Target="about:blank" TargetMode="External"/><Relationship Id="rId208" Type="http://schemas.openxmlformats.org/officeDocument/2006/relationships/hyperlink" Target="https://en.wikipedia.org/wiki/2026%E2%80%9327_Gamma_Ethniki" TargetMode="External"/><Relationship Id="rId207" Type="http://schemas.openxmlformats.org/officeDocument/2006/relationships/hyperlink" Target="about:blank" TargetMode="External"/><Relationship Id="rId202" Type="http://schemas.openxmlformats.org/officeDocument/2006/relationships/hyperlink" Target="https://en.wikipedia.org/wiki/2026%E2%80%9327_Gamma_Ethniki" TargetMode="External"/><Relationship Id="rId201" Type="http://schemas.openxmlformats.org/officeDocument/2006/relationships/hyperlink" Target="about:blank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rsssf.org/colours/greece.html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en.wikipedia.org/wiki/2026%E2%80%9327_Gamma_Ethniki" TargetMode="External"/><Relationship Id="rId187" Type="http://schemas.openxmlformats.org/officeDocument/2006/relationships/hyperlink" Target="about:blank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en.wikipedia.org/wiki/2026%E2%80%9327_Gamma_Ethniki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about:blank" TargetMode="External"/><Relationship Id="rId188" Type="http://schemas.openxmlformats.org/officeDocument/2006/relationships/hyperlink" Target="https://en.wikipedia.org/wiki/2026%E2%80%9327_Gamma_Ethniki" TargetMode="External"/><Relationship Id="rId183" Type="http://schemas.openxmlformats.org/officeDocument/2006/relationships/hyperlink" Target="about:blank" TargetMode="External"/><Relationship Id="rId182" Type="http://schemas.openxmlformats.org/officeDocument/2006/relationships/hyperlink" Target="https://en.wikipedia.org/wiki/2026%E2%80%9327_Gamma_Ethniki" TargetMode="External"/><Relationship Id="rId181" Type="http://schemas.openxmlformats.org/officeDocument/2006/relationships/hyperlink" Target="about:blank" TargetMode="External"/><Relationship Id="rId180" Type="http://schemas.openxmlformats.org/officeDocument/2006/relationships/hyperlink" Target="https://www.rsssf.org/colours/greece.html" TargetMode="External"/><Relationship Id="rId176" Type="http://schemas.openxmlformats.org/officeDocument/2006/relationships/hyperlink" Target="https://www.rsssf.org/colours/greece.html" TargetMode="External"/><Relationship Id="rId175" Type="http://schemas.openxmlformats.org/officeDocument/2006/relationships/hyperlink" Target="about:blank" TargetMode="External"/><Relationship Id="rId174" Type="http://schemas.openxmlformats.org/officeDocument/2006/relationships/hyperlink" Target="https://en.wikipedia.org/wiki/2026%E2%80%9327_Gamma_Ethniki" TargetMode="External"/><Relationship Id="rId173" Type="http://schemas.openxmlformats.org/officeDocument/2006/relationships/hyperlink" Target="about:blank" TargetMode="External"/><Relationship Id="rId179" Type="http://schemas.openxmlformats.org/officeDocument/2006/relationships/hyperlink" Target="about:blank" TargetMode="External"/><Relationship Id="rId178" Type="http://schemas.openxmlformats.org/officeDocument/2006/relationships/hyperlink" Target="https://en.wikipedia.org/wiki/2026%E2%80%9327_Gamma_Ethniki" TargetMode="External"/><Relationship Id="rId177" Type="http://schemas.openxmlformats.org/officeDocument/2006/relationships/hyperlink" Target="about:blank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rsssf.org/colours/greece.html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en.wikipedia.org/wiki/2026%E2%80%9327_Gamma_Ethniki" TargetMode="External"/><Relationship Id="rId199" Type="http://schemas.openxmlformats.org/officeDocument/2006/relationships/hyperlink" Target="https://en.wikipedia.org/wiki/2026%E2%80%9327_Gamma_Ethniki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en.wikipedia.org/wiki/2026%E2%80%9327_Gamma_Ethniki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about:blank" TargetMode="External"/><Relationship Id="rId142" Type="http://schemas.openxmlformats.org/officeDocument/2006/relationships/hyperlink" Target="https://en.wikipedia.org/wiki/2026%E2%80%9327_Gamma_Ethniki" TargetMode="External"/><Relationship Id="rId141" Type="http://schemas.openxmlformats.org/officeDocument/2006/relationships/hyperlink" Target="about:blank" TargetMode="External"/><Relationship Id="rId140" Type="http://schemas.openxmlformats.org/officeDocument/2006/relationships/hyperlink" Target="https://fr.wikipedia.org/wiki/AO_Kavala" TargetMode="External"/><Relationship Id="rId147" Type="http://schemas.openxmlformats.org/officeDocument/2006/relationships/hyperlink" Target="https://www.rsssf.org/colours/greece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en.wikipedia.org/wiki/2026%E2%80%9327_Gamma_Ethniki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about:blank" TargetMode="External"/><Relationship Id="rId138" Type="http://schemas.openxmlformats.org/officeDocument/2006/relationships/hyperlink" Target="https://en.wikipedia.org/wiki/2026%E2%80%9327_Gamma_Ethniki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en.wikipedia.org/wiki/2026%E2%80%9327_Gamma_Ethniki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en.wikipedia.org/wiki/2026%E2%80%9327_Gamma_Ethniki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rsssf.org/colours/greece.html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en.wikipedia.org/wiki/2026%E2%80%9327_Gamma_Ethniki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about:blank" TargetMode="External"/><Relationship Id="rId164" Type="http://schemas.openxmlformats.org/officeDocument/2006/relationships/hyperlink" Target="https://en.wikipedia.org/wiki/2026%E2%80%9327_Gamma_Ethniki" TargetMode="External"/><Relationship Id="rId163" Type="http://schemas.openxmlformats.org/officeDocument/2006/relationships/hyperlink" Target="about:blank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rsssf.org/colours/greece.html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en.wikipedia.org/wiki/2026%E2%80%9327_Gamma_Ethniki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en.wikipedia.org/wiki/2026%E2%80%9327_Gamma_Ethniki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greece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en.wikipedia.org/wiki/2026%E2%80%9327_Gamma_Ethniki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greece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en.wikipedia.org/wiki/2026%E2%80%9327_Gamma_Ethniki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fr.wikipedia.org/wiki/AO_Xanthi" TargetMode="External"/><Relationship Id="rId508" Type="http://schemas.openxmlformats.org/officeDocument/2006/relationships/vmlDrawing" Target="../drawings/vmlDrawing10.vml"/><Relationship Id="rId503" Type="http://schemas.openxmlformats.org/officeDocument/2006/relationships/hyperlink" Target="about:blank" TargetMode="External"/><Relationship Id="rId502" Type="http://schemas.openxmlformats.org/officeDocument/2006/relationships/hyperlink" Target="https://www.epo.gr/el/competition/3/stage/1407/group/2075/matches" TargetMode="External"/><Relationship Id="rId501" Type="http://schemas.openxmlformats.org/officeDocument/2006/relationships/hyperlink" Target="about:blank" TargetMode="External"/><Relationship Id="rId500" Type="http://schemas.openxmlformats.org/officeDocument/2006/relationships/hyperlink" Target="https://www.rsssf.org/colours/greece.html" TargetMode="External"/><Relationship Id="rId507" Type="http://schemas.openxmlformats.org/officeDocument/2006/relationships/drawing" Target="../drawings/drawing12.xml"/><Relationship Id="rId506" Type="http://schemas.openxmlformats.org/officeDocument/2006/relationships/hyperlink" Target="about:blank" TargetMode="External"/><Relationship Id="rId505" Type="http://schemas.openxmlformats.org/officeDocument/2006/relationships/hyperlink" Target="https://www.epo.gr/el/competition/3/stage/1407/group/2075/matches" TargetMode="External"/><Relationship Id="rId504" Type="http://schemas.openxmlformats.org/officeDocument/2006/relationships/hyperlink" Target="about:blank" TargetMode="External"/><Relationship Id="rId510" Type="http://schemas.openxmlformats.org/officeDocument/2006/relationships/table" Target="../tables/table10.xml"/><Relationship Id="rId107" Type="http://schemas.openxmlformats.org/officeDocument/2006/relationships/hyperlink" Target="https://en.wikipedia.org/wiki/2026%E2%80%9327_Super_League_Greece_2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rsssf.org/colours/greece.html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en.wikipedia.org/wiki/Panthrakikos_F.C.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en.wikipedia.org/wiki/2026%E2%80%9327_Super_League_Greece_2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rsssf.org/colours/greece.html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https://en.wikipedia.org/wiki/2026%E2%80%9327_Gamma_Ethniki" TargetMode="External"/><Relationship Id="rId127" Type="http://schemas.openxmlformats.org/officeDocument/2006/relationships/hyperlink" Target="about:blank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about:blank" TargetMode="External"/><Relationship Id="rId120" Type="http://schemas.openxmlformats.org/officeDocument/2006/relationships/hyperlink" Target="https://www.rsssf.org/colours/greece.html" TargetMode="External"/><Relationship Id="rId125" Type="http://schemas.openxmlformats.org/officeDocument/2006/relationships/hyperlink" Target="https://en.wikipedia.org/wiki/2026%E2%80%9327_Gamma_Ethniki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about:blank" TargetMode="External"/><Relationship Id="rId122" Type="http://schemas.openxmlformats.org/officeDocument/2006/relationships/hyperlink" Target="https://en.wikipedia.org/wiki/2026%E2%80%9327_Gamma_Ethniki" TargetMode="External"/><Relationship Id="rId118" Type="http://schemas.openxmlformats.org/officeDocument/2006/relationships/hyperlink" Target="https://en.wikipedia.org/wiki/2026%E2%80%9327_Super_League_Greece_2" TargetMode="External"/><Relationship Id="rId117" Type="http://schemas.openxmlformats.org/officeDocument/2006/relationships/hyperlink" Target="about:blank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en.wikipedia.org/wiki/2026%E2%80%9327_Super_League_Greece_2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rsssf.org/colours/greece.html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en.wikipedia.org/wiki/2026%E2%80%9327_Super_League_Greece_2" TargetMode="External"/><Relationship Id="rId495" Type="http://schemas.openxmlformats.org/officeDocument/2006/relationships/hyperlink" Target="https://www.epo.gr/el/competition/3/stage/1407/group/2075/matches" TargetMode="External"/><Relationship Id="rId494" Type="http://schemas.openxmlformats.org/officeDocument/2006/relationships/hyperlink" Target="about:blank" TargetMode="External"/><Relationship Id="rId493" Type="http://schemas.openxmlformats.org/officeDocument/2006/relationships/hyperlink" Target="about:blank" TargetMode="External"/><Relationship Id="rId492" Type="http://schemas.openxmlformats.org/officeDocument/2006/relationships/hyperlink" Target="https://www.epo.gr/el/competition/3/stage/1407/group/2075/matches" TargetMode="External"/><Relationship Id="rId499" Type="http://schemas.openxmlformats.org/officeDocument/2006/relationships/hyperlink" Target="about:blank" TargetMode="External"/><Relationship Id="rId498" Type="http://schemas.openxmlformats.org/officeDocument/2006/relationships/hyperlink" Target="https://www.epo.gr/el/competition/3/stage/1407/group/2075/matches" TargetMode="External"/><Relationship Id="rId497" Type="http://schemas.openxmlformats.org/officeDocument/2006/relationships/hyperlink" Target="about:blank" TargetMode="External"/><Relationship Id="rId496" Type="http://schemas.openxmlformats.org/officeDocument/2006/relationships/hyperlink" Target="about:blank" TargetMode="External"/><Relationship Id="rId409" Type="http://schemas.openxmlformats.org/officeDocument/2006/relationships/hyperlink" Target="about:blank" TargetMode="External"/><Relationship Id="rId404" Type="http://schemas.openxmlformats.org/officeDocument/2006/relationships/hyperlink" Target="about:blank" TargetMode="External"/><Relationship Id="rId403" Type="http://schemas.openxmlformats.org/officeDocument/2006/relationships/hyperlink" Target="https://www.rsssf.org/colours/greece.html" TargetMode="External"/><Relationship Id="rId402" Type="http://schemas.openxmlformats.org/officeDocument/2006/relationships/hyperlink" Target="about:blank" TargetMode="External"/><Relationship Id="rId401" Type="http://schemas.openxmlformats.org/officeDocument/2006/relationships/hyperlink" Target="https://www.soccerway.com/greece/gamma-ethniki-group-8/" TargetMode="External"/><Relationship Id="rId408" Type="http://schemas.openxmlformats.org/officeDocument/2006/relationships/hyperlink" Target="https://www.soccerway.com/greece/gamma-ethniki-group-8/" TargetMode="External"/><Relationship Id="rId407" Type="http://schemas.openxmlformats.org/officeDocument/2006/relationships/hyperlink" Target="about:blank" TargetMode="External"/><Relationship Id="rId406" Type="http://schemas.openxmlformats.org/officeDocument/2006/relationships/hyperlink" Target="about:blank" TargetMode="External"/><Relationship Id="rId405" Type="http://schemas.openxmlformats.org/officeDocument/2006/relationships/hyperlink" Target="https://www.soccerway.com/greece/gamma-ethniki-group-8/" TargetMode="External"/><Relationship Id="rId400" Type="http://schemas.openxmlformats.org/officeDocument/2006/relationships/hyperlink" Target="about:blank" TargetMode="External"/><Relationship Id="rId469" Type="http://schemas.openxmlformats.org/officeDocument/2006/relationships/hyperlink" Target="https://www.epo.gr/el/competition/3/stage/1407/group/2075/matches" TargetMode="External"/><Relationship Id="rId468" Type="http://schemas.openxmlformats.org/officeDocument/2006/relationships/hyperlink" Target="about:blank" TargetMode="External"/><Relationship Id="rId467" Type="http://schemas.openxmlformats.org/officeDocument/2006/relationships/hyperlink" Target="about:blank" TargetMode="External"/><Relationship Id="rId462" Type="http://schemas.openxmlformats.org/officeDocument/2006/relationships/hyperlink" Target="about:blank" TargetMode="External"/><Relationship Id="rId461" Type="http://schemas.openxmlformats.org/officeDocument/2006/relationships/hyperlink" Target="https://www.rsssf.org/colours/greece.html" TargetMode="External"/><Relationship Id="rId460" Type="http://schemas.openxmlformats.org/officeDocument/2006/relationships/hyperlink" Target="about:blank" TargetMode="External"/><Relationship Id="rId466" Type="http://schemas.openxmlformats.org/officeDocument/2006/relationships/hyperlink" Target="https://en.wikipedia.org/wiki/2026%E2%80%9327_Gamma_Ethniki" TargetMode="External"/><Relationship Id="rId465" Type="http://schemas.openxmlformats.org/officeDocument/2006/relationships/hyperlink" Target="about:blank" TargetMode="External"/><Relationship Id="rId464" Type="http://schemas.openxmlformats.org/officeDocument/2006/relationships/hyperlink" Target="about:blank" TargetMode="External"/><Relationship Id="rId463" Type="http://schemas.openxmlformats.org/officeDocument/2006/relationships/hyperlink" Target="https://en.wikipedia.org/wiki/2026%E2%80%9327_Gamma_Ethniki" TargetMode="External"/><Relationship Id="rId459" Type="http://schemas.openxmlformats.org/officeDocument/2006/relationships/hyperlink" Target="https://en.wikipedia.org/wiki/2026%E2%80%9327_Gamma_Ethniki" TargetMode="External"/><Relationship Id="rId458" Type="http://schemas.openxmlformats.org/officeDocument/2006/relationships/hyperlink" Target="about:blank" TargetMode="External"/><Relationship Id="rId457" Type="http://schemas.openxmlformats.org/officeDocument/2006/relationships/hyperlink" Target="about:blank" TargetMode="External"/><Relationship Id="rId456" Type="http://schemas.openxmlformats.org/officeDocument/2006/relationships/hyperlink" Target="https://en.wikipedia.org/wiki/2026%E2%80%9327_Gamma_Ethniki" TargetMode="External"/><Relationship Id="rId451" Type="http://schemas.openxmlformats.org/officeDocument/2006/relationships/hyperlink" Target="https://www.rsssf.org/colours/greece.html" TargetMode="External"/><Relationship Id="rId450" Type="http://schemas.openxmlformats.org/officeDocument/2006/relationships/hyperlink" Target="about:blank" TargetMode="External"/><Relationship Id="rId455" Type="http://schemas.openxmlformats.org/officeDocument/2006/relationships/hyperlink" Target="about:blank" TargetMode="External"/><Relationship Id="rId454" Type="http://schemas.openxmlformats.org/officeDocument/2006/relationships/hyperlink" Target="about:blank" TargetMode="External"/><Relationship Id="rId453" Type="http://schemas.openxmlformats.org/officeDocument/2006/relationships/hyperlink" Target="https://en.wikipedia.org/wiki/2026%E2%80%9327_Gamma_Ethniki" TargetMode="External"/><Relationship Id="rId452" Type="http://schemas.openxmlformats.org/officeDocument/2006/relationships/hyperlink" Target="about:blank" TargetMode="External"/><Relationship Id="rId491" Type="http://schemas.openxmlformats.org/officeDocument/2006/relationships/hyperlink" Target="about:blank" TargetMode="External"/><Relationship Id="rId490" Type="http://schemas.openxmlformats.org/officeDocument/2006/relationships/hyperlink" Target="about:blank" TargetMode="External"/><Relationship Id="rId489" Type="http://schemas.openxmlformats.org/officeDocument/2006/relationships/hyperlink" Target="https://www.epo.gr/el/competition/3/stage/1407/group/2075/matches" TargetMode="External"/><Relationship Id="rId484" Type="http://schemas.openxmlformats.org/officeDocument/2006/relationships/hyperlink" Target="about:blank" TargetMode="External"/><Relationship Id="rId483" Type="http://schemas.openxmlformats.org/officeDocument/2006/relationships/hyperlink" Target="about:blank" TargetMode="External"/><Relationship Id="rId482" Type="http://schemas.openxmlformats.org/officeDocument/2006/relationships/hyperlink" Target="https://www.epo.gr/el/competition/3/stage/1407/group/2075/matches" TargetMode="External"/><Relationship Id="rId481" Type="http://schemas.openxmlformats.org/officeDocument/2006/relationships/hyperlink" Target="about:blank" TargetMode="External"/><Relationship Id="rId488" Type="http://schemas.openxmlformats.org/officeDocument/2006/relationships/hyperlink" Target="about:blank" TargetMode="External"/><Relationship Id="rId487" Type="http://schemas.openxmlformats.org/officeDocument/2006/relationships/hyperlink" Target="https://www.rsssf.org/colours/greece.html" TargetMode="External"/><Relationship Id="rId486" Type="http://schemas.openxmlformats.org/officeDocument/2006/relationships/hyperlink" Target="about:blank" TargetMode="External"/><Relationship Id="rId485" Type="http://schemas.openxmlformats.org/officeDocument/2006/relationships/hyperlink" Target="https://www.epo.gr/el/competition/3/stage/1407/group/2075/matches" TargetMode="External"/><Relationship Id="rId480" Type="http://schemas.openxmlformats.org/officeDocument/2006/relationships/hyperlink" Target="about:blank" TargetMode="External"/><Relationship Id="rId479" Type="http://schemas.openxmlformats.org/officeDocument/2006/relationships/hyperlink" Target="https://www.epo.gr/el/competition/3/stage/1407/group/2075/matches" TargetMode="External"/><Relationship Id="rId478" Type="http://schemas.openxmlformats.org/officeDocument/2006/relationships/hyperlink" Target="about:blank" TargetMode="External"/><Relationship Id="rId473" Type="http://schemas.openxmlformats.org/officeDocument/2006/relationships/hyperlink" Target="about:blank" TargetMode="External"/><Relationship Id="rId472" Type="http://schemas.openxmlformats.org/officeDocument/2006/relationships/hyperlink" Target="https://www.epo.gr/el/competition/3/stage/1407/group/2075/matches" TargetMode="External"/><Relationship Id="rId471" Type="http://schemas.openxmlformats.org/officeDocument/2006/relationships/hyperlink" Target="about:blank" TargetMode="External"/><Relationship Id="rId470" Type="http://schemas.openxmlformats.org/officeDocument/2006/relationships/hyperlink" Target="about:blank" TargetMode="External"/><Relationship Id="rId477" Type="http://schemas.openxmlformats.org/officeDocument/2006/relationships/hyperlink" Target="about:blank" TargetMode="External"/><Relationship Id="rId476" Type="http://schemas.openxmlformats.org/officeDocument/2006/relationships/hyperlink" Target="https://www.epo.gr/el/competition/3/stage/1407/group/2075/matches" TargetMode="External"/><Relationship Id="rId475" Type="http://schemas.openxmlformats.org/officeDocument/2006/relationships/hyperlink" Target="about:blank" TargetMode="External"/><Relationship Id="rId474" Type="http://schemas.openxmlformats.org/officeDocument/2006/relationships/hyperlink" Target="https://www.rsssf.org/colours/greece.html" TargetMode="External"/><Relationship Id="rId426" Type="http://schemas.openxmlformats.org/officeDocument/2006/relationships/hyperlink" Target="https://www.rsssf.org/colours/greece.html" TargetMode="External"/><Relationship Id="rId425" Type="http://schemas.openxmlformats.org/officeDocument/2006/relationships/hyperlink" Target="about:blank" TargetMode="External"/><Relationship Id="rId424" Type="http://schemas.openxmlformats.org/officeDocument/2006/relationships/hyperlink" Target="https://www.soccerway.com/greece/gamma-ethniki-group-8/" TargetMode="External"/><Relationship Id="rId423" Type="http://schemas.openxmlformats.org/officeDocument/2006/relationships/hyperlink" Target="about:blank" TargetMode="External"/><Relationship Id="rId429" Type="http://schemas.openxmlformats.org/officeDocument/2006/relationships/hyperlink" Target="about:blank" TargetMode="External"/><Relationship Id="rId428" Type="http://schemas.openxmlformats.org/officeDocument/2006/relationships/hyperlink" Target="https://www.soccerway.com/greece/gamma-ethniki-group-8/" TargetMode="External"/><Relationship Id="rId427" Type="http://schemas.openxmlformats.org/officeDocument/2006/relationships/hyperlink" Target="about:blank" TargetMode="External"/><Relationship Id="rId422" Type="http://schemas.openxmlformats.org/officeDocument/2006/relationships/hyperlink" Target="https://www.rsssf.org/colours/greece.html" TargetMode="External"/><Relationship Id="rId421" Type="http://schemas.openxmlformats.org/officeDocument/2006/relationships/hyperlink" Target="about:blank" TargetMode="External"/><Relationship Id="rId420" Type="http://schemas.openxmlformats.org/officeDocument/2006/relationships/hyperlink" Target="https://www.soccerway.com/greece/gamma-ethniki-group-8/" TargetMode="External"/><Relationship Id="rId415" Type="http://schemas.openxmlformats.org/officeDocument/2006/relationships/hyperlink" Target="about:blank" TargetMode="External"/><Relationship Id="rId414" Type="http://schemas.openxmlformats.org/officeDocument/2006/relationships/hyperlink" Target="https://www.rsssf.org/colours/greece.html" TargetMode="External"/><Relationship Id="rId413" Type="http://schemas.openxmlformats.org/officeDocument/2006/relationships/hyperlink" Target="about:blank" TargetMode="External"/><Relationship Id="rId412" Type="http://schemas.openxmlformats.org/officeDocument/2006/relationships/hyperlink" Target="https://www.soccerway.com/greece/gamma-ethniki-group-8/" TargetMode="External"/><Relationship Id="rId419" Type="http://schemas.openxmlformats.org/officeDocument/2006/relationships/hyperlink" Target="about:blank" TargetMode="External"/><Relationship Id="rId418" Type="http://schemas.openxmlformats.org/officeDocument/2006/relationships/hyperlink" Target="https://www.rsssf.org/colours/greece.html" TargetMode="External"/><Relationship Id="rId417" Type="http://schemas.openxmlformats.org/officeDocument/2006/relationships/hyperlink" Target="about:blank" TargetMode="External"/><Relationship Id="rId416" Type="http://schemas.openxmlformats.org/officeDocument/2006/relationships/hyperlink" Target="https://www.soccerway.com/greece/gamma-ethniki-group-8/" TargetMode="External"/><Relationship Id="rId411" Type="http://schemas.openxmlformats.org/officeDocument/2006/relationships/hyperlink" Target="about:blank" TargetMode="External"/><Relationship Id="rId410" Type="http://schemas.openxmlformats.org/officeDocument/2006/relationships/hyperlink" Target="https://www.rsssf.org/colours/greece.html" TargetMode="External"/><Relationship Id="rId448" Type="http://schemas.openxmlformats.org/officeDocument/2006/relationships/hyperlink" Target="about:blank" TargetMode="External"/><Relationship Id="rId447" Type="http://schemas.openxmlformats.org/officeDocument/2006/relationships/hyperlink" Target="about:blank" TargetMode="External"/><Relationship Id="rId446" Type="http://schemas.openxmlformats.org/officeDocument/2006/relationships/hyperlink" Target="https://en.wikipedia.org/wiki/2026%E2%80%9327_Gamma_Ethniki" TargetMode="External"/><Relationship Id="rId445" Type="http://schemas.openxmlformats.org/officeDocument/2006/relationships/hyperlink" Target="about:blank" TargetMode="External"/><Relationship Id="rId449" Type="http://schemas.openxmlformats.org/officeDocument/2006/relationships/hyperlink" Target="https://en.wikipedia.org/wiki/2026%E2%80%9327_Gamma_Ethniki" TargetMode="External"/><Relationship Id="rId440" Type="http://schemas.openxmlformats.org/officeDocument/2006/relationships/hyperlink" Target="https://www.rsssf.org/colours/greece.html" TargetMode="External"/><Relationship Id="rId444" Type="http://schemas.openxmlformats.org/officeDocument/2006/relationships/hyperlink" Target="https://www.rsssf.org/colours/greece.html" TargetMode="External"/><Relationship Id="rId443" Type="http://schemas.openxmlformats.org/officeDocument/2006/relationships/hyperlink" Target="about:blank" TargetMode="External"/><Relationship Id="rId442" Type="http://schemas.openxmlformats.org/officeDocument/2006/relationships/hyperlink" Target="https://en.wikipedia.org/wiki/2026%E2%80%9327_Gamma_Ethniki" TargetMode="External"/><Relationship Id="rId441" Type="http://schemas.openxmlformats.org/officeDocument/2006/relationships/hyperlink" Target="about:blank" TargetMode="External"/><Relationship Id="rId437" Type="http://schemas.openxmlformats.org/officeDocument/2006/relationships/hyperlink" Target="about:blank" TargetMode="External"/><Relationship Id="rId436" Type="http://schemas.openxmlformats.org/officeDocument/2006/relationships/hyperlink" Target="about:blank" TargetMode="External"/><Relationship Id="rId435" Type="http://schemas.openxmlformats.org/officeDocument/2006/relationships/hyperlink" Target="https://en.wikipedia.org/wiki/2026%E2%80%9327_Gamma_Ethniki" TargetMode="External"/><Relationship Id="rId434" Type="http://schemas.openxmlformats.org/officeDocument/2006/relationships/hyperlink" Target="about:blank" TargetMode="External"/><Relationship Id="rId439" Type="http://schemas.openxmlformats.org/officeDocument/2006/relationships/hyperlink" Target="about:blank" TargetMode="External"/><Relationship Id="rId438" Type="http://schemas.openxmlformats.org/officeDocument/2006/relationships/hyperlink" Target="https://en.wikipedia.org/wiki/2026%E2%80%9327_Gamma_Ethniki" TargetMode="External"/><Relationship Id="rId433" Type="http://schemas.openxmlformats.org/officeDocument/2006/relationships/hyperlink" Target="about:blank" TargetMode="External"/><Relationship Id="rId432" Type="http://schemas.openxmlformats.org/officeDocument/2006/relationships/hyperlink" Target="https://en.wikipedia.org/wiki/2026%E2%80%9327_Gamma_Ethniki" TargetMode="External"/><Relationship Id="rId431" Type="http://schemas.openxmlformats.org/officeDocument/2006/relationships/hyperlink" Target="about:blank" TargetMode="External"/><Relationship Id="rId430" Type="http://schemas.openxmlformats.org/officeDocument/2006/relationships/hyperlink" Target="https://fr.wikipedia.org/wiki/AO_Proodeftiki" TargetMode="Externa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veikkausliiga.com/tilastot/joukkueet/" TargetMode="External"/><Relationship Id="rId5" Type="http://schemas.openxmlformats.org/officeDocument/2006/relationships/hyperlink" Target="https://www.veikkausliiga.com/tilastot/joukkueet/" TargetMode="External"/><Relationship Id="rId6" Type="http://schemas.openxmlformats.org/officeDocument/2006/relationships/hyperlink" Target="about:blank" TargetMode="External"/><Relationship Id="rId7" Type="http://schemas.openxmlformats.org/officeDocument/2006/relationships/hyperlink" Target="https://fi.wikipedia.org/wiki/AC_Oulu" TargetMode="External"/><Relationship Id="rId8" Type="http://schemas.openxmlformats.org/officeDocument/2006/relationships/hyperlink" Target="about:blank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www.veikkausliiga.com/tilastot/joukkueet/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fi.wikipedia.org/wiki/Sein%C3%A4joen_Jalkapallokerho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veikkausliiga.com/tilastot/joukkueet/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fi.wikipedia.org/wiki/Turun_Palloseura_(jalkapallo)" TargetMode="External"/><Relationship Id="rId49" Type="http://schemas.openxmlformats.org/officeDocument/2006/relationships/hyperlink" Target="https://www.veikkausliiga.com/tilastot/joukkueet/" TargetMode="External"/><Relationship Id="rId31" Type="http://schemas.openxmlformats.org/officeDocument/2006/relationships/hyperlink" Target="https://fi.wikipedia.org/wiki/IFK_Mariehamn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veikkausliiga.com/tilastot/joukkueet/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ilvesfutisliiga.fi/ukk/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veikkausliiga.com/tilastot/joukkueet/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fi.wikipedia.org/wiki/Kuopion_Palloseura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veikkausliiga.com/tilastot/joukkueet/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fi.wikipedia.org/wiki/Helsingin_Jalkapalloklubi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veikkausliiga.com/tilastot/joukkueet/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fi.wikipedia.org/wiki/IF_Gnistan" TargetMode="External"/><Relationship Id="rId29" Type="http://schemas.openxmlformats.org/officeDocument/2006/relationships/hyperlink" Target="https://www.veikkausliiga.com/tilastot/joukkueet/" TargetMode="External"/><Relationship Id="rId11" Type="http://schemas.openxmlformats.org/officeDocument/2006/relationships/hyperlink" Target="https://fi.wikipedia.org/wiki/FC_Inter_Turku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veikkausliiga.com/tilastot/joukkueet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fclahti.fi/brandi-visio-ja-arvot/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veikkausliiga.com/tilastot/joukkueet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fi.wikipedia.org/wiki/FF_Jaro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mikkelinpalloilijat.fi/yhteystiedot/historia/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transfermarkt.co.uk/ykkonen/startseite/wettbewerb/FI2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edustus.pk-35.fi/miehet-edustus/90-vuotista-seuraa-muistettiin-juhlapelissa-on-tama-iso-juttu/" TargetMode="External"/><Relationship Id="rId89" Type="http://schemas.openxmlformats.org/officeDocument/2006/relationships/hyperlink" Target="https://www.transfermarkt.co.uk/ykkonen/startseite/wettbewerb/FI2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transfermarkt.co.uk/ykkonen/startseite/wettbewerb/FI2" TargetMode="External"/><Relationship Id="rId73" Type="http://schemas.openxmlformats.org/officeDocument/2006/relationships/hyperlink" Target="https://www.transfermarkt.co.uk/ykkonen/startseite/wettbewerb/FI2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www.the-sports.org/football-soccer-ktp-kotka-results-identity-equ10274.html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transfermarkt.co.uk/ykkonen/startseite/wettbewerb/FI2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the-sports.org/football-soccer-kapylan-pallo-results-identity-equ22792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fi.wikipedia.org/wiki/J%C3%A4rvenp%C3%A4%C3%A4n_Palloseura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transfermarkt.co.uk/ykkonen/startseite/wettbewerb/FI2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fi.wikipedia.org/wiki/Helsingin_Jalkapalloklubi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transfermarkt.co.uk/ykkonen/startseite/wettbewerb/FI2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fi.wikipedia.org/wiki/JIPPO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transfermarkt.co.uk/ykkonen/startseite/wettbewerb/FI2" TargetMode="External"/><Relationship Id="rId51" Type="http://schemas.openxmlformats.org/officeDocument/2006/relationships/hyperlink" Target="https://fi.wikipedia.org/wiki/Vaasan_Palloseura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transfermarkt.co.uk/ykkonen/startseite/wettbewerb/FI2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fr.wikipedia.org/wiki/Eken%C3%A4s_IF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www.transfermarkt.co.uk/ykkonen/startseite/wettbewerb/FI2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fi.wikipedia.org/wiki/FC_Haka" TargetMode="External"/><Relationship Id="rId58" Type="http://schemas.openxmlformats.org/officeDocument/2006/relationships/hyperlink" Target="about:blank" TargetMode="External"/><Relationship Id="rId95" Type="http://schemas.openxmlformats.org/officeDocument/2006/relationships/hyperlink" Target="https://fi.wikipedia.org/wiki/FC_Inter_Turku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palloliitto.fi/ajankohtaista/ykkosen-jatkosarjojen-ohjelma-kaudelle-2026-julkaistu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de.wikipedia.org/wiki/FC_Jazz_Pori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fi.wikipedia.org/wiki/Sein%C3%A4joen_Jalkapallokerho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palloliitto.fi/ajankohtaista/ykkosen-jatkosarjojen-ohjelma-kaudelle-2026-julkaistu" TargetMode="External"/><Relationship Id="rId92" Type="http://schemas.openxmlformats.org/officeDocument/2006/relationships/hyperlink" Target="about:blank" TargetMode="External"/><Relationship Id="rId142" Type="http://schemas.openxmlformats.org/officeDocument/2006/relationships/table" Target="../tables/table11.xml"/><Relationship Id="rId140" Type="http://schemas.openxmlformats.org/officeDocument/2006/relationships/vmlDrawing" Target="../drawings/vmlDrawing11.vml"/><Relationship Id="rId139" Type="http://schemas.openxmlformats.org/officeDocument/2006/relationships/drawing" Target="../drawings/drawing13.xml"/><Relationship Id="rId138" Type="http://schemas.openxmlformats.org/officeDocument/2006/relationships/hyperlink" Target="https://vjs.fi/etusivu/seuravaatteet/" TargetMode="External"/><Relationship Id="rId137" Type="http://schemas.openxmlformats.org/officeDocument/2006/relationships/hyperlink" Target="about:blank" TargetMode="External"/><Relationship Id="rId132" Type="http://schemas.openxmlformats.org/officeDocument/2006/relationships/hyperlink" Target="https://www.palloliitto.fi/ajankohtaista/ykkosen-jatkosarjojen-ohjelma-kaudelle-2026-julkaistu" TargetMode="External"/><Relationship Id="rId131" Type="http://schemas.openxmlformats.org/officeDocument/2006/relationships/hyperlink" Target="about:blank" TargetMode="External"/><Relationship Id="rId130" Type="http://schemas.openxmlformats.org/officeDocument/2006/relationships/hyperlink" Target="https://fr.wikipedia.org/wiki/Tampere_United" TargetMode="External"/><Relationship Id="rId136" Type="http://schemas.openxmlformats.org/officeDocument/2006/relationships/hyperlink" Target="https://www.palloliitto.fi/ajankohtaista/ykkosen-jatkosarjojen-ohjelma-kaudelle-2026-julkaistu" TargetMode="External"/><Relationship Id="rId135" Type="http://schemas.openxmlformats.org/officeDocument/2006/relationships/hyperlink" Target="about:blank" TargetMode="External"/><Relationship Id="rId134" Type="http://schemas.openxmlformats.org/officeDocument/2006/relationships/hyperlink" Target="https://fi.wikipedia.org/wiki/Tampereen_Pallo-Veikot" TargetMode="External"/><Relationship Id="rId133" Type="http://schemas.openxmlformats.org/officeDocument/2006/relationships/hyperlink" Target="about:blank" TargetMode="External"/><Relationship Id="rId107" Type="http://schemas.openxmlformats.org/officeDocument/2006/relationships/hyperlink" Target="https://fr.wikipedia.org/wiki/Kokkolan_Palloveikot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palloliitto.fi/ajankohtaista/ykkosen-jatkosarjojen-ohjelma-kaudelle-2026-julkaistu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palloliitto.fi/ajankohtaista/ykkosen-jatkosarjojen-ohjelma-kaudelle-2026-julkaistu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www.the-sports.org/football-soccer-jyvaskylan-jalkapalloklubi-results-identity-equ11260.html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palloliitto.fi/ajankohtaista/ykkosen-jatkosarjojen-ohjelma-kaudelle-2026-julkaistu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about:blank" TargetMode="External"/><Relationship Id="rId128" Type="http://schemas.openxmlformats.org/officeDocument/2006/relationships/hyperlink" Target="https://www.palloliitto.fi/ajankohtaista/ykkosen-jatkosarjojen-ohjelma-kaudelle-2026-julkaistu" TargetMode="External"/><Relationship Id="rId127" Type="http://schemas.openxmlformats.org/officeDocument/2006/relationships/hyperlink" Target="about:blank" TargetMode="External"/><Relationship Id="rId126" Type="http://schemas.openxmlformats.org/officeDocument/2006/relationships/hyperlink" Target="https://fi.wikipedia.org/wiki/Salon_Palloilijat" TargetMode="External"/><Relationship Id="rId121" Type="http://schemas.openxmlformats.org/officeDocument/2006/relationships/hyperlink" Target="about:blank" TargetMode="External"/><Relationship Id="rId120" Type="http://schemas.openxmlformats.org/officeDocument/2006/relationships/hyperlink" Target="https://www.palloliitto.fi/ajankohtaista/ykkosen-jatkosarjojen-ohjelma-kaudelle-2026-julkaistu" TargetMode="External"/><Relationship Id="rId125" Type="http://schemas.openxmlformats.org/officeDocument/2006/relationships/hyperlink" Target="about:blank" TargetMode="External"/><Relationship Id="rId124" Type="http://schemas.openxmlformats.org/officeDocument/2006/relationships/hyperlink" Target="https://www.palloliitto.fi/ajankohtaista/ykkosen-jatkosarjojen-ohjelma-kaudelle-2026-julkaistu" TargetMode="External"/><Relationship Id="rId123" Type="http://schemas.openxmlformats.org/officeDocument/2006/relationships/hyperlink" Target="about:blank" TargetMode="External"/><Relationship Id="rId122" Type="http://schemas.openxmlformats.org/officeDocument/2006/relationships/hyperlink" Target="https://www.the-sports.org/football-soccer-rovaniemi-rops-results-identity-equ7363.html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palloliitto.fi/ajankohtaista/ykkosen-jatkosarjojen-ohjelma-kaudelle-2026-julkaistu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the-sports.org/football-soccer-ols-oulu-results-identity-equ49839.html" TargetMode="External"/><Relationship Id="rId119" Type="http://schemas.openxmlformats.org/officeDocument/2006/relationships/hyperlink" Target="about:blank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palloliitto.fi/ajankohtaista/ykkosen-jatkosarjojen-ohjelma-kaudelle-2026-julkaistu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fi.wikipedia.org/wiki/Kuopion_Palloseura" TargetMode="External"/></Relationships>
</file>

<file path=xl/worksheets/_rels/sheet14.xml.rels><?xml version="1.0" encoding="UTF-8" standalone="yes"?><Relationships xmlns="http://schemas.openxmlformats.org/package/2006/relationships"><Relationship Id="rId392" Type="http://schemas.openxmlformats.org/officeDocument/2006/relationships/hyperlink" Target="about:blank" TargetMode="External"/><Relationship Id="rId391" Type="http://schemas.openxmlformats.org/officeDocument/2006/relationships/hyperlink" Target="https://www.claudionicoletti.eu/tabelle/Clubcode/GIBRALTAR.htm" TargetMode="External"/><Relationship Id="rId390" Type="http://schemas.openxmlformats.org/officeDocument/2006/relationships/hyperlink" Target="about:blank" TargetMode="External"/><Relationship Id="rId1" Type="http://schemas.openxmlformats.org/officeDocument/2006/relationships/comments" Target="../comments12.xml"/><Relationship Id="rId2" Type="http://schemas.openxmlformats.org/officeDocument/2006/relationships/hyperlink" Target="about:blank" TargetMode="External"/><Relationship Id="rId3" Type="http://schemas.openxmlformats.org/officeDocument/2006/relationships/hyperlink" Target="about:blank" TargetMode="External"/><Relationship Id="rId4" Type="http://schemas.openxmlformats.org/officeDocument/2006/relationships/hyperlink" Target="about:blank" TargetMode="External"/><Relationship Id="rId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8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84" Type="http://schemas.openxmlformats.org/officeDocument/2006/relationships/hyperlink" Target="about:blank" TargetMode="External"/><Relationship Id="rId383" Type="http://schemas.openxmlformats.org/officeDocument/2006/relationships/hyperlink" Target="https://de.wikipedia.org/wiki/FK_Kauno_%C5%BDalgiris" TargetMode="External"/><Relationship Id="rId382" Type="http://schemas.openxmlformats.org/officeDocument/2006/relationships/hyperlink" Target="about:blank" TargetMode="External"/><Relationship Id="rId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8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6" Type="http://schemas.openxmlformats.org/officeDocument/2006/relationships/hyperlink" Target="about:blank" TargetMode="External"/><Relationship Id="rId388" Type="http://schemas.openxmlformats.org/officeDocument/2006/relationships/hyperlink" Target="about:blank" TargetMode="External"/><Relationship Id="rId7" Type="http://schemas.openxmlformats.org/officeDocument/2006/relationships/hyperlink" Target="https://www.rsssf.org/colours/greece.html" TargetMode="External"/><Relationship Id="rId387" Type="http://schemas.openxmlformats.org/officeDocument/2006/relationships/hyperlink" Target="https://fi.wikipedia.org/wiki/Kuopion_Palloseura" TargetMode="External"/><Relationship Id="rId8" Type="http://schemas.openxmlformats.org/officeDocument/2006/relationships/hyperlink" Target="about:blank" TargetMode="External"/><Relationship Id="rId386" Type="http://schemas.openxmlformats.org/officeDocument/2006/relationships/hyperlink" Target="about:blank" TargetMode="External"/><Relationship Id="rId38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80" Type="http://schemas.openxmlformats.org/officeDocument/2006/relationships/hyperlink" Target="about:blank" TargetMode="External"/><Relationship Id="rId379" Type="http://schemas.openxmlformats.org/officeDocument/2006/relationships/hyperlink" Target="https://fr.wikipedia.org/wiki/FK_Ka%C3%AFrat_Almaty" TargetMode="External"/><Relationship Id="rId374" Type="http://schemas.openxmlformats.org/officeDocument/2006/relationships/hyperlink" Target="about:blank" TargetMode="External"/><Relationship Id="rId37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72" Type="http://schemas.openxmlformats.org/officeDocument/2006/relationships/hyperlink" Target="about:blank" TargetMode="External"/><Relationship Id="rId371" Type="http://schemas.openxmlformats.org/officeDocument/2006/relationships/hyperlink" Target="https://en.wikipedia.org/wiki/Inter_Club_d%27Escaldes" TargetMode="External"/><Relationship Id="rId378" Type="http://schemas.openxmlformats.org/officeDocument/2006/relationships/hyperlink" Target="about:blank" TargetMode="External"/><Relationship Id="rId37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76" Type="http://schemas.openxmlformats.org/officeDocument/2006/relationships/hyperlink" Target="about:blank" TargetMode="External"/><Relationship Id="rId375" Type="http://schemas.openxmlformats.org/officeDocument/2006/relationships/hyperlink" Target="https://fr.wikipedia.org/wiki/FK_Jablonec" TargetMode="External"/><Relationship Id="rId396" Type="http://schemas.openxmlformats.org/officeDocument/2006/relationships/hyperlink" Target="about:blank" TargetMode="External"/><Relationship Id="rId395" Type="http://schemas.openxmlformats.org/officeDocument/2006/relationships/hyperlink" Target="https://de.wikipedia.org/wiki/FC_Lugano" TargetMode="External"/><Relationship Id="rId394" Type="http://schemas.openxmlformats.org/officeDocument/2006/relationships/hyperlink" Target="about:blank" TargetMode="External"/><Relationship Id="rId39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99" Type="http://schemas.openxmlformats.org/officeDocument/2006/relationships/hyperlink" Target="https://fr.wikipedia.org/wiki/Mj%C3%A4llby_AIF" TargetMode="External"/><Relationship Id="rId398" Type="http://schemas.openxmlformats.org/officeDocument/2006/relationships/hyperlink" Target="about:blank" TargetMode="External"/><Relationship Id="rId39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0" Type="http://schemas.openxmlformats.org/officeDocument/2006/relationships/hyperlink" Target="about:blank" TargetMode="External"/><Relationship Id="rId42" Type="http://schemas.openxmlformats.org/officeDocument/2006/relationships/hyperlink" Target="about:blank" TargetMode="External"/><Relationship Id="rId4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4" Type="http://schemas.openxmlformats.org/officeDocument/2006/relationships/hyperlink" Target="about:blank" TargetMode="External"/><Relationship Id="rId43" Type="http://schemas.openxmlformats.org/officeDocument/2006/relationships/hyperlink" Target="https://www.rsssf.org/colours/italy.html" TargetMode="External"/><Relationship Id="rId46" Type="http://schemas.openxmlformats.org/officeDocument/2006/relationships/hyperlink" Target="about:blank" TargetMode="External"/><Relationship Id="rId4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48" Type="http://schemas.openxmlformats.org/officeDocument/2006/relationships/hyperlink" Target="about:blank" TargetMode="External"/><Relationship Id="rId47" Type="http://schemas.openxmlformats.org/officeDocument/2006/relationships/hyperlink" Target="https://www.rsssf.org/colours/turkey.html" TargetMode="External"/><Relationship Id="rId4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1" Type="http://schemas.openxmlformats.org/officeDocument/2006/relationships/hyperlink" Target="https://www.the-sports.org/football-soccer-fk-bodoglimt-results-identity-equ1291.html" TargetMode="External"/><Relationship Id="rId30" Type="http://schemas.openxmlformats.org/officeDocument/2006/relationships/hyperlink" Target="about:blank" TargetMode="External"/><Relationship Id="rId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2" Type="http://schemas.openxmlformats.org/officeDocument/2006/relationships/hyperlink" Target="about:blank" TargetMode="External"/><Relationship Id="rId35" Type="http://schemas.openxmlformats.org/officeDocument/2006/relationships/hyperlink" Target="https://www.rsssf.org/colours/germany.html" TargetMode="External"/><Relationship Id="rId34" Type="http://schemas.openxmlformats.org/officeDocument/2006/relationships/hyperlink" Target="about:blank" TargetMode="External"/><Relationship Id="rId3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6" Type="http://schemas.openxmlformats.org/officeDocument/2006/relationships/hyperlink" Target="about:blank" TargetMode="External"/><Relationship Id="rId39" Type="http://schemas.openxmlformats.org/officeDocument/2006/relationships/hyperlink" Target="https://www.rsssf.org/colours/belgium.html" TargetMode="External"/><Relationship Id="rId38" Type="http://schemas.openxmlformats.org/officeDocument/2006/relationships/hyperlink" Target="about:blank" TargetMode="External"/><Relationship Id="rId20" Type="http://schemas.openxmlformats.org/officeDocument/2006/relationships/hyperlink" Target="about:blank" TargetMode="External"/><Relationship Id="rId22" Type="http://schemas.openxmlformats.org/officeDocument/2006/relationships/hyperlink" Target="about:blank" TargetMode="External"/><Relationship Id="rId2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24" Type="http://schemas.openxmlformats.org/officeDocument/2006/relationships/hyperlink" Target="about:blank" TargetMode="External"/><Relationship Id="rId23" Type="http://schemas.openxmlformats.org/officeDocument/2006/relationships/hyperlink" Target="https://www.rsssf.org/colours/spain.html" TargetMode="External"/><Relationship Id="rId26" Type="http://schemas.openxmlformats.org/officeDocument/2006/relationships/hyperlink" Target="about:blank" TargetMode="External"/><Relationship Id="rId2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28" Type="http://schemas.openxmlformats.org/officeDocument/2006/relationships/hyperlink" Target="about:blank" TargetMode="External"/><Relationship Id="rId27" Type="http://schemas.openxmlformats.org/officeDocument/2006/relationships/hyperlink" Target="https://www.rsssf.org/colours/germany.html" TargetMode="External"/><Relationship Id="rId2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1" Type="http://schemas.openxmlformats.org/officeDocument/2006/relationships/hyperlink" Target="https://www.rsssf.org/colours/england.html" TargetMode="External"/><Relationship Id="rId10" Type="http://schemas.openxmlformats.org/officeDocument/2006/relationships/hyperlink" Target="about:blank" TargetMode="External"/><Relationship Id="rId1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" Type="http://schemas.openxmlformats.org/officeDocument/2006/relationships/hyperlink" Target="about:blank" TargetMode="External"/><Relationship Id="rId15" Type="http://schemas.openxmlformats.org/officeDocument/2006/relationships/hyperlink" Target="https://www.rsssf.org/colours/england.html" TargetMode="External"/><Relationship Id="rId14" Type="http://schemas.openxmlformats.org/officeDocument/2006/relationships/hyperlink" Target="about:blank" TargetMode="External"/><Relationship Id="rId1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6" Type="http://schemas.openxmlformats.org/officeDocument/2006/relationships/hyperlink" Target="about:blank" TargetMode="External"/><Relationship Id="rId19" Type="http://schemas.openxmlformats.org/officeDocument/2006/relationships/hyperlink" Target="https://www.rsssf.org/colours/spain.html" TargetMode="External"/><Relationship Id="rId18" Type="http://schemas.openxmlformats.org/officeDocument/2006/relationships/hyperlink" Target="about:blank" TargetMode="External"/><Relationship Id="rId84" Type="http://schemas.openxmlformats.org/officeDocument/2006/relationships/hyperlink" Target="about:blank" TargetMode="External"/><Relationship Id="rId83" Type="http://schemas.openxmlformats.org/officeDocument/2006/relationships/hyperlink" Target="https://www.rsssf.org/colours/england.html" TargetMode="External"/><Relationship Id="rId86" Type="http://schemas.openxmlformats.org/officeDocument/2006/relationships/hyperlink" Target="about:blank" TargetMode="External"/><Relationship Id="rId8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8" Type="http://schemas.openxmlformats.org/officeDocument/2006/relationships/hyperlink" Target="about:blank" TargetMode="External"/><Relationship Id="rId87" Type="http://schemas.openxmlformats.org/officeDocument/2006/relationships/hyperlink" Target="https://www.rsssf.org/colours/italy.html" TargetMode="External"/><Relationship Id="rId8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80" Type="http://schemas.openxmlformats.org/officeDocument/2006/relationships/hyperlink" Target="about:blank" TargetMode="External"/><Relationship Id="rId82" Type="http://schemas.openxmlformats.org/officeDocument/2006/relationships/hyperlink" Target="about:blank" TargetMode="External"/><Relationship Id="rId8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2" Type="http://schemas.openxmlformats.org/officeDocument/2006/relationships/hyperlink" Target="about:blank" TargetMode="External"/><Relationship Id="rId75" Type="http://schemas.openxmlformats.org/officeDocument/2006/relationships/hyperlink" Target="https://en.wikipedia.org/wiki/Liverpool_F.C." TargetMode="External"/><Relationship Id="rId74" Type="http://schemas.openxmlformats.org/officeDocument/2006/relationships/hyperlink" Target="about:blank" TargetMode="External"/><Relationship Id="rId7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76" Type="http://schemas.openxmlformats.org/officeDocument/2006/relationships/hyperlink" Target="about:blank" TargetMode="External"/><Relationship Id="rId79" Type="http://schemas.openxmlformats.org/officeDocument/2006/relationships/hyperlink" Target="https://www.rsssf.org/colours/england.html" TargetMode="External"/><Relationship Id="rId78" Type="http://schemas.openxmlformats.org/officeDocument/2006/relationships/hyperlink" Target="about:blank" TargetMode="External"/><Relationship Id="rId71" Type="http://schemas.openxmlformats.org/officeDocument/2006/relationships/hyperlink" Target="https://www.rsssf.org/colours/france.html" TargetMode="External"/><Relationship Id="rId70" Type="http://schemas.openxmlformats.org/officeDocument/2006/relationships/hyperlink" Target="about:blank" TargetMode="External"/><Relationship Id="rId62" Type="http://schemas.openxmlformats.org/officeDocument/2006/relationships/hyperlink" Target="about:blank" TargetMode="External"/><Relationship Id="rId6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64" Type="http://schemas.openxmlformats.org/officeDocument/2006/relationships/hyperlink" Target="about:blank" TargetMode="External"/><Relationship Id="rId63" Type="http://schemas.openxmlformats.org/officeDocument/2006/relationships/hyperlink" Target="https://de.wikipedia.org/wiki/LASK" TargetMode="External"/><Relationship Id="rId66" Type="http://schemas.openxmlformats.org/officeDocument/2006/relationships/hyperlink" Target="about:blank" TargetMode="External"/><Relationship Id="rId6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68" Type="http://schemas.openxmlformats.org/officeDocument/2006/relationships/hyperlink" Target="about:blank" TargetMode="External"/><Relationship Id="rId67" Type="http://schemas.openxmlformats.org/officeDocument/2006/relationships/hyperlink" Target="https://www.rsssf.org/colours/france.html" TargetMode="External"/><Relationship Id="rId60" Type="http://schemas.openxmlformats.org/officeDocument/2006/relationships/hyperlink" Target="about:blank" TargetMode="External"/><Relationship Id="rId6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1" Type="http://schemas.openxmlformats.org/officeDocument/2006/relationships/hyperlink" Target="https://www.rsssf.org/colours/netherlands.html" TargetMode="External"/><Relationship Id="rId50" Type="http://schemas.openxmlformats.org/officeDocument/2006/relationships/hyperlink" Target="about:blank" TargetMode="External"/><Relationship Id="rId5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2" Type="http://schemas.openxmlformats.org/officeDocument/2006/relationships/hyperlink" Target="about:blank" TargetMode="External"/><Relationship Id="rId55" Type="http://schemas.openxmlformats.org/officeDocument/2006/relationships/hyperlink" Target="https://www.rsssf.org/colours/turkey.html" TargetMode="External"/><Relationship Id="rId54" Type="http://schemas.openxmlformats.org/officeDocument/2006/relationships/hyperlink" Target="about:blank" TargetMode="External"/><Relationship Id="rId5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56" Type="http://schemas.openxmlformats.org/officeDocument/2006/relationships/hyperlink" Target="about:blank" TargetMode="External"/><Relationship Id="rId59" Type="http://schemas.openxmlformats.org/officeDocument/2006/relationships/hyperlink" Target="https://www.rsssf.org/colours/italy.html" TargetMode="External"/><Relationship Id="rId58" Type="http://schemas.openxmlformats.org/officeDocument/2006/relationships/hyperlink" Target="about:blank" TargetMode="External"/><Relationship Id="rId34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48" Type="http://schemas.openxmlformats.org/officeDocument/2006/relationships/hyperlink" Target="about:blank" TargetMode="External"/><Relationship Id="rId347" Type="http://schemas.openxmlformats.org/officeDocument/2006/relationships/hyperlink" Target="https://de.wikipedia.org/wiki/FC_Twente_Enschede" TargetMode="External"/><Relationship Id="rId346" Type="http://schemas.openxmlformats.org/officeDocument/2006/relationships/hyperlink" Target="about:blank" TargetMode="External"/><Relationship Id="rId34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40" Type="http://schemas.openxmlformats.org/officeDocument/2006/relationships/hyperlink" Target="about:blank" TargetMode="External"/><Relationship Id="rId34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44" Type="http://schemas.openxmlformats.org/officeDocument/2006/relationships/hyperlink" Target="about:blank" TargetMode="External"/><Relationship Id="rId343" Type="http://schemas.openxmlformats.org/officeDocument/2006/relationships/hyperlink" Target="https://www.the-sports.org/football-soccer-fc-nordsjaelland-results-identity-equ843.html" TargetMode="External"/><Relationship Id="rId342" Type="http://schemas.openxmlformats.org/officeDocument/2006/relationships/hyperlink" Target="about:blank" TargetMode="External"/><Relationship Id="rId338" Type="http://schemas.openxmlformats.org/officeDocument/2006/relationships/hyperlink" Target="about:blank" TargetMode="External"/><Relationship Id="rId33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36" Type="http://schemas.openxmlformats.org/officeDocument/2006/relationships/hyperlink" Target="about:blank" TargetMode="External"/><Relationship Id="rId335" Type="http://schemas.openxmlformats.org/officeDocument/2006/relationships/hyperlink" Target="https://de.wikipedia.org/wiki/FC_Kopenhagen" TargetMode="External"/><Relationship Id="rId339" Type="http://schemas.openxmlformats.org/officeDocument/2006/relationships/hyperlink" Target="https://de.wikipedia.org/wiki/FC_Midtjylland" TargetMode="External"/><Relationship Id="rId330" Type="http://schemas.openxmlformats.org/officeDocument/2006/relationships/hyperlink" Target="about:blank" TargetMode="External"/><Relationship Id="rId334" Type="http://schemas.openxmlformats.org/officeDocument/2006/relationships/hyperlink" Target="about:blank" TargetMode="External"/><Relationship Id="rId33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32" Type="http://schemas.openxmlformats.org/officeDocument/2006/relationships/hyperlink" Target="about:blank" TargetMode="External"/><Relationship Id="rId331" Type="http://schemas.openxmlformats.org/officeDocument/2006/relationships/hyperlink" Target="https://fr.wikipedia.org/wiki/KF_Egnatia_Rrogozhin%C3%AB" TargetMode="External"/><Relationship Id="rId370" Type="http://schemas.openxmlformats.org/officeDocument/2006/relationships/hyperlink" Target="about:blank" TargetMode="External"/><Relationship Id="rId36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68" Type="http://schemas.openxmlformats.org/officeDocument/2006/relationships/hyperlink" Target="about:blank" TargetMode="External"/><Relationship Id="rId363" Type="http://schemas.openxmlformats.org/officeDocument/2006/relationships/hyperlink" Target="https://fr.wikipedia.org/wiki/Heart_of_Midlothian_Football_Club" TargetMode="External"/><Relationship Id="rId362" Type="http://schemas.openxmlformats.org/officeDocument/2006/relationships/hyperlink" Target="about:blank" TargetMode="External"/><Relationship Id="rId36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60" Type="http://schemas.openxmlformats.org/officeDocument/2006/relationships/hyperlink" Target="about:blank" TargetMode="External"/><Relationship Id="rId367" Type="http://schemas.openxmlformats.org/officeDocument/2006/relationships/hyperlink" Target="https://fr.wikipedia.org/wiki/FC_Iberia_1999" TargetMode="External"/><Relationship Id="rId366" Type="http://schemas.openxmlformats.org/officeDocument/2006/relationships/hyperlink" Target="about:blank" TargetMode="External"/><Relationship Id="rId36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64" Type="http://schemas.openxmlformats.org/officeDocument/2006/relationships/hyperlink" Target="about:blank" TargetMode="External"/><Relationship Id="rId95" Type="http://schemas.openxmlformats.org/officeDocument/2006/relationships/hyperlink" Target="https://www.rsssf.org/colours/portugal.html" TargetMode="External"/><Relationship Id="rId94" Type="http://schemas.openxmlformats.org/officeDocument/2006/relationships/hyperlink" Target="about:blank" TargetMode="External"/><Relationship Id="rId9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96" Type="http://schemas.openxmlformats.org/officeDocument/2006/relationships/hyperlink" Target="about:blank" TargetMode="External"/><Relationship Id="rId99" Type="http://schemas.openxmlformats.org/officeDocument/2006/relationships/hyperlink" Target="https://www.rsssf.org/colours/netherlands.html" TargetMode="External"/><Relationship Id="rId98" Type="http://schemas.openxmlformats.org/officeDocument/2006/relationships/hyperlink" Target="about:blank" TargetMode="External"/><Relationship Id="rId91" Type="http://schemas.openxmlformats.org/officeDocument/2006/relationships/hyperlink" Target="https://www.rsssf.org/colours/france.html" TargetMode="External"/><Relationship Id="rId90" Type="http://schemas.openxmlformats.org/officeDocument/2006/relationships/hyperlink" Target="about:blank" TargetMode="External"/><Relationship Id="rId9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92" Type="http://schemas.openxmlformats.org/officeDocument/2006/relationships/hyperlink" Target="about:blank" TargetMode="External"/><Relationship Id="rId359" Type="http://schemas.openxmlformats.org/officeDocument/2006/relationships/hyperlink" Target="https://fr.wikipedia.org/wiki/HNK_Hajduk_Split" TargetMode="External"/><Relationship Id="rId358" Type="http://schemas.openxmlformats.org/officeDocument/2006/relationships/hyperlink" Target="about:blank" TargetMode="External"/><Relationship Id="rId35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52" Type="http://schemas.openxmlformats.org/officeDocument/2006/relationships/hyperlink" Target="about:blank" TargetMode="External"/><Relationship Id="rId351" Type="http://schemas.openxmlformats.org/officeDocument/2006/relationships/hyperlink" Target="https://www.rsssf.org/colours/belgium.html" TargetMode="External"/><Relationship Id="rId350" Type="http://schemas.openxmlformats.org/officeDocument/2006/relationships/hyperlink" Target="about:blank" TargetMode="External"/><Relationship Id="rId356" Type="http://schemas.openxmlformats.org/officeDocument/2006/relationships/hyperlink" Target="about:blank" TargetMode="External"/><Relationship Id="rId355" Type="http://schemas.openxmlformats.org/officeDocument/2006/relationships/hyperlink" Target="https://www.rsssf.org/colours/spain.html" TargetMode="External"/><Relationship Id="rId354" Type="http://schemas.openxmlformats.org/officeDocument/2006/relationships/hyperlink" Target="about:blank" TargetMode="External"/><Relationship Id="rId35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0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04" Type="http://schemas.openxmlformats.org/officeDocument/2006/relationships/hyperlink" Target="about:blank" TargetMode="External"/><Relationship Id="rId303" Type="http://schemas.openxmlformats.org/officeDocument/2006/relationships/hyperlink" Target="https://www.rsssf.org/colours/italy.html" TargetMode="External"/><Relationship Id="rId302" Type="http://schemas.openxmlformats.org/officeDocument/2006/relationships/hyperlink" Target="about:blank" TargetMode="External"/><Relationship Id="rId30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08" Type="http://schemas.openxmlformats.org/officeDocument/2006/relationships/hyperlink" Target="about:blank" TargetMode="External"/><Relationship Id="rId307" Type="http://schemas.openxmlformats.org/officeDocument/2006/relationships/hyperlink" Target="https://fr.wikipedia.org/wiki/FK_Borac_Banja_Luka" TargetMode="External"/><Relationship Id="rId306" Type="http://schemas.openxmlformats.org/officeDocument/2006/relationships/hyperlink" Target="about:blank" TargetMode="External"/><Relationship Id="rId30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00" Type="http://schemas.openxmlformats.org/officeDocument/2006/relationships/hyperlink" Target="about:blank" TargetMode="External"/><Relationship Id="rId327" Type="http://schemas.openxmlformats.org/officeDocument/2006/relationships/hyperlink" Target="https://fr.wikipedia.org/wiki/PFK_CSKA_Sofia" TargetMode="External"/><Relationship Id="rId326" Type="http://schemas.openxmlformats.org/officeDocument/2006/relationships/hyperlink" Target="about:blank" TargetMode="External"/><Relationship Id="rId32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24" Type="http://schemas.openxmlformats.org/officeDocument/2006/relationships/hyperlink" Target="about:blank" TargetMode="External"/><Relationship Id="rId32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28" Type="http://schemas.openxmlformats.org/officeDocument/2006/relationships/hyperlink" Target="about:blank" TargetMode="External"/><Relationship Id="rId323" Type="http://schemas.openxmlformats.org/officeDocument/2006/relationships/hyperlink" Target="https://fr.wikipedia.org/wiki/%C3%89toile_rouge_de_Belgrade_(football)" TargetMode="External"/><Relationship Id="rId322" Type="http://schemas.openxmlformats.org/officeDocument/2006/relationships/hyperlink" Target="about:blank" TargetMode="External"/><Relationship Id="rId32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20" Type="http://schemas.openxmlformats.org/officeDocument/2006/relationships/hyperlink" Target="about:blank" TargetMode="External"/><Relationship Id="rId316" Type="http://schemas.openxmlformats.org/officeDocument/2006/relationships/hyperlink" Target="about:blank" TargetMode="External"/><Relationship Id="rId315" Type="http://schemas.openxmlformats.org/officeDocument/2006/relationships/hyperlink" Target="https://www.rsssf.org/colours/norway.html" TargetMode="External"/><Relationship Id="rId314" Type="http://schemas.openxmlformats.org/officeDocument/2006/relationships/hyperlink" Target="about:blank" TargetMode="External"/><Relationship Id="rId31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19" Type="http://schemas.openxmlformats.org/officeDocument/2006/relationships/hyperlink" Target="https://www.rsssf.org/colours/england.html" TargetMode="External"/><Relationship Id="rId318" Type="http://schemas.openxmlformats.org/officeDocument/2006/relationships/hyperlink" Target="about:blank" TargetMode="External"/><Relationship Id="rId31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12" Type="http://schemas.openxmlformats.org/officeDocument/2006/relationships/hyperlink" Target="about:blank" TargetMode="External"/><Relationship Id="rId311" Type="http://schemas.openxmlformats.org/officeDocument/2006/relationships/hyperlink" Target="https://www.rsssf.org/colours/portugal.html" TargetMode="External"/><Relationship Id="rId310" Type="http://schemas.openxmlformats.org/officeDocument/2006/relationships/hyperlink" Target="about:blank" TargetMode="External"/><Relationship Id="rId29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6" Type="http://schemas.openxmlformats.org/officeDocument/2006/relationships/hyperlink" Target="about:blank" TargetMode="External"/><Relationship Id="rId295" Type="http://schemas.openxmlformats.org/officeDocument/2006/relationships/hyperlink" Target="https://fr.wikipedia.org/wiki/AGF_Aarhus" TargetMode="External"/><Relationship Id="rId294" Type="http://schemas.openxmlformats.org/officeDocument/2006/relationships/hyperlink" Target="about:blank" TargetMode="External"/><Relationship Id="rId299" Type="http://schemas.openxmlformats.org/officeDocument/2006/relationships/hyperlink" Target="https://www.rsssf.org/colours/netherlands.html" TargetMode="External"/><Relationship Id="rId298" Type="http://schemas.openxmlformats.org/officeDocument/2006/relationships/hyperlink" Target="about:blank" TargetMode="External"/><Relationship Id="rId271" Type="http://schemas.openxmlformats.org/officeDocument/2006/relationships/hyperlink" Target="https://fr.wikipedia.org/wiki/SK_Sturm_Graz" TargetMode="External"/><Relationship Id="rId270" Type="http://schemas.openxmlformats.org/officeDocument/2006/relationships/hyperlink" Target="about:blank" TargetMode="External"/><Relationship Id="rId269" Type="http://schemas.openxmlformats.org/officeDocument/2006/relationships/hyperlink" Target="https://www.uefa.com/uefaeuropaleague/clubs/" TargetMode="External"/><Relationship Id="rId264" Type="http://schemas.openxmlformats.org/officeDocument/2006/relationships/hyperlink" Target="about:blank" TargetMode="External"/><Relationship Id="rId263" Type="http://schemas.openxmlformats.org/officeDocument/2006/relationships/hyperlink" Target="https://fr.wikipedia.org/wiki/Stade_rennais_football_club" TargetMode="External"/><Relationship Id="rId262" Type="http://schemas.openxmlformats.org/officeDocument/2006/relationships/hyperlink" Target="about:blank" TargetMode="External"/><Relationship Id="rId261" Type="http://schemas.openxmlformats.org/officeDocument/2006/relationships/hyperlink" Target="https://www.uefa.com/uefaeuropaleague/clubs/" TargetMode="External"/><Relationship Id="rId268" Type="http://schemas.openxmlformats.org/officeDocument/2006/relationships/hyperlink" Target="about:blank" TargetMode="External"/><Relationship Id="rId267" Type="http://schemas.openxmlformats.org/officeDocument/2006/relationships/hyperlink" Target="https://fr.wikipedia.org/wiki/AC_Sparta_Prague" TargetMode="External"/><Relationship Id="rId266" Type="http://schemas.openxmlformats.org/officeDocument/2006/relationships/hyperlink" Target="about:blank" TargetMode="External"/><Relationship Id="rId265" Type="http://schemas.openxmlformats.org/officeDocument/2006/relationships/hyperlink" Target="https://www.uefa.com/uefaeuropaleague/clubs/" TargetMode="External"/><Relationship Id="rId260" Type="http://schemas.openxmlformats.org/officeDocument/2006/relationships/hyperlink" Target="about:blank" TargetMode="External"/><Relationship Id="rId259" Type="http://schemas.openxmlformats.org/officeDocument/2006/relationships/hyperlink" Target="https://de.wikipedia.org/wiki/FC_Red_Bull_Salzburg" TargetMode="External"/><Relationship Id="rId258" Type="http://schemas.openxmlformats.org/officeDocument/2006/relationships/hyperlink" Target="about:blank" TargetMode="External"/><Relationship Id="rId253" Type="http://schemas.openxmlformats.org/officeDocument/2006/relationships/hyperlink" Target="https://www.uefa.com/uefaeuropaleague/clubs/" TargetMode="External"/><Relationship Id="rId252" Type="http://schemas.openxmlformats.org/officeDocument/2006/relationships/hyperlink" Target="about:blank" TargetMode="External"/><Relationship Id="rId251" Type="http://schemas.openxmlformats.org/officeDocument/2006/relationships/hyperlink" Target="https://fr.wikipedia.org/wiki/Om%C3%B3nia_Nicosie" TargetMode="External"/><Relationship Id="rId250" Type="http://schemas.openxmlformats.org/officeDocument/2006/relationships/hyperlink" Target="about:blank" TargetMode="External"/><Relationship Id="rId257" Type="http://schemas.openxmlformats.org/officeDocument/2006/relationships/hyperlink" Target="https://www.uefa.com/uefaeuropaleague/clubs/" TargetMode="External"/><Relationship Id="rId256" Type="http://schemas.openxmlformats.org/officeDocument/2006/relationships/hyperlink" Target="about:blank" TargetMode="External"/><Relationship Id="rId255" Type="http://schemas.openxmlformats.org/officeDocument/2006/relationships/hyperlink" Target="https://www.rsssf.org/colours/spain.html" TargetMode="External"/><Relationship Id="rId254" Type="http://schemas.openxmlformats.org/officeDocument/2006/relationships/hyperlink" Target="about:blank" TargetMode="External"/><Relationship Id="rId29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292" Type="http://schemas.openxmlformats.org/officeDocument/2006/relationships/hyperlink" Target="about:blank" TargetMode="External"/><Relationship Id="rId291" Type="http://schemas.openxmlformats.org/officeDocument/2006/relationships/hyperlink" Target="https://fr.wikipedia.org/wiki/FC_Viktoria_Plze%C5%88" TargetMode="External"/><Relationship Id="rId290" Type="http://schemas.openxmlformats.org/officeDocument/2006/relationships/hyperlink" Target="about:blank" TargetMode="External"/><Relationship Id="rId286" Type="http://schemas.openxmlformats.org/officeDocument/2006/relationships/hyperlink" Target="about:blank" TargetMode="External"/><Relationship Id="rId285" Type="http://schemas.openxmlformats.org/officeDocument/2006/relationships/hyperlink" Target="https://www.uefa.com/uefaeuropaleague/clubs/" TargetMode="External"/><Relationship Id="rId284" Type="http://schemas.openxmlformats.org/officeDocument/2006/relationships/hyperlink" Target="about:blank" TargetMode="External"/><Relationship Id="rId283" Type="http://schemas.openxmlformats.org/officeDocument/2006/relationships/hyperlink" Target="https://de.wikipedia.org/wiki/TSG_1899_Hoffenheim" TargetMode="External"/><Relationship Id="rId289" Type="http://schemas.openxmlformats.org/officeDocument/2006/relationships/hyperlink" Target="https://www.uefa.com/uefaeuropaleague/clubs/" TargetMode="External"/><Relationship Id="rId288" Type="http://schemas.openxmlformats.org/officeDocument/2006/relationships/hyperlink" Target="about:blank" TargetMode="External"/><Relationship Id="rId287" Type="http://schemas.openxmlformats.org/officeDocument/2006/relationships/hyperlink" Target="https://fr.wikipedia.org/wiki/Royale_Union_saint-gilloise" TargetMode="External"/><Relationship Id="rId282" Type="http://schemas.openxmlformats.org/officeDocument/2006/relationships/hyperlink" Target="about:blank" TargetMode="External"/><Relationship Id="rId281" Type="http://schemas.openxmlformats.org/officeDocument/2006/relationships/hyperlink" Target="https://www.uefa.com/uefaeuropaleague/clubs/" TargetMode="External"/><Relationship Id="rId280" Type="http://schemas.openxmlformats.org/officeDocument/2006/relationships/hyperlink" Target="about:blank" TargetMode="External"/><Relationship Id="rId275" Type="http://schemas.openxmlformats.org/officeDocument/2006/relationships/hyperlink" Target="https://www.rsssf.org/colours/england.html" TargetMode="External"/><Relationship Id="rId274" Type="http://schemas.openxmlformats.org/officeDocument/2006/relationships/hyperlink" Target="about:blank" TargetMode="External"/><Relationship Id="rId273" Type="http://schemas.openxmlformats.org/officeDocument/2006/relationships/hyperlink" Target="https://www.uefa.com/uefaeuropaleague/clubs/" TargetMode="External"/><Relationship Id="rId272" Type="http://schemas.openxmlformats.org/officeDocument/2006/relationships/hyperlink" Target="about:blank" TargetMode="External"/><Relationship Id="rId279" Type="http://schemas.openxmlformats.org/officeDocument/2006/relationships/hyperlink" Target="https://www.rsssf.org/colours/portugal.html" TargetMode="External"/><Relationship Id="rId278" Type="http://schemas.openxmlformats.org/officeDocument/2006/relationships/hyperlink" Target="about:blank" TargetMode="External"/><Relationship Id="rId277" Type="http://schemas.openxmlformats.org/officeDocument/2006/relationships/hyperlink" Target="https://www.uefa.com/uefaeuropaleague/clubs/" TargetMode="External"/><Relationship Id="rId276" Type="http://schemas.openxmlformats.org/officeDocument/2006/relationships/hyperlink" Target="about:blank" TargetMode="External"/><Relationship Id="rId228" Type="http://schemas.openxmlformats.org/officeDocument/2006/relationships/hyperlink" Target="about:blank" TargetMode="External"/><Relationship Id="rId227" Type="http://schemas.openxmlformats.org/officeDocument/2006/relationships/hyperlink" Target="https://www.rsssf.org/colours/france.html" TargetMode="External"/><Relationship Id="rId226" Type="http://schemas.openxmlformats.org/officeDocument/2006/relationships/hyperlink" Target="about:blank" TargetMode="External"/><Relationship Id="rId225" Type="http://schemas.openxmlformats.org/officeDocument/2006/relationships/hyperlink" Target="https://www.uefa.com/uefaeuropaleague/clubs/" TargetMode="External"/><Relationship Id="rId229" Type="http://schemas.openxmlformats.org/officeDocument/2006/relationships/hyperlink" Target="https://www.uefa.com/uefaeuropaleague/clubs/" TargetMode="External"/><Relationship Id="rId220" Type="http://schemas.openxmlformats.org/officeDocument/2006/relationships/hyperlink" Target="about:blank" TargetMode="External"/><Relationship Id="rId224" Type="http://schemas.openxmlformats.org/officeDocument/2006/relationships/hyperlink" Target="about:blank" TargetMode="External"/><Relationship Id="rId223" Type="http://schemas.openxmlformats.org/officeDocument/2006/relationships/hyperlink" Target="https://www.rsssf.org/colours/norway.html" TargetMode="External"/><Relationship Id="rId222" Type="http://schemas.openxmlformats.org/officeDocument/2006/relationships/hyperlink" Target="about:blank" TargetMode="External"/><Relationship Id="rId221" Type="http://schemas.openxmlformats.org/officeDocument/2006/relationships/hyperlink" Target="https://www.uefa.com/uefaeuropaleague/clubs/" TargetMode="External"/><Relationship Id="rId217" Type="http://schemas.openxmlformats.org/officeDocument/2006/relationships/hyperlink" Target="https://www.uefa.com/uefaeuropaleague/clubs/" TargetMode="External"/><Relationship Id="rId216" Type="http://schemas.openxmlformats.org/officeDocument/2006/relationships/hyperlink" Target="about:blank" TargetMode="External"/><Relationship Id="rId215" Type="http://schemas.openxmlformats.org/officeDocument/2006/relationships/hyperlink" Target="https://fr.wikipedia.org/wiki/Lech_Pozna%C5%84" TargetMode="External"/><Relationship Id="rId214" Type="http://schemas.openxmlformats.org/officeDocument/2006/relationships/hyperlink" Target="about:blank" TargetMode="External"/><Relationship Id="rId219" Type="http://schemas.openxmlformats.org/officeDocument/2006/relationships/hyperlink" Target="https://fr.wikipedia.org/wiki/PFK_Levski_Sofia" TargetMode="External"/><Relationship Id="rId218" Type="http://schemas.openxmlformats.org/officeDocument/2006/relationships/hyperlink" Target="about:blank" TargetMode="External"/><Relationship Id="rId213" Type="http://schemas.openxmlformats.org/officeDocument/2006/relationships/hyperlink" Target="https://www.uefa.com/uefaeuropaleague/clubs/" TargetMode="External"/><Relationship Id="rId212" Type="http://schemas.openxmlformats.org/officeDocument/2006/relationships/hyperlink" Target="about:blank" TargetMode="External"/><Relationship Id="rId211" Type="http://schemas.openxmlformats.org/officeDocument/2006/relationships/hyperlink" Target="https://www.rsssf.org/colours/italy.html" TargetMode="External"/><Relationship Id="rId210" Type="http://schemas.openxmlformats.org/officeDocument/2006/relationships/hyperlink" Target="about:blank" TargetMode="External"/><Relationship Id="rId249" Type="http://schemas.openxmlformats.org/officeDocument/2006/relationships/hyperlink" Target="https://www.uefa.com/uefaeuropaleague/clubs/" TargetMode="External"/><Relationship Id="rId248" Type="http://schemas.openxmlformats.org/officeDocument/2006/relationships/hyperlink" Target="about:blank" TargetMode="External"/><Relationship Id="rId247" Type="http://schemas.openxmlformats.org/officeDocument/2006/relationships/hyperlink" Target="https://www.rsssf.org/colours/greece.html" TargetMode="External"/><Relationship Id="rId242" Type="http://schemas.openxmlformats.org/officeDocument/2006/relationships/hyperlink" Target="about:blank" TargetMode="External"/><Relationship Id="rId241" Type="http://schemas.openxmlformats.org/officeDocument/2006/relationships/hyperlink" Target="https://www.uefa.com/uefaeuropaleague/clubs/" TargetMode="External"/><Relationship Id="rId240" Type="http://schemas.openxmlformats.org/officeDocument/2006/relationships/hyperlink" Target="about:blank" TargetMode="External"/><Relationship Id="rId246" Type="http://schemas.openxmlformats.org/officeDocument/2006/relationships/hyperlink" Target="about:blank" TargetMode="External"/><Relationship Id="rId245" Type="http://schemas.openxmlformats.org/officeDocument/2006/relationships/hyperlink" Target="https://www.uefa.com/uefaeuropaleague/clubs/" TargetMode="External"/><Relationship Id="rId244" Type="http://schemas.openxmlformats.org/officeDocument/2006/relationships/hyperlink" Target="about:blank" TargetMode="External"/><Relationship Id="rId243" Type="http://schemas.openxmlformats.org/officeDocument/2006/relationships/hyperlink" Target="https://www.rsssf.org/colours/greece.html" TargetMode="External"/><Relationship Id="rId239" Type="http://schemas.openxmlformats.org/officeDocument/2006/relationships/hyperlink" Target="https://fr.wikipedia.org/wiki/NEC_Nim%C3%A8gue" TargetMode="External"/><Relationship Id="rId238" Type="http://schemas.openxmlformats.org/officeDocument/2006/relationships/hyperlink" Target="about:blank" TargetMode="External"/><Relationship Id="rId237" Type="http://schemas.openxmlformats.org/officeDocument/2006/relationships/hyperlink" Target="https://www.uefa.com/uefaeuropaleague/clubs/" TargetMode="External"/><Relationship Id="rId236" Type="http://schemas.openxmlformats.org/officeDocument/2006/relationships/hyperlink" Target="about:blank" TargetMode="External"/><Relationship Id="rId231" Type="http://schemas.openxmlformats.org/officeDocument/2006/relationships/hyperlink" Target="https://www.rsssf.org/colours/france.html" TargetMode="External"/><Relationship Id="rId230" Type="http://schemas.openxmlformats.org/officeDocument/2006/relationships/hyperlink" Target="about:blank" TargetMode="External"/><Relationship Id="rId235" Type="http://schemas.openxmlformats.org/officeDocument/2006/relationships/hyperlink" Target="https://www.rsssf.org/colours/italy.html" TargetMode="External"/><Relationship Id="rId234" Type="http://schemas.openxmlformats.org/officeDocument/2006/relationships/hyperlink" Target="about:blank" TargetMode="External"/><Relationship Id="rId233" Type="http://schemas.openxmlformats.org/officeDocument/2006/relationships/hyperlink" Target="https://www.uefa.com/uefaeuropaleague/clubs/" TargetMode="External"/><Relationship Id="rId232" Type="http://schemas.openxmlformats.org/officeDocument/2006/relationships/hyperlink" Target="about:blank" TargetMode="External"/><Relationship Id="rId206" Type="http://schemas.openxmlformats.org/officeDocument/2006/relationships/hyperlink" Target="about:blank" TargetMode="External"/><Relationship Id="rId205" Type="http://schemas.openxmlformats.org/officeDocument/2006/relationships/hyperlink" Target="https://www.uefa.com/uefaeuropaleague/clubs/" TargetMode="External"/><Relationship Id="rId204" Type="http://schemas.openxmlformats.org/officeDocument/2006/relationships/hyperlink" Target="about:blank" TargetMode="External"/><Relationship Id="rId203" Type="http://schemas.openxmlformats.org/officeDocument/2006/relationships/hyperlink" Target="https://fr.wikipedia.org/wiki/Hapo%C3%ABl_Beer-Sheva" TargetMode="External"/><Relationship Id="rId209" Type="http://schemas.openxmlformats.org/officeDocument/2006/relationships/hyperlink" Target="https://www.uefa.com/uefaeuropaleague/clubs/" TargetMode="External"/><Relationship Id="rId208" Type="http://schemas.openxmlformats.org/officeDocument/2006/relationships/hyperlink" Target="about:blank" TargetMode="External"/><Relationship Id="rId207" Type="http://schemas.openxmlformats.org/officeDocument/2006/relationships/hyperlink" Target="https://fr.wikipedia.org/wiki/Jagiellonia_Bia%C5%82ystok" TargetMode="External"/><Relationship Id="rId202" Type="http://schemas.openxmlformats.org/officeDocument/2006/relationships/hyperlink" Target="about:blank" TargetMode="External"/><Relationship Id="rId201" Type="http://schemas.openxmlformats.org/officeDocument/2006/relationships/hyperlink" Target="https://www.uefa.com/uefaeuropaleague/clubs/" TargetMode="External"/><Relationship Id="rId200" Type="http://schemas.openxmlformats.org/officeDocument/2006/relationships/hyperlink" Target="about:blank" TargetMode="External"/><Relationship Id="rId190" Type="http://schemas.openxmlformats.org/officeDocument/2006/relationships/hyperlink" Target="about:blank" TargetMode="External"/><Relationship Id="rId194" Type="http://schemas.openxmlformats.org/officeDocument/2006/relationships/hyperlink" Target="about:blank" TargetMode="External"/><Relationship Id="rId193" Type="http://schemas.openxmlformats.org/officeDocument/2006/relationships/hyperlink" Target="https://www.uefa.com/uefaeuropaleague/clubs/" TargetMode="External"/><Relationship Id="rId192" Type="http://schemas.openxmlformats.org/officeDocument/2006/relationships/hyperlink" Target="about:blank" TargetMode="External"/><Relationship Id="rId191" Type="http://schemas.openxmlformats.org/officeDocument/2006/relationships/hyperlink" Target="https://www.rsssf.org/colours/england.html" TargetMode="External"/><Relationship Id="rId187" Type="http://schemas.openxmlformats.org/officeDocument/2006/relationships/hyperlink" Target="https://fr.wikipedia.org/wiki/Celtic_Football_Club" TargetMode="External"/><Relationship Id="rId186" Type="http://schemas.openxmlformats.org/officeDocument/2006/relationships/hyperlink" Target="about:blank" TargetMode="External"/><Relationship Id="rId185" Type="http://schemas.openxmlformats.org/officeDocument/2006/relationships/hyperlink" Target="https://www.uefa.com/uefaeuropaleague/clubs/" TargetMode="External"/><Relationship Id="rId184" Type="http://schemas.openxmlformats.org/officeDocument/2006/relationships/hyperlink" Target="about:blank" TargetMode="External"/><Relationship Id="rId189" Type="http://schemas.openxmlformats.org/officeDocument/2006/relationships/hyperlink" Target="https://www.uefa.com/uefaeuropaleague/clubs/" TargetMode="External"/><Relationship Id="rId188" Type="http://schemas.openxmlformats.org/officeDocument/2006/relationships/hyperlink" Target="about:blank" TargetMode="External"/><Relationship Id="rId183" Type="http://schemas.openxmlformats.org/officeDocument/2006/relationships/hyperlink" Target="https://www.rsssf.org/colours/spain.html" TargetMode="External"/><Relationship Id="rId182" Type="http://schemas.openxmlformats.org/officeDocument/2006/relationships/hyperlink" Target="about:blank" TargetMode="External"/><Relationship Id="rId181" Type="http://schemas.openxmlformats.org/officeDocument/2006/relationships/hyperlink" Target="https://www.uefa.com/uefaeuropaleague/clubs/" TargetMode="External"/><Relationship Id="rId180" Type="http://schemas.openxmlformats.org/officeDocument/2006/relationships/hyperlink" Target="about:blank" TargetMode="External"/><Relationship Id="rId176" Type="http://schemas.openxmlformats.org/officeDocument/2006/relationships/hyperlink" Target="about:blank" TargetMode="External"/><Relationship Id="rId175" Type="http://schemas.openxmlformats.org/officeDocument/2006/relationships/hyperlink" Target="https://en.wikipedia.org/wiki/AFC_Bournemouth" TargetMode="External"/><Relationship Id="rId174" Type="http://schemas.openxmlformats.org/officeDocument/2006/relationships/hyperlink" Target="about:blank" TargetMode="External"/><Relationship Id="rId173" Type="http://schemas.openxmlformats.org/officeDocument/2006/relationships/hyperlink" Target="https://www.uefa.com/uefaeuropaleague/clubs/" TargetMode="External"/><Relationship Id="rId179" Type="http://schemas.openxmlformats.org/officeDocument/2006/relationships/hyperlink" Target="https://fr.wikipedia.org/wiki/NK_Celje" TargetMode="External"/><Relationship Id="rId178" Type="http://schemas.openxmlformats.org/officeDocument/2006/relationships/hyperlink" Target="about:blank" TargetMode="External"/><Relationship Id="rId177" Type="http://schemas.openxmlformats.org/officeDocument/2006/relationships/hyperlink" Target="https://www.uefa.com/uefaeuropaleague/clubs/" TargetMode="External"/><Relationship Id="rId198" Type="http://schemas.openxmlformats.org/officeDocument/2006/relationships/hyperlink" Target="about:blank" TargetMode="External"/><Relationship Id="rId197" Type="http://schemas.openxmlformats.org/officeDocument/2006/relationships/hyperlink" Target="https://www.uefa.com/uefaeuropaleague/clubs/" TargetMode="External"/><Relationship Id="rId196" Type="http://schemas.openxmlformats.org/officeDocument/2006/relationships/hyperlink" Target="about:blank" TargetMode="External"/><Relationship Id="rId195" Type="http://schemas.openxmlformats.org/officeDocument/2006/relationships/hyperlink" Target="https://fr.wikipedia.org/wiki/GNK_Dinamo_Zagreb" TargetMode="External"/><Relationship Id="rId199" Type="http://schemas.openxmlformats.org/officeDocument/2006/relationships/hyperlink" Target="https://fr.wikipedia.org/wiki/Ferencv%C3%A1ros_TC_(football)" TargetMode="External"/><Relationship Id="rId150" Type="http://schemas.openxmlformats.org/officeDocument/2006/relationships/hyperlink" Target="about:blank" TargetMode="External"/><Relationship Id="rId149" Type="http://schemas.openxmlformats.org/officeDocument/2006/relationships/hyperlink" Target="https://www.uefa.com/uefaeuropaleague/clubs/" TargetMode="External"/><Relationship Id="rId148" Type="http://schemas.openxmlformats.org/officeDocument/2006/relationships/hyperlink" Target="about:blank" TargetMode="External"/><Relationship Id="rId143" Type="http://schemas.openxmlformats.org/officeDocument/2006/relationships/hyperlink" Target="https://www.rsssf.org/colours/norway.html" TargetMode="External"/><Relationship Id="rId142" Type="http://schemas.openxmlformats.org/officeDocument/2006/relationships/hyperlink" Target="about:blank" TargetMode="External"/><Relationship Id="rId14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40" Type="http://schemas.openxmlformats.org/officeDocument/2006/relationships/hyperlink" Target="about:blank" TargetMode="External"/><Relationship Id="rId147" Type="http://schemas.openxmlformats.org/officeDocument/2006/relationships/hyperlink" Target="https://www.rsssf.org/colours/spain.html" TargetMode="External"/><Relationship Id="rId146" Type="http://schemas.openxmlformats.org/officeDocument/2006/relationships/hyperlink" Target="about:blank" TargetMode="External"/><Relationship Id="rId14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44" Type="http://schemas.openxmlformats.org/officeDocument/2006/relationships/hyperlink" Target="about:blank" TargetMode="External"/><Relationship Id="rId139" Type="http://schemas.openxmlformats.org/officeDocument/2006/relationships/hyperlink" Target="https://www.rsssf.org/colours/germany.html" TargetMode="External"/><Relationship Id="rId138" Type="http://schemas.openxmlformats.org/officeDocument/2006/relationships/hyperlink" Target="about:blank" TargetMode="External"/><Relationship Id="rId13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32" Type="http://schemas.openxmlformats.org/officeDocument/2006/relationships/hyperlink" Target="about:blank" TargetMode="External"/><Relationship Id="rId131" Type="http://schemas.openxmlformats.org/officeDocument/2006/relationships/hyperlink" Target="https://fr.wikipedia.org/wiki/%C5%A0K_Slovan_Bratislava" TargetMode="External"/><Relationship Id="rId130" Type="http://schemas.openxmlformats.org/officeDocument/2006/relationships/hyperlink" Target="about:blank" TargetMode="External"/><Relationship Id="rId136" Type="http://schemas.openxmlformats.org/officeDocument/2006/relationships/hyperlink" Target="about:blank" TargetMode="External"/><Relationship Id="rId135" Type="http://schemas.openxmlformats.org/officeDocument/2006/relationships/hyperlink" Target="https://www.rsssf.org/colours/portugal.html" TargetMode="External"/><Relationship Id="rId134" Type="http://schemas.openxmlformats.org/officeDocument/2006/relationships/hyperlink" Target="about:blank" TargetMode="External"/><Relationship Id="rId1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72" Type="http://schemas.openxmlformats.org/officeDocument/2006/relationships/hyperlink" Target="about:blank" TargetMode="External"/><Relationship Id="rId171" Type="http://schemas.openxmlformats.org/officeDocument/2006/relationships/hyperlink" Target="https://www.rsssf.org/colours/turkey.html" TargetMode="External"/><Relationship Id="rId170" Type="http://schemas.openxmlformats.org/officeDocument/2006/relationships/hyperlink" Target="about:blank" TargetMode="External"/><Relationship Id="rId165" Type="http://schemas.openxmlformats.org/officeDocument/2006/relationships/hyperlink" Target="https://www.uefa.com/uefaeuropaleague/clubs/" TargetMode="External"/><Relationship Id="rId164" Type="http://schemas.openxmlformats.org/officeDocument/2006/relationships/hyperlink" Target="about:blank" TargetMode="External"/><Relationship Id="rId163" Type="http://schemas.openxmlformats.org/officeDocument/2006/relationships/hyperlink" Target="https://www.rsssf.org/colours/germany.html" TargetMode="External"/><Relationship Id="rId162" Type="http://schemas.openxmlformats.org/officeDocument/2006/relationships/hyperlink" Target="about:blank" TargetMode="External"/><Relationship Id="rId169" Type="http://schemas.openxmlformats.org/officeDocument/2006/relationships/hyperlink" Target="https://www.uefa.com/uefaeuropaleague/clubs/" TargetMode="External"/><Relationship Id="rId168" Type="http://schemas.openxmlformats.org/officeDocument/2006/relationships/hyperlink" Target="about:blank" TargetMode="External"/><Relationship Id="rId167" Type="http://schemas.openxmlformats.org/officeDocument/2006/relationships/hyperlink" Target="https://www.rsssf.org/colours/portugal.html" TargetMode="External"/><Relationship Id="rId166" Type="http://schemas.openxmlformats.org/officeDocument/2006/relationships/hyperlink" Target="about:blank" TargetMode="External"/><Relationship Id="rId161" Type="http://schemas.openxmlformats.org/officeDocument/2006/relationships/hyperlink" Target="https://www.uefa.com/uefaeuropaleague/clubs/" TargetMode="External"/><Relationship Id="rId160" Type="http://schemas.openxmlformats.org/officeDocument/2006/relationships/hyperlink" Target="about:blank" TargetMode="External"/><Relationship Id="rId159" Type="http://schemas.openxmlformats.org/officeDocument/2006/relationships/hyperlink" Target="https://www.rsssf.org/colours/netherlands.html" TargetMode="External"/><Relationship Id="rId154" Type="http://schemas.openxmlformats.org/officeDocument/2006/relationships/hyperlink" Target="about:blank" TargetMode="External"/><Relationship Id="rId153" Type="http://schemas.openxmlformats.org/officeDocument/2006/relationships/hyperlink" Target="https://www.uefa.com/uefaeuropaleague/clubs/" TargetMode="External"/><Relationship Id="rId152" Type="http://schemas.openxmlformats.org/officeDocument/2006/relationships/hyperlink" Target="about:blank" TargetMode="External"/><Relationship Id="rId151" Type="http://schemas.openxmlformats.org/officeDocument/2006/relationships/hyperlink" Target="https://www.rsssf.org/colours/belgium.html" TargetMode="External"/><Relationship Id="rId158" Type="http://schemas.openxmlformats.org/officeDocument/2006/relationships/hyperlink" Target="about:blank" TargetMode="External"/><Relationship Id="rId157" Type="http://schemas.openxmlformats.org/officeDocument/2006/relationships/hyperlink" Target="https://www.uefa.com/uefaeuropaleague/clubs/" TargetMode="External"/><Relationship Id="rId156" Type="http://schemas.openxmlformats.org/officeDocument/2006/relationships/hyperlink" Target="about:blank" TargetMode="External"/><Relationship Id="rId155" Type="http://schemas.openxmlformats.org/officeDocument/2006/relationships/hyperlink" Target="https://fr.wikipedia.org/wiki/FC_Ararat-Armenia" TargetMode="External"/><Relationship Id="rId107" Type="http://schemas.openxmlformats.org/officeDocument/2006/relationships/hyperlink" Target="https://www.rsssf.org/colours/spain.html" TargetMode="External"/><Relationship Id="rId106" Type="http://schemas.openxmlformats.org/officeDocument/2006/relationships/hyperlink" Target="about:blank" TargetMode="External"/><Relationship Id="rId10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04" Type="http://schemas.openxmlformats.org/officeDocument/2006/relationships/hyperlink" Target="about:blank" TargetMode="External"/><Relationship Id="rId10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08" Type="http://schemas.openxmlformats.org/officeDocument/2006/relationships/hyperlink" Target="about:blank" TargetMode="External"/><Relationship Id="rId103" Type="http://schemas.openxmlformats.org/officeDocument/2006/relationships/hyperlink" Target="https://de.wikipedia.org/wiki/RB_Leipzig" TargetMode="External"/><Relationship Id="rId102" Type="http://schemas.openxmlformats.org/officeDocument/2006/relationships/hyperlink" Target="about:blank" TargetMode="External"/><Relationship Id="rId10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00" Type="http://schemas.openxmlformats.org/officeDocument/2006/relationships/hyperlink" Target="about:blank" TargetMode="External"/><Relationship Id="rId129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8" Type="http://schemas.openxmlformats.org/officeDocument/2006/relationships/hyperlink" Target="about:blank" TargetMode="External"/><Relationship Id="rId127" Type="http://schemas.openxmlformats.org/officeDocument/2006/relationships/hyperlink" Target="https://fr.wikipedia.org/wiki/SK_Slavia_Prague" TargetMode="External"/><Relationship Id="rId126" Type="http://schemas.openxmlformats.org/officeDocument/2006/relationships/hyperlink" Target="about:blank" TargetMode="External"/><Relationship Id="rId121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0" Type="http://schemas.openxmlformats.org/officeDocument/2006/relationships/hyperlink" Target="about:blank" TargetMode="External"/><Relationship Id="rId125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24" Type="http://schemas.openxmlformats.org/officeDocument/2006/relationships/hyperlink" Target="about:blank" TargetMode="External"/><Relationship Id="rId123" Type="http://schemas.openxmlformats.org/officeDocument/2006/relationships/hyperlink" Target="https://fr.wikipedia.org/wiki/Chakhtar_Donetsk" TargetMode="External"/><Relationship Id="rId122" Type="http://schemas.openxmlformats.org/officeDocument/2006/relationships/hyperlink" Target="about:blank" TargetMode="External"/><Relationship Id="rId118" Type="http://schemas.openxmlformats.org/officeDocument/2006/relationships/hyperlink" Target="about:blank" TargetMode="External"/><Relationship Id="rId117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16" Type="http://schemas.openxmlformats.org/officeDocument/2006/relationships/hyperlink" Target="about:blank" TargetMode="External"/><Relationship Id="rId115" Type="http://schemas.openxmlformats.org/officeDocument/2006/relationships/hyperlink" Target="https://www.rsssf.org/colours/italy.html" TargetMode="External"/><Relationship Id="rId119" Type="http://schemas.openxmlformats.org/officeDocument/2006/relationships/hyperlink" Target="https://en.wikipedia.org/wiki/Sabah_FK_(Azerbaijan)" TargetMode="External"/><Relationship Id="rId110" Type="http://schemas.openxmlformats.org/officeDocument/2006/relationships/hyperlink" Target="about:blank" TargetMode="External"/><Relationship Id="rId114" Type="http://schemas.openxmlformats.org/officeDocument/2006/relationships/hyperlink" Target="about:blank" TargetMode="External"/><Relationship Id="rId11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112" Type="http://schemas.openxmlformats.org/officeDocument/2006/relationships/hyperlink" Target="about:blank" TargetMode="External"/><Relationship Id="rId111" Type="http://schemas.openxmlformats.org/officeDocument/2006/relationships/hyperlink" Target="https://www.rsssf.org/colours/spain.html" TargetMode="External"/><Relationship Id="rId40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04" Type="http://schemas.openxmlformats.org/officeDocument/2006/relationships/hyperlink" Target="about:blank" TargetMode="External"/><Relationship Id="rId403" Type="http://schemas.openxmlformats.org/officeDocument/2006/relationships/hyperlink" Target="https://www.rsssf.org/colours/france.html" TargetMode="External"/><Relationship Id="rId402" Type="http://schemas.openxmlformats.org/officeDocument/2006/relationships/hyperlink" Target="about:blank" TargetMode="External"/><Relationship Id="rId40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08" Type="http://schemas.openxmlformats.org/officeDocument/2006/relationships/hyperlink" Target="about:blank" TargetMode="External"/><Relationship Id="rId407" Type="http://schemas.openxmlformats.org/officeDocument/2006/relationships/hyperlink" Target="https://en.wikipedia.org/wiki/Pafos_FC" TargetMode="External"/><Relationship Id="rId406" Type="http://schemas.openxmlformats.org/officeDocument/2006/relationships/hyperlink" Target="about:blank" TargetMode="External"/><Relationship Id="rId40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00" Type="http://schemas.openxmlformats.org/officeDocument/2006/relationships/hyperlink" Target="about:blank" TargetMode="External"/><Relationship Id="rId426" Type="http://schemas.openxmlformats.org/officeDocument/2006/relationships/hyperlink" Target="about:blank" TargetMode="External"/><Relationship Id="rId42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24" Type="http://schemas.openxmlformats.org/officeDocument/2006/relationships/hyperlink" Target="about:blank" TargetMode="External"/><Relationship Id="rId423" Type="http://schemas.openxmlformats.org/officeDocument/2006/relationships/hyperlink" Target="https://www.rsssf.org/colours/belgium.html" TargetMode="External"/><Relationship Id="rId429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28" Type="http://schemas.openxmlformats.org/officeDocument/2006/relationships/hyperlink" Target="about:blank" TargetMode="External"/><Relationship Id="rId427" Type="http://schemas.openxmlformats.org/officeDocument/2006/relationships/hyperlink" Target="https://fr.wikipedia.org/wiki/FC_Thoune" TargetMode="External"/><Relationship Id="rId422" Type="http://schemas.openxmlformats.org/officeDocument/2006/relationships/hyperlink" Target="about:blank" TargetMode="External"/><Relationship Id="rId421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20" Type="http://schemas.openxmlformats.org/officeDocument/2006/relationships/hyperlink" Target="about:blank" TargetMode="External"/><Relationship Id="rId415" Type="http://schemas.openxmlformats.org/officeDocument/2006/relationships/hyperlink" Target="https://fr.wikipedia.org/wiki/Riga_Football_Club" TargetMode="External"/><Relationship Id="rId414" Type="http://schemas.openxmlformats.org/officeDocument/2006/relationships/hyperlink" Target="about:blank" TargetMode="External"/><Relationship Id="rId41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12" Type="http://schemas.openxmlformats.org/officeDocument/2006/relationships/hyperlink" Target="about:blank" TargetMode="External"/><Relationship Id="rId419" Type="http://schemas.openxmlformats.org/officeDocument/2006/relationships/hyperlink" Target="https://www.rsssf.org/colours/germany.html" TargetMode="External"/><Relationship Id="rId418" Type="http://schemas.openxmlformats.org/officeDocument/2006/relationships/hyperlink" Target="about:blank" TargetMode="External"/><Relationship Id="rId417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16" Type="http://schemas.openxmlformats.org/officeDocument/2006/relationships/hyperlink" Target="about:blank" TargetMode="External"/><Relationship Id="rId411" Type="http://schemas.openxmlformats.org/officeDocument/2006/relationships/hyperlink" Target="https://www.rsssf.org/colours/greece.html" TargetMode="External"/><Relationship Id="rId410" Type="http://schemas.openxmlformats.org/officeDocument/2006/relationships/hyperlink" Target="about:blank" TargetMode="External"/><Relationship Id="rId437" Type="http://schemas.openxmlformats.org/officeDocument/2006/relationships/vmlDrawing" Target="../drawings/vmlDrawing12.vml"/><Relationship Id="rId436" Type="http://schemas.openxmlformats.org/officeDocument/2006/relationships/drawing" Target="../drawings/drawing14.xml"/><Relationship Id="rId435" Type="http://schemas.openxmlformats.org/officeDocument/2006/relationships/hyperlink" Target="https://en.wikipedia.org/wiki/CS_Universitatea_Craiova" TargetMode="External"/><Relationship Id="rId434" Type="http://schemas.openxmlformats.org/officeDocument/2006/relationships/hyperlink" Target="about:blank" TargetMode="External"/><Relationship Id="rId439" Type="http://schemas.openxmlformats.org/officeDocument/2006/relationships/table" Target="../tables/table12.xml"/><Relationship Id="rId433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432" Type="http://schemas.openxmlformats.org/officeDocument/2006/relationships/hyperlink" Target="about:blank" TargetMode="External"/><Relationship Id="rId431" Type="http://schemas.openxmlformats.org/officeDocument/2006/relationships/hyperlink" Target="https://en.wikipedia.org/wiki/Trabzonspor" TargetMode="External"/><Relationship Id="rId430" Type="http://schemas.openxmlformats.org/officeDocument/2006/relationships/hyperlink" Target="about:blank" TargetMode="Externa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https://www.premierleague.com/en/clubs" TargetMode="External"/><Relationship Id="rId3" Type="http://schemas.openxmlformats.org/officeDocument/2006/relationships/hyperlink" Target="https://www.efl.com/news/2026/august/22/sky-bet-championship-results--table---stats/" TargetMode="External"/><Relationship Id="rId4" Type="http://schemas.openxmlformats.org/officeDocument/2006/relationships/hyperlink" Target="https://www.efl.com/competitions/efl-league-one/" TargetMode="External"/><Relationship Id="rId9" Type="http://schemas.openxmlformats.org/officeDocument/2006/relationships/hyperlink" Target="https://it.blastingnews.com/calcio/2026/07/ultimora-serie-c-svelati-i-gironi-ufficiali-2026-27-004083523.html" TargetMode="External"/><Relationship Id="rId5" Type="http://schemas.openxmlformats.org/officeDocument/2006/relationships/hyperlink" Target="https://www.laliga.com/en-GB/laliga-easports/clubs" TargetMode="External"/><Relationship Id="rId6" Type="http://schemas.openxmlformats.org/officeDocument/2006/relationships/hyperlink" Target="https://www.laliga.com/en-GB/laliga-hypermotion/clubs" TargetMode="External"/><Relationship Id="rId7" Type="http://schemas.openxmlformats.org/officeDocument/2006/relationships/hyperlink" Target="https://rfef.es/es/noticias/aprobados-los-grupos-de-primera-federacion-para-la-temporada-202627" TargetMode="External"/><Relationship Id="rId8" Type="http://schemas.openxmlformats.org/officeDocument/2006/relationships/hyperlink" Target="https://sport.virgilio.it/calcio/squadre/" TargetMode="External"/><Relationship Id="rId31" Type="http://schemas.openxmlformats.org/officeDocument/2006/relationships/hyperlink" Target="https://www.palloliitto.fi/ajankohtaista/ykkosen-jatkosarjojen-ohjelma-kaudelle-2026-julkaistu" TargetMode="External"/><Relationship Id="rId30" Type="http://schemas.openxmlformats.org/officeDocument/2006/relationships/hyperlink" Target="https://www.transfermarkt.co.uk/ykkonen/startseite/wettbewerb/FI2" TargetMode="External"/><Relationship Id="rId33" Type="http://schemas.openxmlformats.org/officeDocument/2006/relationships/hyperlink" Target="https://www.uefa.com/uefachampionsleague/news/02a6-20d57cfcd03e-407c22a7f465-1000--2026-27-champions-league-teams-dates-draws-format-final/" TargetMode="External"/><Relationship Id="rId32" Type="http://schemas.openxmlformats.org/officeDocument/2006/relationships/hyperlink" Target="https://www.palloliitto.fi/ajankohtaista/ykkosliigan-toukokuu-paatokseen-ktpn-komennossa" TargetMode="External"/><Relationship Id="rId35" Type="http://schemas.openxmlformats.org/officeDocument/2006/relationships/hyperlink" Target="https://www.uefa.com/uefaconferenceleague/news/02a8-21737138dae7-37bfb18d9aa7-1000--2026-27-conference-league-who-has-qualified-for-the-league-/" TargetMode="External"/><Relationship Id="rId34" Type="http://schemas.openxmlformats.org/officeDocument/2006/relationships/hyperlink" Target="https://www.uefa.com/uefaeuropaleague/clubs/" TargetMode="External"/><Relationship Id="rId37" Type="http://schemas.openxmlformats.org/officeDocument/2006/relationships/drawing" Target="../drawings/drawing15.xml"/><Relationship Id="rId36" Type="http://schemas.openxmlformats.org/officeDocument/2006/relationships/hyperlink" Target="https://www.uefa.com/uefaconferenceleague/news/02a8-2174cb200f25-b94693ddff4e-1000--2026-27-conference-league-all-the-league-phase-fixtures/" TargetMode="External"/><Relationship Id="rId39" Type="http://schemas.openxmlformats.org/officeDocument/2006/relationships/table" Target="../tables/table13.xml"/><Relationship Id="rId20" Type="http://schemas.openxmlformats.org/officeDocument/2006/relationships/hyperlink" Target="https://liga2.prosport.ro/liga-3/componenta-seriilor-noului-sezon-de-liga-3-editia-2026-2027-19397075" TargetMode="External"/><Relationship Id="rId22" Type="http://schemas.openxmlformats.org/officeDocument/2006/relationships/hyperlink" Target="https://www.slgr.gr/en/teams/" TargetMode="External"/><Relationship Id="rId21" Type="http://schemas.openxmlformats.org/officeDocument/2006/relationships/hyperlink" Target="https://www.frf.ro/recomandate/s-a-tras-la-sorti-programul-seriilor-din-superscore-liga-3-editia-2026-2027/" TargetMode="External"/><Relationship Id="rId24" Type="http://schemas.openxmlformats.org/officeDocument/2006/relationships/hyperlink" Target="https://en.wikipedia.org/wiki/2026%E2%80%9327_Gamma_Ethniki" TargetMode="External"/><Relationship Id="rId23" Type="http://schemas.openxmlformats.org/officeDocument/2006/relationships/hyperlink" Target="https://en.wikipedia.org/wiki/2026%E2%80%9327_Super_League_Greece_2" TargetMode="External"/><Relationship Id="rId26" Type="http://schemas.openxmlformats.org/officeDocument/2006/relationships/hyperlink" Target="https://www.epo.gr/el/competition/3/stage/1407/group/2072/matches" TargetMode="External"/><Relationship Id="rId25" Type="http://schemas.openxmlformats.org/officeDocument/2006/relationships/hyperlink" Target="https://www.soccerway.com/greece/gamma-ethniki-group-8/" TargetMode="External"/><Relationship Id="rId28" Type="http://schemas.openxmlformats.org/officeDocument/2006/relationships/hyperlink" Target="https://www.sportal.gr/podosfairo/article/o-chartis-tis-super-league-gia-to-2026-27-oi-14-omades" TargetMode="External"/><Relationship Id="rId27" Type="http://schemas.openxmlformats.org/officeDocument/2006/relationships/hyperlink" Target="https://www.epo.gr/el/competition/3/stage/1407/group/2075/matches" TargetMode="External"/><Relationship Id="rId29" Type="http://schemas.openxmlformats.org/officeDocument/2006/relationships/hyperlink" Target="https://www.veikkausliiga.com/tilastot/joukkueet/" TargetMode="External"/><Relationship Id="rId11" Type="http://schemas.openxmlformats.org/officeDocument/2006/relationships/hyperlink" Target="https://www.bundesliga.com/de/2bundesliga/tabelle?view=full" TargetMode="External"/><Relationship Id="rId10" Type="http://schemas.openxmlformats.org/officeDocument/2006/relationships/hyperlink" Target="https://en.wikipedia.org/wiki/2026%E2%80%9327_Bundesliga" TargetMode="External"/><Relationship Id="rId13" Type="http://schemas.openxmlformats.org/officeDocument/2006/relationships/hyperlink" Target="https://ligue1.com/en/articles/l1_article_5292-the-2026-27-ligue-1-mc-donald-s-calendar-is-released" TargetMode="External"/><Relationship Id="rId12" Type="http://schemas.openxmlformats.org/officeDocument/2006/relationships/hyperlink" Target="https://www.dfb.de/news/teilnehmerfeld-der-3-liga-steht-fest-havelse-rueckt-fuer-1860-nach" TargetMode="External"/><Relationship Id="rId15" Type="http://schemas.openxmlformats.org/officeDocument/2006/relationships/hyperlink" Target="https://www.fff.fr/article/17022-le-calendrier-2026-2027-est-servi.html" TargetMode="External"/><Relationship Id="rId14" Type="http://schemas.openxmlformats.org/officeDocument/2006/relationships/hyperlink" Target="https://en.wikipedia.org/wiki/2026%E2%80%9327_Ligue_2" TargetMode="External"/><Relationship Id="rId17" Type="http://schemas.openxmlformats.org/officeDocument/2006/relationships/hyperlink" Target="https://lpf.ro/liga-1" TargetMode="External"/><Relationship Id="rId16" Type="http://schemas.openxmlformats.org/officeDocument/2006/relationships/hyperlink" Target="https://ligue1.com/fr/articles/l1_article_5281-saison-26-27-le-calendrier-des-matchs-de-ligue-2-bkt" TargetMode="External"/><Relationship Id="rId19" Type="http://schemas.openxmlformats.org/officeDocument/2006/relationships/hyperlink" Target="https://www.flashscore.ro/stiri/fotbal-liga-3-2026-2027-serii-echipe-program/Qkhurfcc/" TargetMode="External"/><Relationship Id="rId18" Type="http://schemas.openxmlformats.org/officeDocument/2006/relationships/hyperlink" Target="https://www.frf.ro/competitii/competitii-masculin/liga-2-casa-pariurilor/au-fost-stabilite-meciurile-sezonului-regular-2026-2027-din-liga-2-casa-pariurilor/" TargetMode="Externa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https://de.wikipedia.org/wiki/1._FC_Heidenheim" TargetMode="External"/><Relationship Id="rId3" Type="http://schemas.openxmlformats.org/officeDocument/2006/relationships/hyperlink" Target="https://fi.wikipedia.org/wiki/AC_Oulu" TargetMode="External"/><Relationship Id="rId4" Type="http://schemas.openxmlformats.org/officeDocument/2006/relationships/hyperlink" Target="https://en.wikipedia.org/wiki/ACS_Media%C8%99" TargetMode="External"/><Relationship Id="rId9" Type="http://schemas.openxmlformats.org/officeDocument/2006/relationships/hyperlink" Target="https://fr.wikipedia.org/wiki/AGF_Aarhus" TargetMode="External"/><Relationship Id="rId5" Type="http://schemas.openxmlformats.org/officeDocument/2006/relationships/hyperlink" Target="https://en.wikipedia.org/wiki/CSO_Filia%C8%99i" TargetMode="External"/><Relationship Id="rId6" Type="http://schemas.openxmlformats.org/officeDocument/2006/relationships/hyperlink" Target="https://www.rtvce.es/articulo/deportes/tradicion-innovacion-nuevas-equipaciones-ad-ceuta/20260727200148101725.html" TargetMode="External"/><Relationship Id="rId7" Type="http://schemas.openxmlformats.org/officeDocument/2006/relationships/hyperlink" Target="https://en.wikipedia.org/wiki/CS_Aerostar_Bac%C4%83u" TargetMode="External"/><Relationship Id="rId8" Type="http://schemas.openxmlformats.org/officeDocument/2006/relationships/hyperlink" Target="https://en.wikipedia.org/wiki/AFC_Wimbledon" TargetMode="External"/><Relationship Id="rId40" Type="http://schemas.openxmlformats.org/officeDocument/2006/relationships/hyperlink" Target="https://it.wikipedia.org/wiki/Unione_Sportiva_Catanzaro_1929" TargetMode="External"/><Relationship Id="rId42" Type="http://schemas.openxmlformats.org/officeDocument/2006/relationships/hyperlink" Target="https://fr.wikipedia.org/wiki/Club_Esportiu_Europa" TargetMode="External"/><Relationship Id="rId41" Type="http://schemas.openxmlformats.org/officeDocument/2006/relationships/hyperlink" Target="https://it.wikipedia.org/wiki/Cavese_1919" TargetMode="External"/><Relationship Id="rId44" Type="http://schemas.openxmlformats.org/officeDocument/2006/relationships/hyperlink" Target="https://fr.wikipedia.org/wiki/NK_Celje" TargetMode="External"/><Relationship Id="rId43" Type="http://schemas.openxmlformats.org/officeDocument/2006/relationships/hyperlink" Target="https://en.wikipedia.org/wiki/CSM_Ceahl%C4%83ul_Piatra_Neam%C8%9B" TargetMode="External"/><Relationship Id="rId46" Type="http://schemas.openxmlformats.org/officeDocument/2006/relationships/hyperlink" Target="https://en.wikipedia.org/wiki/CFR_Cluj" TargetMode="External"/><Relationship Id="rId45" Type="http://schemas.openxmlformats.org/officeDocument/2006/relationships/hyperlink" Target="https://fr.wikipedia.org/wiki/Celtic_Football_Club" TargetMode="External"/><Relationship Id="rId48" Type="http://schemas.openxmlformats.org/officeDocument/2006/relationships/hyperlink" Target="https://it.wikipedia.org/wiki/Associazione_Sportiva_Cittadella" TargetMode="External"/><Relationship Id="rId47" Type="http://schemas.openxmlformats.org/officeDocument/2006/relationships/hyperlink" Target="https://en.wikipedia.org/wiki/AFC_Chindia_T%C3%A2rgovi%C8%99te" TargetMode="External"/><Relationship Id="rId49" Type="http://schemas.openxmlformats.org/officeDocument/2006/relationships/hyperlink" Target="https://fr.wikipedia.org/wiki/Clermont_Foot_63" TargetMode="External"/><Relationship Id="rId31" Type="http://schemas.openxmlformats.org/officeDocument/2006/relationships/hyperlink" Target="https://teamcolorcodes.com/bromley-f-c-color-codes/" TargetMode="External"/><Relationship Id="rId30" Type="http://schemas.openxmlformats.org/officeDocument/2006/relationships/hyperlink" Target="https://en.wikipedia.org/wiki/Brentford_F.C." TargetMode="External"/><Relationship Id="rId33" Type="http://schemas.openxmlformats.org/officeDocument/2006/relationships/hyperlink" Target="https://en.wikipedia.org/wiki/Cambridge_United_F.C." TargetMode="External"/><Relationship Id="rId32" Type="http://schemas.openxmlformats.org/officeDocument/2006/relationships/hyperlink" Target="https://en.wikipedia.org/wiki/Burton_Albion_F.C." TargetMode="External"/><Relationship Id="rId35" Type="http://schemas.openxmlformats.org/officeDocument/2006/relationships/hyperlink" Target="https://fr.wikipedia.org/wiki/Association_sportive_de_Cannes_(football)" TargetMode="External"/><Relationship Id="rId34" Type="http://schemas.openxmlformats.org/officeDocument/2006/relationships/hyperlink" Target="https://it.wikipedia.org/wiki/Campobasso_Football_Club" TargetMode="External"/><Relationship Id="rId37" Type="http://schemas.openxmlformats.org/officeDocument/2006/relationships/hyperlink" Target="https://it.wikipedia.org/wiki/Carrarese_Calcio_1908" TargetMode="External"/><Relationship Id="rId36" Type="http://schemas.openxmlformats.org/officeDocument/2006/relationships/hyperlink" Target="https://it.wikipedia.org/wiki/Carpi_Football_Club_1909" TargetMode="External"/><Relationship Id="rId39" Type="http://schemas.openxmlformats.org/officeDocument/2006/relationships/hyperlink" Target="https://it.wikipedia.org/wiki/Catania_Football_Club" TargetMode="External"/><Relationship Id="rId38" Type="http://schemas.openxmlformats.org/officeDocument/2006/relationships/hyperlink" Target="https://it.wikipedia.org/wiki/Casarano_Calcio" TargetMode="External"/><Relationship Id="rId20" Type="http://schemas.openxmlformats.org/officeDocument/2006/relationships/hyperlink" Target="https://it.wikipedia.org/wiki/Societ%C3%A0_Sportiva_Audace_Cerignola" TargetMode="External"/><Relationship Id="rId22" Type="http://schemas.openxmlformats.org/officeDocument/2006/relationships/hyperlink" Target="https://it.wikipedia.org/wiki/Benevento_Calcio" TargetMode="External"/><Relationship Id="rId21" Type="http://schemas.openxmlformats.org/officeDocument/2006/relationships/hyperlink" Target="https://it.wikipedia.org/wiki/Barletta_1922" TargetMode="External"/><Relationship Id="rId24" Type="http://schemas.openxmlformats.org/officeDocument/2006/relationships/hyperlink" Target="https://en.wikipedia.org/wiki/Bolton_Wanderers_F.C." TargetMode="External"/><Relationship Id="rId23" Type="http://schemas.openxmlformats.org/officeDocument/2006/relationships/hyperlink" Target="https://www.the-sports.org/football-soccer-fk-bodoglimt-results-identity-equ1291.html" TargetMode="External"/><Relationship Id="rId26" Type="http://schemas.openxmlformats.org/officeDocument/2006/relationships/hyperlink" Target="https://de.wikipedia.org/wiki/Borussia_M%C3%B6nchengladbach" TargetMode="External"/><Relationship Id="rId25" Type="http://schemas.openxmlformats.org/officeDocument/2006/relationships/hyperlink" Target="https://fr.wikipedia.org/wiki/FK_Borac_Banja_Luka" TargetMode="External"/><Relationship Id="rId28" Type="http://schemas.openxmlformats.org/officeDocument/2006/relationships/hyperlink" Target="https://fr.wikipedia.org/wiki/Football_Bourg-en-Bresse_P%C3%A9ronnas_01" TargetMode="External"/><Relationship Id="rId27" Type="http://schemas.openxmlformats.org/officeDocument/2006/relationships/hyperlink" Target="https://fr.wikipedia.org/wiki/Union_sportive_Boulogne_C%C3%B4te_d%27Opale" TargetMode="External"/><Relationship Id="rId29" Type="http://schemas.openxmlformats.org/officeDocument/2006/relationships/hyperlink" Target="https://en.wikipedia.org/wiki/AFC_Bournemouth" TargetMode="External"/><Relationship Id="rId11" Type="http://schemas.openxmlformats.org/officeDocument/2006/relationships/hyperlink" Target="https://fr.wikipedia.org/wiki/Albacete_Balompi%C3%A9" TargetMode="External"/><Relationship Id="rId10" Type="http://schemas.openxmlformats.org/officeDocument/2006/relationships/hyperlink" Target="https://es.wikipedia.org/wiki/%C3%81guilas_F%C3%BAtbol_Club" TargetMode="External"/><Relationship Id="rId13" Type="http://schemas.openxmlformats.org/officeDocument/2006/relationships/hyperlink" Target="https://it.wikipedia.org/wiki/Alcione_Milano_Societ%C3%A0_Sportiva" TargetMode="External"/><Relationship Id="rId12" Type="http://schemas.openxmlformats.org/officeDocument/2006/relationships/hyperlink" Target="https://it.wikipedia.org/wiki/Unione_Calcio_AlbinoLeffe" TargetMode="External"/><Relationship Id="rId15" Type="http://schemas.openxmlformats.org/officeDocument/2006/relationships/hyperlink" Target="https://fr.wikipedia.org/wiki/FC_Ararat-Armenia" TargetMode="External"/><Relationship Id="rId14" Type="http://schemas.openxmlformats.org/officeDocument/2006/relationships/hyperlink" Target="https://fr.wikipedia.org/wiki/Amiens_Sporting_Club" TargetMode="External"/><Relationship Id="rId17" Type="http://schemas.openxmlformats.org/officeDocument/2006/relationships/hyperlink" Target="https://it.wikipedia.org/wiki/Societ%C3%A0_Sportiva_Arezzo" TargetMode="External"/><Relationship Id="rId16" Type="http://schemas.openxmlformats.org/officeDocument/2006/relationships/hyperlink" Target="https://fr.wikipedia.org/wiki/Arenas_Club_de_Getxo" TargetMode="External"/><Relationship Id="rId19" Type="http://schemas.openxmlformats.org/officeDocument/2006/relationships/hyperlink" Target="https://fr.wikipedia.org/wiki/Aubagne_Football_Club" TargetMode="External"/><Relationship Id="rId18" Type="http://schemas.openxmlformats.org/officeDocument/2006/relationships/hyperlink" Target="https://it.wikipedia.org/wiki/Football_Club_Arzignano_Valchiampo" TargetMode="External"/><Relationship Id="rId84" Type="http://schemas.openxmlformats.org/officeDocument/2006/relationships/hyperlink" Target="https://de.wikipedia.org/wiki/FC_Kopenhagen" TargetMode="External"/><Relationship Id="rId83" Type="http://schemas.openxmlformats.org/officeDocument/2006/relationships/hyperlink" Target="https://ro.wikipedia.org/wiki/FC_Boto%C8%99ani" TargetMode="External"/><Relationship Id="rId86" Type="http://schemas.openxmlformats.org/officeDocument/2006/relationships/hyperlink" Target="https://de.wikipedia.org/wiki/FC_Ingolstadt_04" TargetMode="External"/><Relationship Id="rId85" Type="http://schemas.openxmlformats.org/officeDocument/2006/relationships/hyperlink" Target="https://fi.wikipedia.org/wiki/FC_Haka" TargetMode="External"/><Relationship Id="rId88" Type="http://schemas.openxmlformats.org/officeDocument/2006/relationships/hyperlink" Target="https://de.wikipedia.org/wiki/FC_Jazz_Pori" TargetMode="External"/><Relationship Id="rId87" Type="http://schemas.openxmlformats.org/officeDocument/2006/relationships/hyperlink" Target="https://fi.wikipedia.org/wiki/FC_Inter_Turku" TargetMode="External"/><Relationship Id="rId89" Type="http://schemas.openxmlformats.org/officeDocument/2006/relationships/hyperlink" Target="https://de.wikipedia.org/wiki/FC_Midtjylland" TargetMode="External"/><Relationship Id="rId80" Type="http://schemas.openxmlformats.org/officeDocument/2006/relationships/hyperlink" Target="https://ro.wikipedia.org/wiki/FC_Arge%C8%99_Pite%C8%99ti" TargetMode="External"/><Relationship Id="rId82" Type="http://schemas.openxmlformats.org/officeDocument/2006/relationships/hyperlink" Target="https://en.wikipedia.org/wiki/FC_Bihor_Oradea_(2022)" TargetMode="External"/><Relationship Id="rId81" Type="http://schemas.openxmlformats.org/officeDocument/2006/relationships/hyperlink" Target="https://de.wikipedia.org/wiki/FC_Augsburg" TargetMode="External"/><Relationship Id="rId73" Type="http://schemas.openxmlformats.org/officeDocument/2006/relationships/hyperlink" Target="https://fr.wikipedia.org/wiki/Eken%C3%A4s_IF" TargetMode="External"/><Relationship Id="rId72" Type="http://schemas.openxmlformats.org/officeDocument/2006/relationships/hyperlink" Target="https://fr.wikipedia.org/wiki/KF_Egnatia_Rrogozhin%C3%AB" TargetMode="External"/><Relationship Id="rId75" Type="http://schemas.openxmlformats.org/officeDocument/2006/relationships/hyperlink" Target="https://it.wikipedia.org/wiki/Empoli_Football_Club" TargetMode="External"/><Relationship Id="rId74" Type="http://schemas.openxmlformats.org/officeDocument/2006/relationships/hyperlink" Target="https://es.wikipedia.org/wiki/Club_Deportivo_Eldense" TargetMode="External"/><Relationship Id="rId77" Type="http://schemas.openxmlformats.org/officeDocument/2006/relationships/hyperlink" Target="https://es.wikipedia.org/wiki/Club_Deportivo_Extremadura" TargetMode="External"/><Relationship Id="rId76" Type="http://schemas.openxmlformats.org/officeDocument/2006/relationships/hyperlink" Target="https://de.wikipedia.org/wiki/Energie_Cottbus" TargetMode="External"/><Relationship Id="rId79" Type="http://schemas.openxmlformats.org/officeDocument/2006/relationships/hyperlink" Target="https://es.wikipedia.org/wiki/Futbol_Club_Andorra" TargetMode="External"/><Relationship Id="rId78" Type="http://schemas.openxmlformats.org/officeDocument/2006/relationships/hyperlink" Target="https://en.wikipedia.org/wiki/FCV_Farul_Constan%C8%9Ba" TargetMode="External"/><Relationship Id="rId71" Type="http://schemas.openxmlformats.org/officeDocument/2006/relationships/hyperlink" Target="https://en.wikipedia.org/wiki/FC_Dun%C4%83rea_C%C4%83l%C4%83ra%C8%99i" TargetMode="External"/><Relationship Id="rId70" Type="http://schemas.openxmlformats.org/officeDocument/2006/relationships/hyperlink" Target="https://it.wikipedia.org/wiki/Dolomiti_Bellunesi_(squadra_di_calcio)" TargetMode="External"/><Relationship Id="rId62" Type="http://schemas.openxmlformats.org/officeDocument/2006/relationships/hyperlink" Target="https://en.wikipedia.org/wiki/CSM_Re%C8%99i%C8%9Ba" TargetMode="External"/><Relationship Id="rId61" Type="http://schemas.openxmlformats.org/officeDocument/2006/relationships/hyperlink" Target="https://fr.wikipedia.org/wiki/PFK_CSKA_Sofia" TargetMode="External"/><Relationship Id="rId64" Type="http://schemas.openxmlformats.org/officeDocument/2006/relationships/hyperlink" Target="https://en.wikipedia.org/wiki/CSM_Slatina_(football)" TargetMode="External"/><Relationship Id="rId63" Type="http://schemas.openxmlformats.org/officeDocument/2006/relationships/hyperlink" Target="https://en.wikipedia.org/wiki/CSM_S%C4%83cele" TargetMode="External"/><Relationship Id="rId66" Type="http://schemas.openxmlformats.org/officeDocument/2006/relationships/hyperlink" Target="https://www.calciodesenzano.it/2026/08/18/desenzano-f-c-presentata-la-nuova-maglia-away-2026-2027/" TargetMode="External"/><Relationship Id="rId65" Type="http://schemas.openxmlformats.org/officeDocument/2006/relationships/hyperlink" Target="https://fr.wikipedia.org/wiki/Cultural_y_Deportiva_Leonesa" TargetMode="External"/><Relationship Id="rId68" Type="http://schemas.openxmlformats.org/officeDocument/2006/relationships/hyperlink" Target="https://ro.wikipedia.org/wiki/FC_Dinamo_Bucure%C8%99ti" TargetMode="External"/><Relationship Id="rId67" Type="http://schemas.openxmlformats.org/officeDocument/2006/relationships/hyperlink" Target="https://fr.wikipedia.org/wiki/Dijon_Football_C%C3%B4te-d%27Or" TargetMode="External"/><Relationship Id="rId60" Type="http://schemas.openxmlformats.org/officeDocument/2006/relationships/hyperlink" Target="https://en.wikipedia.org/wiki/FK_Cs%C3%ADkszereda_Miercurea_Ciuc" TargetMode="External"/><Relationship Id="rId69" Type="http://schemas.openxmlformats.org/officeDocument/2006/relationships/hyperlink" Target="https://fr.wikipedia.org/wiki/GNK_Dinamo_Zagreb" TargetMode="External"/><Relationship Id="rId51" Type="http://schemas.openxmlformats.org/officeDocument/2006/relationships/hyperlink" Target="https://en.wikipedia.org/wiki/CS_Concordia_Chiajna" TargetMode="External"/><Relationship Id="rId50" Type="http://schemas.openxmlformats.org/officeDocument/2006/relationships/hyperlink" Target="https://fr.wikipedia.org/wiki/Union_sportive_concarnoise" TargetMode="External"/><Relationship Id="rId53" Type="http://schemas.openxmlformats.org/officeDocument/2006/relationships/hyperlink" Target="https://en.wikipedia.org/wiki/Coventry_City_F.C." TargetMode="External"/><Relationship Id="rId52" Type="http://schemas.openxmlformats.org/officeDocument/2006/relationships/hyperlink" Target="https://en.wikipedia.org/wiki/CS_Corvinul_Hunedoara" TargetMode="External"/><Relationship Id="rId55" Type="http://schemas.openxmlformats.org/officeDocument/2006/relationships/hyperlink" Target="https://fr.wikipedia.org/wiki/%C3%89toile_rouge_de_Belgrade_(football)" TargetMode="External"/><Relationship Id="rId54" Type="http://schemas.openxmlformats.org/officeDocument/2006/relationships/hyperlink" Target="https://it.wikipedia.org/wiki/Football_Club_Crotone" TargetMode="External"/><Relationship Id="rId57" Type="http://schemas.openxmlformats.org/officeDocument/2006/relationships/hyperlink" Target="https://en.wikipedia.org/wiki/CS_Dinamo_Bucure%C8%99ti_(football)" TargetMode="External"/><Relationship Id="rId56" Type="http://schemas.openxmlformats.org/officeDocument/2006/relationships/hyperlink" Target="https://en.wikipedia.org/wiki/CS_Afuma%C8%9Bi" TargetMode="External"/><Relationship Id="rId59" Type="http://schemas.openxmlformats.org/officeDocument/2006/relationships/hyperlink" Target="https://en.wikipedia.org/wiki/CSC_Dumbr%C4%83vi%C8%9Ba" TargetMode="External"/><Relationship Id="rId58" Type="http://schemas.openxmlformats.org/officeDocument/2006/relationships/hyperlink" Target="https://en.wikipedia.org/wiki/CSC_1599_%C8%98elimb%C4%83r" TargetMode="External"/><Relationship Id="rId95" Type="http://schemas.openxmlformats.org/officeDocument/2006/relationships/hyperlink" Target="https://it.wikipedia.org/wiki/Unione_Sportiva_Folgore_Caratese" TargetMode="External"/><Relationship Id="rId94" Type="http://schemas.openxmlformats.org/officeDocument/2006/relationships/hyperlink" Target="https://fr.wikipedia.org/wiki/Football_Club_Fleury_91" TargetMode="External"/><Relationship Id="rId97" Type="http://schemas.openxmlformats.org/officeDocument/2006/relationships/hyperlink" Target="https://it.wikipedia.org/wiki/Frosinone_Calcio" TargetMode="External"/><Relationship Id="rId96" Type="http://schemas.openxmlformats.org/officeDocument/2006/relationships/hyperlink" Target="https://it.wikipedia.org/wiki/Forl%C3%AC_Football_Club" TargetMode="External"/><Relationship Id="rId99" Type="http://schemas.openxmlformats.org/officeDocument/2006/relationships/hyperlink" Target="https://it.wikipedia.org/wiki/Giugliano_Calcio_1928" TargetMode="External"/><Relationship Id="rId98" Type="http://schemas.openxmlformats.org/officeDocument/2006/relationships/hyperlink" Target="https://it.wikipedia.org/wiki/Associazione_Sportiva_Giana_Erminio" TargetMode="External"/><Relationship Id="rId91" Type="http://schemas.openxmlformats.org/officeDocument/2006/relationships/hyperlink" Target="https://en.wikipedia.org/wiki/FCSB" TargetMode="External"/><Relationship Id="rId90" Type="http://schemas.openxmlformats.org/officeDocument/2006/relationships/hyperlink" Target="https://de.wikipedia.org/wiki/FC_Twente_Enschede" TargetMode="External"/><Relationship Id="rId93" Type="http://schemas.openxmlformats.org/officeDocument/2006/relationships/hyperlink" Target="https://fi.wikipedia.org/wiki/FF_Jaro" TargetMode="External"/><Relationship Id="rId92" Type="http://schemas.openxmlformats.org/officeDocument/2006/relationships/hyperlink" Target="https://fr.wikipedia.org/wiki/Ferencv%C3%A1ros_TC_(football)" TargetMode="External"/><Relationship Id="rId264" Type="http://schemas.openxmlformats.org/officeDocument/2006/relationships/drawing" Target="../drawings/drawing16.xml"/><Relationship Id="rId263" Type="http://schemas.openxmlformats.org/officeDocument/2006/relationships/hyperlink" Target="https://fr.wikipedia.org/wiki/AO_Xanthi" TargetMode="External"/><Relationship Id="rId262" Type="http://schemas.openxmlformats.org/officeDocument/2006/relationships/hyperlink" Target="https://de.wikipedia.org/wiki/W%C3%BCrzburger_Kickers" TargetMode="External"/><Relationship Id="rId261" Type="http://schemas.openxmlformats.org/officeDocument/2006/relationships/hyperlink" Target="https://en.wikipedia.org/wiki/Wrexham_A.F.C." TargetMode="External"/><Relationship Id="rId266" Type="http://schemas.openxmlformats.org/officeDocument/2006/relationships/table" Target="../tables/table14.xml"/><Relationship Id="rId260" Type="http://schemas.openxmlformats.org/officeDocument/2006/relationships/hyperlink" Target="https://en.wikipedia.org/wiki/West_Bromwich_Albion_F.C." TargetMode="External"/><Relationship Id="rId259" Type="http://schemas.openxmlformats.org/officeDocument/2006/relationships/hyperlink" Target="https://fi.wikipedia.org/wiki/Vaasan_Palloseura" TargetMode="External"/><Relationship Id="rId258" Type="http://schemas.openxmlformats.org/officeDocument/2006/relationships/hyperlink" Target="https://www.the-sports.org/football-soccer-fc-voluntari-results-identity-equ44644.html" TargetMode="External"/><Relationship Id="rId253" Type="http://schemas.openxmlformats.org/officeDocument/2006/relationships/hyperlink" Target="https://fr.wikipedia.org/wiki/FC_Viktoria_Plze%C5%88" TargetMode="External"/><Relationship Id="rId252" Type="http://schemas.openxmlformats.org/officeDocument/2006/relationships/hyperlink" Target="https://de.wikipedia.org/wiki/FC_Viktoria_K%C3%B6ln" TargetMode="External"/><Relationship Id="rId251" Type="http://schemas.openxmlformats.org/officeDocument/2006/relationships/hyperlink" Target="https://fr.wikipedia.org/wiki/Football_Club_Versailles_78" TargetMode="External"/><Relationship Id="rId250" Type="http://schemas.openxmlformats.org/officeDocument/2006/relationships/hyperlink" Target="https://it.wikipedia.org/wiki/Vado_Football_Club_1913" TargetMode="External"/><Relationship Id="rId257" Type="http://schemas.openxmlformats.org/officeDocument/2006/relationships/hyperlink" Target="https://vjs.fi/etusivu/seuravaatteet/" TargetMode="External"/><Relationship Id="rId256" Type="http://schemas.openxmlformats.org/officeDocument/2006/relationships/hyperlink" Target="https://it.wikipedia.org/wiki/Vis_Pesaro_dal_1898" TargetMode="External"/><Relationship Id="rId255" Type="http://schemas.openxmlformats.org/officeDocument/2006/relationships/hyperlink" Target="https://it.wikipedia.org/wiki/Virtus_Entella" TargetMode="External"/><Relationship Id="rId254" Type="http://schemas.openxmlformats.org/officeDocument/2006/relationships/hyperlink" Target="https://fr.wikipedia.org/wiki/Football_Club_Villefranche_Beaujolais" TargetMode="External"/><Relationship Id="rId228" Type="http://schemas.openxmlformats.org/officeDocument/2006/relationships/hyperlink" Target="https://it.wikipedia.org/wiki/Team_Altamura" TargetMode="External"/><Relationship Id="rId227" Type="http://schemas.openxmlformats.org/officeDocument/2006/relationships/hyperlink" Target="https://fr.wikipedia.org/wiki/Tampere_United" TargetMode="External"/><Relationship Id="rId226" Type="http://schemas.openxmlformats.org/officeDocument/2006/relationships/hyperlink" Target="https://de.wikipedia.org/wiki/SV_Wehen_Wiesbaden" TargetMode="External"/><Relationship Id="rId225" Type="http://schemas.openxmlformats.org/officeDocument/2006/relationships/hyperlink" Target="https://de.wikipedia.org/wiki/SV_Elversberg" TargetMode="External"/><Relationship Id="rId229" Type="http://schemas.openxmlformats.org/officeDocument/2006/relationships/hyperlink" Target="https://fr.wikipedia.org/wiki/Club_Deportivo_Teruel" TargetMode="External"/><Relationship Id="rId220" Type="http://schemas.openxmlformats.org/officeDocument/2006/relationships/hyperlink" Target="https://it.wikipedia.org/wiki/Spezia_Calcio" TargetMode="External"/><Relationship Id="rId224" Type="http://schemas.openxmlformats.org/officeDocument/2006/relationships/hyperlink" Target="https://it.wikipedia.org/wiki/Fussball_Club_S%C3%BCdtirol" TargetMode="External"/><Relationship Id="rId223" Type="http://schemas.openxmlformats.org/officeDocument/2006/relationships/hyperlink" Target="https://fr.wikipedia.org/wiki/SK_Sturm_Graz" TargetMode="External"/><Relationship Id="rId222" Type="http://schemas.openxmlformats.org/officeDocument/2006/relationships/hyperlink" Target="https://en.wikipedia.org/wiki/Stevenage_F.C." TargetMode="External"/><Relationship Id="rId221" Type="http://schemas.openxmlformats.org/officeDocument/2006/relationships/hyperlink" Target="https://en.wikipedia.org/wiki/CSA_Steaua_Bucure%C8%99ti_(football)" TargetMode="External"/><Relationship Id="rId217" Type="http://schemas.openxmlformats.org/officeDocument/2006/relationships/hyperlink" Target="https://de.wikipedia.org/wiki/SG_Sonnenhof_Gro%C3%9Faspach" TargetMode="External"/><Relationship Id="rId216" Type="http://schemas.openxmlformats.org/officeDocument/2006/relationships/hyperlink" Target="https://fr.wikipedia.org/wiki/%C5%A0K_Slovan_Bratislava" TargetMode="External"/><Relationship Id="rId215" Type="http://schemas.openxmlformats.org/officeDocument/2006/relationships/hyperlink" Target="https://fr.wikipedia.org/wiki/SK_Slavia_Prague" TargetMode="External"/><Relationship Id="rId214" Type="http://schemas.openxmlformats.org/officeDocument/2006/relationships/hyperlink" Target="https://fi.wikipedia.org/wiki/Sein%C3%A4joen_Jalkapallokerho" TargetMode="External"/><Relationship Id="rId219" Type="http://schemas.openxmlformats.org/officeDocument/2006/relationships/hyperlink" Target="https://fr.wikipedia.org/wiki/AC_Sparta_Prague" TargetMode="External"/><Relationship Id="rId218" Type="http://schemas.openxmlformats.org/officeDocument/2006/relationships/hyperlink" Target="https://it.wikipedia.org/wiki/Sorrento_Calcio_1945" TargetMode="External"/><Relationship Id="rId213" Type="http://schemas.openxmlformats.org/officeDocument/2006/relationships/hyperlink" Target="https://fr.wikipedia.org/wiki/Chakhtar_Donetsk" TargetMode="External"/><Relationship Id="rId212" Type="http://schemas.openxmlformats.org/officeDocument/2006/relationships/hyperlink" Target="https://en.wikipedia.org/wiki/Sepsi_OSK_Sf%C3%A2ntu_Gheorghe" TargetMode="External"/><Relationship Id="rId211" Type="http://schemas.openxmlformats.org/officeDocument/2006/relationships/hyperlink" Target="https://it.wikipedia.org/wiki/Scafatese_Calcio_1922" TargetMode="External"/><Relationship Id="rId210" Type="http://schemas.openxmlformats.org/officeDocument/2006/relationships/hyperlink" Target="https://en.wikipedia.org/wiki/SC_Pope%C8%99ti-Leordeni" TargetMode="External"/><Relationship Id="rId249" Type="http://schemas.openxmlformats.org/officeDocument/2006/relationships/hyperlink" Target="https://ro.wikipedia.org/wiki/FC_UTA_Arad" TargetMode="External"/><Relationship Id="rId248" Type="http://schemas.openxmlformats.org/officeDocument/2006/relationships/hyperlink" Target="https://en.wikipedia.org/wiki/CS_Universitatea_Craiova" TargetMode="External"/><Relationship Id="rId247" Type="http://schemas.openxmlformats.org/officeDocument/2006/relationships/hyperlink" Target="https://ro.wikipedia.org/wiki/FC_Universitatea_Cluj" TargetMode="External"/><Relationship Id="rId242" Type="http://schemas.openxmlformats.org/officeDocument/2006/relationships/hyperlink" Target="https://fr.wikipedia.org/wiki/Royale_Union_saint-gilloise" TargetMode="External"/><Relationship Id="rId241" Type="http://schemas.openxmlformats.org/officeDocument/2006/relationships/hyperlink" Target="https://it.wikipedia.org/wiki/Union_Brescia" TargetMode="External"/><Relationship Id="rId240" Type="http://schemas.openxmlformats.org/officeDocument/2006/relationships/hyperlink" Target="https://fr.wikipedia.org/wiki/Uni%C3%B3n_Deportiva_Logro%C3%B1%C3%A9s" TargetMode="External"/><Relationship Id="rId246" Type="http://schemas.openxmlformats.org/officeDocument/2006/relationships/hyperlink" Target="https://en.wikipedia.org/wiki/AFC_Unirea_Slobozia" TargetMode="External"/><Relationship Id="rId245" Type="http://schemas.openxmlformats.org/officeDocument/2006/relationships/hyperlink" Target="https://en.wikipedia.org/wiki/FC_Unirea_Dej" TargetMode="External"/><Relationship Id="rId244" Type="http://schemas.openxmlformats.org/officeDocument/2006/relationships/hyperlink" Target="https://en.wikipedia.org/wiki/CSM_Unirea_Alba_Iulia" TargetMode="External"/><Relationship Id="rId243" Type="http://schemas.openxmlformats.org/officeDocument/2006/relationships/hyperlink" Target="https://fr.wikipedia.org/wiki/Unionistas_de_Salamanca_Club_de_F%C3%BAtbol" TargetMode="External"/><Relationship Id="rId239" Type="http://schemas.openxmlformats.org/officeDocument/2006/relationships/hyperlink" Target="https://fr.wikipedia.org/wiki/Uni%C3%B3n_Deportiva_Ibiza" TargetMode="External"/><Relationship Id="rId238" Type="http://schemas.openxmlformats.org/officeDocument/2006/relationships/hyperlink" Target="https://de.wikipedia.org/wiki/TSV_Havelse" TargetMode="External"/><Relationship Id="rId237" Type="http://schemas.openxmlformats.org/officeDocument/2006/relationships/hyperlink" Target="https://de.wikipedia.org/wiki/TSG_1899_Hoffenheim" TargetMode="External"/><Relationship Id="rId236" Type="http://schemas.openxmlformats.org/officeDocument/2006/relationships/hyperlink" Target="https://it.wikipedia.org/wiki/Associazione_Calcio_Trento_1921" TargetMode="External"/><Relationship Id="rId231" Type="http://schemas.openxmlformats.org/officeDocument/2006/relationships/hyperlink" Target="https://fr.wikipedia.org/wiki/FC_Thoune" TargetMode="External"/><Relationship Id="rId230" Type="http://schemas.openxmlformats.org/officeDocument/2006/relationships/hyperlink" Target="https://fr.wikipedia.org/wiki/Union_sportive_Thionville_Lusitanos" TargetMode="External"/><Relationship Id="rId235" Type="http://schemas.openxmlformats.org/officeDocument/2006/relationships/hyperlink" Target="https://en.wikipedia.org/wiki/Trabzonspor" TargetMode="External"/><Relationship Id="rId234" Type="http://schemas.openxmlformats.org/officeDocument/2006/relationships/hyperlink" Target="https://fi.wikipedia.org/wiki/Tampereen_Pallo-Veikot" TargetMode="External"/><Relationship Id="rId233" Type="http://schemas.openxmlformats.org/officeDocument/2006/relationships/hyperlink" Target="https://fi.wikipedia.org/wiki/Turun_Palloseura_(jalkapallo)" TargetMode="External"/><Relationship Id="rId232" Type="http://schemas.openxmlformats.org/officeDocument/2006/relationships/hyperlink" Target="https://it.wikipedia.org/wiki/Torres_(calcio)" TargetMode="External"/><Relationship Id="rId206" Type="http://schemas.openxmlformats.org/officeDocument/2006/relationships/hyperlink" Target="https://www.lega-pro.com/campionato/squadre/girone-b/sambenedettese/" TargetMode="External"/><Relationship Id="rId205" Type="http://schemas.openxmlformats.org/officeDocument/2006/relationships/hyperlink" Target="https://fi.wikipedia.org/wiki/Salon_Palloilijat" TargetMode="External"/><Relationship Id="rId204" Type="http://schemas.openxmlformats.org/officeDocument/2006/relationships/hyperlink" Target="https://it.wikipedia.org/wiki/Unione_Sportiva_Salernitana_1919" TargetMode="External"/><Relationship Id="rId203" Type="http://schemas.openxmlformats.org/officeDocument/2006/relationships/hyperlink" Target="https://en.wikipedia.org/wiki/Sabah_FK_(Azerbaijan)" TargetMode="External"/><Relationship Id="rId209" Type="http://schemas.openxmlformats.org/officeDocument/2006/relationships/hyperlink" Target="https://de.wikipedia.org/wiki/SC_Paderborn_07" TargetMode="External"/><Relationship Id="rId208" Type="http://schemas.openxmlformats.org/officeDocument/2006/relationships/hyperlink" Target="https://it.wikipedia.org/wiki/Savoia_1908" TargetMode="External"/><Relationship Id="rId207" Type="http://schemas.openxmlformats.org/officeDocument/2006/relationships/hyperlink" Target="https://it.wikipedia.org/wiki/Unione_Sportiva_Sassuolo_Calcio" TargetMode="External"/><Relationship Id="rId202" Type="http://schemas.openxmlformats.org/officeDocument/2006/relationships/hyperlink" Target="https://www.rsssf.org/colours/turkey.html" TargetMode="External"/><Relationship Id="rId201" Type="http://schemas.openxmlformats.org/officeDocument/2006/relationships/hyperlink" Target="https://www.rsssf.org/colours/spain.html" TargetMode="External"/><Relationship Id="rId200" Type="http://schemas.openxmlformats.org/officeDocument/2006/relationships/hyperlink" Target="https://www.rsssf.org/colours/portugal.html" TargetMode="External"/><Relationship Id="rId190" Type="http://schemas.openxmlformats.org/officeDocument/2006/relationships/hyperlink" Target="https://fr.wikipedia.org/wiki/Riga_Football_Club" TargetMode="External"/><Relationship Id="rId194" Type="http://schemas.openxmlformats.org/officeDocument/2006/relationships/hyperlink" Target="https://www.rsssf.org/colours/france.html" TargetMode="External"/><Relationship Id="rId193" Type="http://schemas.openxmlformats.org/officeDocument/2006/relationships/hyperlink" Target="https://www.rsssf.org/colours/england.html" TargetMode="External"/><Relationship Id="rId192" Type="http://schemas.openxmlformats.org/officeDocument/2006/relationships/hyperlink" Target="https://www.rsssf.org/colours/belgium.html" TargetMode="External"/><Relationship Id="rId191" Type="http://schemas.openxmlformats.org/officeDocument/2006/relationships/hyperlink" Target="https://www.the-sports.org/football-soccer-rovaniemi-rops-results-identity-equ7363.html" TargetMode="External"/><Relationship Id="rId187" Type="http://schemas.openxmlformats.org/officeDocument/2006/relationships/hyperlink" Target="https://de.wikipedia.org/wiki/FC_Red_Bull_Salzburg" TargetMode="External"/><Relationship Id="rId186" Type="http://schemas.openxmlformats.org/officeDocument/2006/relationships/hyperlink" Target="https://fr.wikipedia.org/wiki/Real_Oviedo" TargetMode="External"/><Relationship Id="rId185" Type="http://schemas.openxmlformats.org/officeDocument/2006/relationships/hyperlink" Target="https://fr.wikipedia.org/wiki/Real_Ja%C3%A9n_Club_de_F%C3%BAtbol" TargetMode="External"/><Relationship Id="rId184" Type="http://schemas.openxmlformats.org/officeDocument/2006/relationships/hyperlink" Target="https://de.wikipedia.org/wiki/RB_Leipzig" TargetMode="External"/><Relationship Id="rId189" Type="http://schemas.openxmlformats.org/officeDocument/2006/relationships/hyperlink" Target="https://fr.wikipedia.org/wiki/Stade_rennais_football_club" TargetMode="External"/><Relationship Id="rId188" Type="http://schemas.openxmlformats.org/officeDocument/2006/relationships/hyperlink" Target="https://it.wikipedia.org/wiki/Associazione_Calcio_Renate" TargetMode="External"/><Relationship Id="rId183" Type="http://schemas.openxmlformats.org/officeDocument/2006/relationships/hyperlink" Target="https://ro.wikipedia.org/wiki/FC_Rapid_Bucure%C8%99ti" TargetMode="External"/><Relationship Id="rId182" Type="http://schemas.openxmlformats.org/officeDocument/2006/relationships/hyperlink" Target="https://fr.wikipedia.org/wiki/Union_sportive_Quevilly-Rouen_M%C3%A9tropole" TargetMode="External"/><Relationship Id="rId181" Type="http://schemas.openxmlformats.org/officeDocument/2006/relationships/hyperlink" Target="https://fr.wikipedia.org/wiki/AO_Proodeftiki" TargetMode="External"/><Relationship Id="rId180" Type="http://schemas.openxmlformats.org/officeDocument/2006/relationships/hyperlink" Target="https://it.wikipedia.org/wiki/Football_Club_Pro_Vercelli_1892" TargetMode="External"/><Relationship Id="rId176" Type="http://schemas.openxmlformats.org/officeDocument/2006/relationships/hyperlink" Target="https://edustus.pk-35.fi/miehet-edustus/90-vuotista-seuraa-muistettiin-juhlapelissa-on-tama-iso-juttu/" TargetMode="External"/><Relationship Id="rId175" Type="http://schemas.openxmlformats.org/officeDocument/2006/relationships/hyperlink" Target="https://it.wikipedia.org/wiki/Associazione_Sportiva_Pineto_Calcio" TargetMode="External"/><Relationship Id="rId174" Type="http://schemas.openxmlformats.org/officeDocument/2006/relationships/hyperlink" Target="https://it.wikipedia.org/wiki/AZ_Picerno" TargetMode="External"/><Relationship Id="rId173" Type="http://schemas.openxmlformats.org/officeDocument/2006/relationships/hyperlink" Target="https://it.wikipedia.org/wiki/Unione_Sportiva_Pianese" TargetMode="External"/><Relationship Id="rId179" Type="http://schemas.openxmlformats.org/officeDocument/2006/relationships/hyperlink" Target="https://de.wikipedia.org/wiki/Preu%C3%9Fen_M%C3%BCnster" TargetMode="External"/><Relationship Id="rId178" Type="http://schemas.openxmlformats.org/officeDocument/2006/relationships/hyperlink" Target="https://it.wikipedia.org/wiki/Potenza_Calcio" TargetMode="External"/><Relationship Id="rId177" Type="http://schemas.openxmlformats.org/officeDocument/2006/relationships/hyperlink" Target="https://en.wikipedia.org/wiki/SSU_Politehnica_Timi%C8%99oara" TargetMode="External"/><Relationship Id="rId198" Type="http://schemas.openxmlformats.org/officeDocument/2006/relationships/hyperlink" Target="https://www.rsssf.org/colours/netherlands.html" TargetMode="External"/><Relationship Id="rId197" Type="http://schemas.openxmlformats.org/officeDocument/2006/relationships/hyperlink" Target="https://www.rsssf.org/colours/italy.html" TargetMode="External"/><Relationship Id="rId196" Type="http://schemas.openxmlformats.org/officeDocument/2006/relationships/hyperlink" Target="https://www.rsssf.org/colours/greece.html" TargetMode="External"/><Relationship Id="rId195" Type="http://schemas.openxmlformats.org/officeDocument/2006/relationships/hyperlink" Target="https://www.rsssf.org/colours/germany.html" TargetMode="External"/><Relationship Id="rId199" Type="http://schemas.openxmlformats.org/officeDocument/2006/relationships/hyperlink" Target="https://www.rsssf.org/colours/norway.html" TargetMode="External"/><Relationship Id="rId150" Type="http://schemas.openxmlformats.org/officeDocument/2006/relationships/hyperlink" Target="https://de.wikipedia.org/wiki/1._FSV_Mainz_05" TargetMode="External"/><Relationship Id="rId149" Type="http://schemas.openxmlformats.org/officeDocument/2006/relationships/hyperlink" Target="https://en.wikipedia.org/wiki/Luton_Town_F.C." TargetMode="External"/><Relationship Id="rId148" Type="http://schemas.openxmlformats.org/officeDocument/2006/relationships/hyperlink" Target="https://it.wikipedia.org/wiki/Football_Club_Lumezzane" TargetMode="External"/><Relationship Id="rId143" Type="http://schemas.openxmlformats.org/officeDocument/2006/relationships/hyperlink" Target="https://fr.wikipedia.org/wiki/PFK_Levski_Sofia" TargetMode="External"/><Relationship Id="rId142" Type="http://schemas.openxmlformats.org/officeDocument/2006/relationships/hyperlink" Target="https://fr.wikipedia.org/wiki/Lech_Pozna%C5%84" TargetMode="External"/><Relationship Id="rId141" Type="http://schemas.openxmlformats.org/officeDocument/2006/relationships/hyperlink" Target="https://it.wikipedia.org/wiki/Calcio_Lecco_1912" TargetMode="External"/><Relationship Id="rId140" Type="http://schemas.openxmlformats.org/officeDocument/2006/relationships/hyperlink" Target="https://fr.wikipedia.org/wiki/Le_Puy_Foot_43_Auvergne" TargetMode="External"/><Relationship Id="rId147" Type="http://schemas.openxmlformats.org/officeDocument/2006/relationships/hyperlink" Target="https://de.wikipedia.org/wiki/FC_Lugano" TargetMode="External"/><Relationship Id="rId146" Type="http://schemas.openxmlformats.org/officeDocument/2006/relationships/hyperlink" Target="https://fr.wikipedia.org/wiki/Football_Club_Lorient" TargetMode="External"/><Relationship Id="rId145" Type="http://schemas.openxmlformats.org/officeDocument/2006/relationships/hyperlink" Target="https://en.wikipedia.org/wiki/Liverpool_F.C." TargetMode="External"/><Relationship Id="rId144" Type="http://schemas.openxmlformats.org/officeDocument/2006/relationships/hyperlink" Target="https://www.claudionicoletti.eu/tabelle/Clubcode/GIBRALTAR.htm" TargetMode="External"/><Relationship Id="rId139" Type="http://schemas.openxmlformats.org/officeDocument/2006/relationships/hyperlink" Target="https://it.wikipedia.org/wiki/Latina_Calcio_1932" TargetMode="External"/><Relationship Id="rId138" Type="http://schemas.openxmlformats.org/officeDocument/2006/relationships/hyperlink" Target="https://de.wikipedia.org/wiki/LASK" TargetMode="External"/><Relationship Id="rId137" Type="http://schemas.openxmlformats.org/officeDocument/2006/relationships/hyperlink" Target="https://www.fclahti.fi/brandi-visio-ja-arvot/" TargetMode="External"/><Relationship Id="rId132" Type="http://schemas.openxmlformats.org/officeDocument/2006/relationships/hyperlink" Target="https://fr.wikipedia.org/wiki/Kokkolan_Palloveikot" TargetMode="External"/><Relationship Id="rId131" Type="http://schemas.openxmlformats.org/officeDocument/2006/relationships/hyperlink" Target="https://www.football-stadiums.co.uk/articles/football-club-kit-colours/" TargetMode="External"/><Relationship Id="rId130" Type="http://schemas.openxmlformats.org/officeDocument/2006/relationships/hyperlink" Target="https://en.wikipedia.org/wiki/A.E._Kifisia_F.C." TargetMode="External"/><Relationship Id="rId136" Type="http://schemas.openxmlformats.org/officeDocument/2006/relationships/hyperlink" Target="https://fr.wikipedia.org/wiki/Vend%C3%A9e_Foot_Club_La_Roche-sur-Yon" TargetMode="External"/><Relationship Id="rId135" Type="http://schemas.openxmlformats.org/officeDocument/2006/relationships/hyperlink" Target="https://fi.wikipedia.org/wiki/Kuopion_Palloseura" TargetMode="External"/><Relationship Id="rId134" Type="http://schemas.openxmlformats.org/officeDocument/2006/relationships/hyperlink" Target="https://www.the-sports.org/football-soccer-ktp-kotka-results-identity-equ10274.html" TargetMode="External"/><Relationship Id="rId133" Type="http://schemas.openxmlformats.org/officeDocument/2006/relationships/hyperlink" Target="https://en.wikipedia.org/wiki/KSE_T%C3%A2rgu_Secuiesc" TargetMode="External"/><Relationship Id="rId172" Type="http://schemas.openxmlformats.org/officeDocument/2006/relationships/hyperlink" Target="https://en.wikipedia.org/wiki/FC_Petrolul_Ploie%C8%99ti" TargetMode="External"/><Relationship Id="rId171" Type="http://schemas.openxmlformats.org/officeDocument/2006/relationships/hyperlink" Target="https://it.wikipedia.org/wiki/Unione_Sportiva_Pergolettese_1932" TargetMode="External"/><Relationship Id="rId170" Type="http://schemas.openxmlformats.org/officeDocument/2006/relationships/hyperlink" Target="https://fr.wikipedia.org/wiki/Pau_Football_Club" TargetMode="External"/><Relationship Id="rId165" Type="http://schemas.openxmlformats.org/officeDocument/2006/relationships/hyperlink" Target="https://en.wikipedia.org/wiki/ASC_O%C8%9Belul_Gala%C8%9Bi" TargetMode="External"/><Relationship Id="rId164" Type="http://schemas.openxmlformats.org/officeDocument/2006/relationships/hyperlink" Target="https://it.wikipedia.org/wiki/Associazione_Sportiva_Ostia_Mare_Lido_Calcio" TargetMode="External"/><Relationship Id="rId163" Type="http://schemas.openxmlformats.org/officeDocument/2006/relationships/hyperlink" Target="https://it.wikipedia.org/wiki/Associazione_Calcio_Ospitaletto" TargetMode="External"/><Relationship Id="rId162" Type="http://schemas.openxmlformats.org/officeDocument/2006/relationships/hyperlink" Target="https://fr.wikipedia.org/wiki/Club_Atl%C3%A9tico_Osasuna" TargetMode="External"/><Relationship Id="rId169" Type="http://schemas.openxmlformats.org/officeDocument/2006/relationships/hyperlink" Target="https://fr.wikipedia.org/wiki/Paris_Football_Club" TargetMode="External"/><Relationship Id="rId168" Type="http://schemas.openxmlformats.org/officeDocument/2006/relationships/hyperlink" Target="https://fr.wikipedia.org/wiki/Paris_13_Atletico" TargetMode="External"/><Relationship Id="rId167" Type="http://schemas.openxmlformats.org/officeDocument/2006/relationships/hyperlink" Target="https://en.wikipedia.org/wiki/Panthrakikos_F.C." TargetMode="External"/><Relationship Id="rId166" Type="http://schemas.openxmlformats.org/officeDocument/2006/relationships/hyperlink" Target="https://en.wikipedia.org/wiki/Pafos_FC" TargetMode="External"/><Relationship Id="rId161" Type="http://schemas.openxmlformats.org/officeDocument/2006/relationships/hyperlink" Target="https://fr.wikipedia.org/wiki/Om%C3%B3nia_Nicosie" TargetMode="External"/><Relationship Id="rId160" Type="http://schemas.openxmlformats.org/officeDocument/2006/relationships/hyperlink" Target="https://www.the-sports.org/football-soccer-ols-oulu-results-identity-equ49839.html" TargetMode="External"/><Relationship Id="rId159" Type="http://schemas.openxmlformats.org/officeDocument/2006/relationships/hyperlink" Target="https://it.wikipedia.org/wiki/Novara_Football_Club" TargetMode="External"/><Relationship Id="rId154" Type="http://schemas.openxmlformats.org/officeDocument/2006/relationships/hyperlink" Target="https://it.wikipedia.org/wiki/Societ%C3%A0_Sportiva_Monopoli_1966" TargetMode="External"/><Relationship Id="rId153" Type="http://schemas.openxmlformats.org/officeDocument/2006/relationships/hyperlink" Target="https://fr.wikipedia.org/wiki/Mj%C3%A4llby_AIF" TargetMode="External"/><Relationship Id="rId152" Type="http://schemas.openxmlformats.org/officeDocument/2006/relationships/hyperlink" Target="https://en.wikipedia.org/wiki/ACS_Minerul_Lupeni" TargetMode="External"/><Relationship Id="rId151" Type="http://schemas.openxmlformats.org/officeDocument/2006/relationships/hyperlink" Target="https://it.wikipedia.org/wiki/Mantova_1911" TargetMode="External"/><Relationship Id="rId158" Type="http://schemas.openxmlformats.org/officeDocument/2006/relationships/hyperlink" Target="https://www.the-sports.org/football-soccer-fc-nordsjaelland-results-identity-equ843.html" TargetMode="External"/><Relationship Id="rId157" Type="http://schemas.openxmlformats.org/officeDocument/2006/relationships/hyperlink" Target="https://www.ogcnice.com/fr/article/126970/par-amour-de-lart.html" TargetMode="External"/><Relationship Id="rId156" Type="http://schemas.openxmlformats.org/officeDocument/2006/relationships/hyperlink" Target="https://fr.wikipedia.org/wiki/NEC_Nim%C3%A8gue" TargetMode="External"/><Relationship Id="rId155" Type="http://schemas.openxmlformats.org/officeDocument/2006/relationships/hyperlink" Target="https://mikkelinpalloilijat.fi/yhteystiedot/historia/" TargetMode="External"/><Relationship Id="rId107" Type="http://schemas.openxmlformats.org/officeDocument/2006/relationships/hyperlink" Target="https://de.wikipedia.org/wiki/Hansa_Rostock" TargetMode="External"/><Relationship Id="rId106" Type="http://schemas.openxmlformats.org/officeDocument/2006/relationships/hyperlink" Target="https://de.wikipedia.org/wiki/Hannover_96" TargetMode="External"/><Relationship Id="rId105" Type="http://schemas.openxmlformats.org/officeDocument/2006/relationships/hyperlink" Target="https://de.wikipedia.org/wiki/Hamburger_SV" TargetMode="External"/><Relationship Id="rId104" Type="http://schemas.openxmlformats.org/officeDocument/2006/relationships/hyperlink" Target="https://fr.wikipedia.org/wiki/HNK_Hajduk_Split" TargetMode="External"/><Relationship Id="rId109" Type="http://schemas.openxmlformats.org/officeDocument/2006/relationships/hyperlink" Target="https://fr.wikipedia.org/wiki/Heart_of_Midlothian_Football_Club" TargetMode="External"/><Relationship Id="rId108" Type="http://schemas.openxmlformats.org/officeDocument/2006/relationships/hyperlink" Target="https://fr.wikipedia.org/wiki/Hapo%C3%ABl_Beer-Sheva" TargetMode="External"/><Relationship Id="rId103" Type="http://schemas.openxmlformats.org/officeDocument/2006/relationships/hyperlink" Target="https://it.wikipedia.org/wiki/Guidonia_Montecelio_1937_Football_Club" TargetMode="External"/><Relationship Id="rId102" Type="http://schemas.openxmlformats.org/officeDocument/2006/relationships/hyperlink" Target="https://it.wikipedia.org/wiki/Associazione_Sportiva_Gubbio_1910" TargetMode="External"/><Relationship Id="rId101" Type="http://schemas.openxmlformats.org/officeDocument/2006/relationships/hyperlink" Target="https://it.wikipedia.org/wiki/Unione_Sportiva_Grosseto_1912" TargetMode="External"/><Relationship Id="rId100" Type="http://schemas.openxmlformats.org/officeDocument/2006/relationships/hyperlink" Target="https://fr.wikipedia.org/wiki/Grenoble_Foot_38" TargetMode="External"/><Relationship Id="rId129" Type="http://schemas.openxmlformats.org/officeDocument/2006/relationships/hyperlink" Target="https://fr.wikipedia.org/wiki/AO_Kavala" TargetMode="External"/><Relationship Id="rId128" Type="http://schemas.openxmlformats.org/officeDocument/2006/relationships/hyperlink" Target="https://de.wikipedia.org/wiki/FK_Kauno_%C5%BDalgiris" TargetMode="External"/><Relationship Id="rId127" Type="http://schemas.openxmlformats.org/officeDocument/2006/relationships/hyperlink" Target="https://www.the-sports.org/football-soccer-kapylan-pallo-results-identity-equ22792.html" TargetMode="External"/><Relationship Id="rId126" Type="http://schemas.openxmlformats.org/officeDocument/2006/relationships/hyperlink" Target="https://fr.wikipedia.org/wiki/FK_Ka%C3%AFrat_Almaty" TargetMode="External"/><Relationship Id="rId121" Type="http://schemas.openxmlformats.org/officeDocument/2006/relationships/hyperlink" Target="https://fi.wikipedia.org/wiki/J%C3%A4rvenp%C3%A4%C3%A4n_Palloseura" TargetMode="External"/><Relationship Id="rId120" Type="http://schemas.openxmlformats.org/officeDocument/2006/relationships/hyperlink" Target="https://de.wikipedia.org/wiki/SSV_Jahn_Regensburg" TargetMode="External"/><Relationship Id="rId125" Type="http://schemas.openxmlformats.org/officeDocument/2006/relationships/hyperlink" Target="https://it.wikipedia.org/wiki/Societ%C3%A0_Sportiva_Juve_Stabia" TargetMode="External"/><Relationship Id="rId124" Type="http://schemas.openxmlformats.org/officeDocument/2006/relationships/hyperlink" Target="https://www.the-sports.org/football-soccer-jyvaskylan-jalkapalloklubi-results-identity-equ11260.html" TargetMode="External"/><Relationship Id="rId123" Type="http://schemas.openxmlformats.org/officeDocument/2006/relationships/hyperlink" Target="https://en.wikipedia.org/wiki/CSM_Jiul_Petro%C8%99ani" TargetMode="External"/><Relationship Id="rId122" Type="http://schemas.openxmlformats.org/officeDocument/2006/relationships/hyperlink" Target="https://fi.wikipedia.org/wiki/JIPPO" TargetMode="External"/><Relationship Id="rId118" Type="http://schemas.openxmlformats.org/officeDocument/2006/relationships/hyperlink" Target="https://fr.wikipedia.org/wiki/FK_Jablonec" TargetMode="External"/><Relationship Id="rId117" Type="http://schemas.openxmlformats.org/officeDocument/2006/relationships/hyperlink" Target="https://en.wikipedia.org/wiki/Inter_Club_d%27Escaldes" TargetMode="External"/><Relationship Id="rId116" Type="http://schemas.openxmlformats.org/officeDocument/2006/relationships/hyperlink" Target="https://ilvesfutisliiga.fi/ukk/" TargetMode="External"/><Relationship Id="rId115" Type="http://schemas.openxmlformats.org/officeDocument/2006/relationships/hyperlink" Target="https://fi.wikipedia.org/wiki/IFK_Mariehamn" TargetMode="External"/><Relationship Id="rId119" Type="http://schemas.openxmlformats.org/officeDocument/2006/relationships/hyperlink" Target="https://fr.wikipedia.org/wiki/Jagiellonia_Bia%C5%82ystok" TargetMode="External"/><Relationship Id="rId110" Type="http://schemas.openxmlformats.org/officeDocument/2006/relationships/hyperlink" Target="https://en.wikipedia.org/wiki/Hellas_Syros_F.C." TargetMode="External"/><Relationship Id="rId114" Type="http://schemas.openxmlformats.org/officeDocument/2006/relationships/hyperlink" Target="https://fi.wikipedia.org/wiki/IF_Gnistan" TargetMode="External"/><Relationship Id="rId113" Type="http://schemas.openxmlformats.org/officeDocument/2006/relationships/hyperlink" Target="https://fr.wikipedia.org/wiki/FC_Iberia_1999" TargetMode="External"/><Relationship Id="rId112" Type="http://schemas.openxmlformats.org/officeDocument/2006/relationships/hyperlink" Target="https://fi.wikipedia.org/wiki/Helsingin_Jalkapalloklubi" TargetMode="External"/><Relationship Id="rId111" Type="http://schemas.openxmlformats.org/officeDocument/2006/relationships/hyperlink" Target="https://en.wikipedia.org/wiki/FC_Hermannstad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/>
  <cols>
    <col customWidth="1" min="1" max="7" width="11.0"/>
    <col customWidth="1" min="8" max="8" width="3.0"/>
    <col customWidth="1" min="9" max="10" width="15.0"/>
    <col customWidth="1" min="11" max="11" width="13.0"/>
    <col customWidth="1" min="12" max="12" width="11.0"/>
    <col customWidth="1" min="13" max="26" width="8.71"/>
  </cols>
  <sheetData>
    <row r="1" ht="22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24.0" customHeight="1">
      <c r="A3" s="7" t="s">
        <v>1</v>
      </c>
    </row>
    <row r="4" ht="30.75" customHeight="1">
      <c r="A4" s="8" t="s">
        <v>2</v>
      </c>
    </row>
    <row r="5" ht="9.0" customHeight="1"/>
    <row r="6" ht="24.75" customHeight="1">
      <c r="A6" s="9" t="s">
        <v>3</v>
      </c>
      <c r="B6" s="10"/>
      <c r="C6" s="11"/>
      <c r="D6" s="9" t="s">
        <v>4</v>
      </c>
      <c r="E6" s="10"/>
      <c r="F6" s="11"/>
      <c r="G6" s="9" t="s">
        <v>6</v>
      </c>
      <c r="H6" s="10"/>
      <c r="I6" s="11"/>
      <c r="J6" s="9" t="s">
        <v>7</v>
      </c>
      <c r="K6" s="10"/>
      <c r="L6" s="11"/>
    </row>
    <row r="7" ht="24.75" customHeight="1">
      <c r="A7" s="16">
        <f>COUNTA('All Teams'!$A$7:$A$785)</f>
        <v>779</v>
      </c>
      <c r="B7" s="2"/>
      <c r="C7" s="3"/>
      <c r="D7" s="16">
        <f>COUNTIF('All Teams'!$G$7:$G$785,"Domestic")</f>
        <v>671</v>
      </c>
      <c r="E7" s="2"/>
      <c r="F7" s="3"/>
      <c r="G7" s="16">
        <f>COUNTIF('All Teams'!$G$7:$G$785,"UEFA")</f>
        <v>108</v>
      </c>
      <c r="H7" s="2"/>
      <c r="I7" s="3"/>
      <c r="J7" s="16">
        <f>COUNTA(Competitions!$B$7:$B$33)</f>
        <v>27</v>
      </c>
      <c r="K7" s="2"/>
      <c r="L7" s="3"/>
    </row>
    <row r="8" ht="24.0" customHeight="1">
      <c r="A8" s="4"/>
      <c r="B8" s="5"/>
      <c r="C8" s="6"/>
      <c r="D8" s="4"/>
      <c r="E8" s="5"/>
      <c r="F8" s="6"/>
      <c r="G8" s="4"/>
      <c r="H8" s="5"/>
      <c r="I8" s="6"/>
      <c r="J8" s="4"/>
      <c r="K8" s="5"/>
      <c r="L8" s="6"/>
    </row>
    <row r="9" ht="10.5" customHeight="1"/>
    <row r="10" ht="27.0" customHeight="1">
      <c r="A10" s="18" t="s">
        <v>14</v>
      </c>
    </row>
    <row r="11" ht="24.0" customHeight="1">
      <c r="A11" s="19" t="s">
        <v>15</v>
      </c>
      <c r="B11" s="10"/>
      <c r="C11" s="10"/>
      <c r="D11" s="10"/>
      <c r="E11" s="10"/>
      <c r="F11" s="10"/>
      <c r="G11" s="11"/>
      <c r="I11" s="19" t="s">
        <v>16</v>
      </c>
      <c r="J11" s="10"/>
      <c r="K11" s="10"/>
      <c r="L11" s="11"/>
    </row>
    <row r="12" ht="24.0" customHeight="1">
      <c r="A12" s="20" t="s">
        <v>17</v>
      </c>
      <c r="B12" s="10"/>
      <c r="C12" s="11"/>
      <c r="D12" s="22" t="s">
        <v>18</v>
      </c>
      <c r="E12" s="22" t="s">
        <v>19</v>
      </c>
      <c r="F12" s="22" t="s">
        <v>20</v>
      </c>
      <c r="G12" s="22" t="s">
        <v>21</v>
      </c>
      <c r="I12" s="20" t="s">
        <v>22</v>
      </c>
      <c r="J12" s="10"/>
      <c r="K12" s="11"/>
      <c r="L12" s="22" t="s">
        <v>23</v>
      </c>
    </row>
    <row r="13" ht="27.0" customHeight="1">
      <c r="A13" s="23" t="s">
        <v>24</v>
      </c>
      <c r="B13" s="10"/>
      <c r="C13" s="11"/>
      <c r="D13" s="26">
        <f>COUNTIFS('All Teams'!$B$7:$B$785,$A13,'All Teams'!$D$7:$D$785,D$23,'All Teams'!$G$7:$G$785,"Domestic")</f>
        <v>20</v>
      </c>
      <c r="E13" s="26">
        <f>COUNTIFS('All Teams'!$B$7:$B$785,$A13,'All Teams'!$D$7:$D$785,E$23,'All Teams'!$G$7:$G$785,"Domestic")</f>
        <v>24</v>
      </c>
      <c r="F13" s="26">
        <f>COUNTIFS('All Teams'!$B$7:$B$785,$A13,'All Teams'!$D$7:$D$785,F$23,'All Teams'!$G$7:$G$785,"Domestic")</f>
        <v>24</v>
      </c>
      <c r="G13" s="29">
        <f t="shared" ref="G13:G20" si="1">SUM(D13:F13)</f>
        <v>68</v>
      </c>
      <c r="I13" s="23" t="s">
        <v>32</v>
      </c>
      <c r="J13" s="10"/>
      <c r="K13" s="11"/>
      <c r="L13" s="26">
        <f>COUNTIF('All Teams'!$C$7:$C$785,"UEFA Champions League")</f>
        <v>36</v>
      </c>
    </row>
    <row r="14" ht="27.0" customHeight="1">
      <c r="A14" s="33" t="s">
        <v>39</v>
      </c>
      <c r="B14" s="10"/>
      <c r="C14" s="11"/>
      <c r="D14" s="35">
        <f>COUNTIFS('All Teams'!$B$7:$B$785,$A14,'All Teams'!$D$7:$D$785,D$23,'All Teams'!$G$7:$G$785,"Domestic")</f>
        <v>20</v>
      </c>
      <c r="E14" s="35">
        <f>COUNTIFS('All Teams'!$B$7:$B$785,$A14,'All Teams'!$D$7:$D$785,E$23,'All Teams'!$G$7:$G$785,"Domestic")</f>
        <v>22</v>
      </c>
      <c r="F14" s="35">
        <f>COUNTIFS('All Teams'!$B$7:$B$785,$A14,'All Teams'!$D$7:$D$785,F$23,'All Teams'!$G$7:$G$785,"Domestic")</f>
        <v>40</v>
      </c>
      <c r="G14" s="38">
        <f t="shared" si="1"/>
        <v>82</v>
      </c>
      <c r="I14" s="33" t="s">
        <v>49</v>
      </c>
      <c r="J14" s="10"/>
      <c r="K14" s="11"/>
      <c r="L14" s="35">
        <f>COUNTIF('All Teams'!$C$7:$C$785,"UEFA Europa League")</f>
        <v>36</v>
      </c>
    </row>
    <row r="15" ht="27.0" customHeight="1">
      <c r="A15" s="23" t="s">
        <v>51</v>
      </c>
      <c r="B15" s="10"/>
      <c r="C15" s="11"/>
      <c r="D15" s="26">
        <f>COUNTIFS('All Teams'!$B$7:$B$785,$A15,'All Teams'!$D$7:$D$785,D$23,'All Teams'!$G$7:$G$785,"Domestic")</f>
        <v>20</v>
      </c>
      <c r="E15" s="26">
        <f>COUNTIFS('All Teams'!$B$7:$B$785,$A15,'All Teams'!$D$7:$D$785,E$23,'All Teams'!$G$7:$G$785,"Domestic")</f>
        <v>20</v>
      </c>
      <c r="F15" s="26">
        <f>COUNTIFS('All Teams'!$B$7:$B$785,$A15,'All Teams'!$D$7:$D$785,F$23,'All Teams'!$G$7:$G$785,"Domestic")</f>
        <v>60</v>
      </c>
      <c r="G15" s="29">
        <f t="shared" si="1"/>
        <v>100</v>
      </c>
      <c r="I15" s="23" t="s">
        <v>58</v>
      </c>
      <c r="J15" s="10"/>
      <c r="K15" s="11"/>
      <c r="L15" s="26">
        <f>COUNTIF('All Teams'!$C$7:$C$785,"UEFA Conference League")</f>
        <v>36</v>
      </c>
    </row>
    <row r="16" ht="27.0" customHeight="1">
      <c r="A16" s="33" t="s">
        <v>60</v>
      </c>
      <c r="B16" s="10"/>
      <c r="C16" s="11"/>
      <c r="D16" s="35">
        <f>COUNTIFS('All Teams'!$B$7:$B$785,$A16,'All Teams'!$D$7:$D$785,D$23,'All Teams'!$G$7:$G$785,"Domestic")</f>
        <v>18</v>
      </c>
      <c r="E16" s="35">
        <f>COUNTIFS('All Teams'!$B$7:$B$785,$A16,'All Teams'!$D$7:$D$785,E$23,'All Teams'!$G$7:$G$785,"Domestic")</f>
        <v>18</v>
      </c>
      <c r="F16" s="35">
        <f>COUNTIFS('All Teams'!$B$7:$B$785,$A16,'All Teams'!$D$7:$D$785,F$23,'All Teams'!$G$7:$G$785,"Domestic")</f>
        <v>20</v>
      </c>
      <c r="G16" s="38">
        <f t="shared" si="1"/>
        <v>56</v>
      </c>
      <c r="I16" s="48" t="s">
        <v>62</v>
      </c>
      <c r="J16" s="10"/>
      <c r="K16" s="11"/>
      <c r="L16" s="51">
        <f>SUM(L13:L15)</f>
        <v>108</v>
      </c>
    </row>
    <row r="17" ht="27.0" customHeight="1">
      <c r="A17" s="23" t="s">
        <v>66</v>
      </c>
      <c r="B17" s="10"/>
      <c r="C17" s="11"/>
      <c r="D17" s="26">
        <f>COUNTIFS('All Teams'!$B$7:$B$785,$A17,'All Teams'!$D$7:$D$785,D$23,'All Teams'!$G$7:$G$785,"Domestic")</f>
        <v>18</v>
      </c>
      <c r="E17" s="26">
        <f>COUNTIFS('All Teams'!$B$7:$B$785,$A17,'All Teams'!$D$7:$D$785,E$23,'All Teams'!$G$7:$G$785,"Domestic")</f>
        <v>18</v>
      </c>
      <c r="F17" s="26">
        <f>COUNTIFS('All Teams'!$B$7:$B$785,$A17,'All Teams'!$D$7:$D$785,F$23,'All Teams'!$G$7:$G$785,"Domestic")</f>
        <v>18</v>
      </c>
      <c r="G17" s="29">
        <f t="shared" si="1"/>
        <v>54</v>
      </c>
    </row>
    <row r="18" ht="27.0" customHeight="1">
      <c r="A18" s="33" t="s">
        <v>71</v>
      </c>
      <c r="B18" s="10"/>
      <c r="C18" s="11"/>
      <c r="D18" s="35">
        <f>COUNTIFS('All Teams'!$B$7:$B$785,$A18,'All Teams'!$D$7:$D$785,D$23,'All Teams'!$G$7:$G$785,"Domestic")</f>
        <v>16</v>
      </c>
      <c r="E18" s="35">
        <f>COUNTIFS('All Teams'!$B$7:$B$785,$A18,'All Teams'!$D$7:$D$785,E$23,'All Teams'!$G$7:$G$785,"Domestic")</f>
        <v>22</v>
      </c>
      <c r="F18" s="35">
        <f>COUNTIFS('All Teams'!$B$7:$B$785,$A18,'All Teams'!$D$7:$D$785,F$23,'All Teams'!$G$7:$G$785,"Domestic")</f>
        <v>96</v>
      </c>
      <c r="G18" s="38">
        <f t="shared" si="1"/>
        <v>134</v>
      </c>
      <c r="I18" s="58" t="s">
        <v>80</v>
      </c>
      <c r="J18" s="2"/>
      <c r="K18" s="2"/>
      <c r="L18" s="3"/>
    </row>
    <row r="19" ht="27.0" customHeight="1">
      <c r="A19" s="23" t="s">
        <v>82</v>
      </c>
      <c r="B19" s="10"/>
      <c r="C19" s="11"/>
      <c r="D19" s="26">
        <f>COUNTIFS('All Teams'!$B$7:$B$785,$A19,'All Teams'!$D$7:$D$785,D$23,'All Teams'!$G$7:$G$785,"Domestic")</f>
        <v>14</v>
      </c>
      <c r="E19" s="26">
        <f>COUNTIFS('All Teams'!$B$7:$B$785,$A19,'All Teams'!$D$7:$D$785,E$23,'All Teams'!$G$7:$G$785,"Domestic")</f>
        <v>16</v>
      </c>
      <c r="F19" s="26">
        <f>COUNTIFS('All Teams'!$B$7:$B$785,$A19,'All Teams'!$D$7:$D$785,F$23,'All Teams'!$G$7:$G$785,"Domestic")</f>
        <v>113</v>
      </c>
      <c r="G19" s="29">
        <f t="shared" si="1"/>
        <v>143</v>
      </c>
      <c r="I19" s="4"/>
      <c r="J19" s="5"/>
      <c r="K19" s="5"/>
      <c r="L19" s="6"/>
    </row>
    <row r="20" ht="27.0" customHeight="1">
      <c r="A20" s="33" t="s">
        <v>88</v>
      </c>
      <c r="B20" s="10"/>
      <c r="C20" s="11"/>
      <c r="D20" s="35">
        <f>COUNTIFS('All Teams'!$B$7:$B$785,$A20,'All Teams'!$D$7:$D$785,D$23,'All Teams'!$G$7:$G$785,"Domestic")</f>
        <v>12</v>
      </c>
      <c r="E20" s="35">
        <f>COUNTIFS('All Teams'!$B$7:$B$785,$A20,'All Teams'!$D$7:$D$785,E$23,'All Teams'!$G$7:$G$785,"Domestic")</f>
        <v>10</v>
      </c>
      <c r="F20" s="35">
        <f>COUNTIFS('All Teams'!$B$7:$B$785,$A20,'All Teams'!$D$7:$D$785,F$23,'All Teams'!$G$7:$G$785,"Domestic")</f>
        <v>12</v>
      </c>
      <c r="G20" s="38">
        <f t="shared" si="1"/>
        <v>34</v>
      </c>
      <c r="I20" s="58" t="s">
        <v>95</v>
      </c>
      <c r="J20" s="2"/>
      <c r="K20" s="2"/>
      <c r="L20" s="3"/>
    </row>
    <row r="21" ht="27.75" customHeight="1">
      <c r="A21" s="48" t="s">
        <v>98</v>
      </c>
      <c r="B21" s="10"/>
      <c r="C21" s="11"/>
      <c r="D21" s="63">
        <f t="shared" ref="D21:G21" si="2">SUM(D13:D20)</f>
        <v>138</v>
      </c>
      <c r="E21" s="63">
        <f t="shared" si="2"/>
        <v>150</v>
      </c>
      <c r="F21" s="63">
        <f t="shared" si="2"/>
        <v>383</v>
      </c>
      <c r="G21" s="63">
        <f t="shared" si="2"/>
        <v>671</v>
      </c>
      <c r="I21" s="4"/>
      <c r="J21" s="5"/>
      <c r="K21" s="5"/>
      <c r="L21" s="6"/>
    </row>
    <row r="22" ht="9.75" customHeight="1"/>
    <row r="23" ht="15.75" hidden="1" customHeight="1">
      <c r="D23" s="65">
        <v>1.0</v>
      </c>
      <c r="E23" s="65">
        <v>2.0</v>
      </c>
      <c r="F23" s="65">
        <v>3.0</v>
      </c>
    </row>
    <row r="24" ht="24.75" customHeight="1">
      <c r="A24" s="19" t="s">
        <v>101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</row>
    <row r="25" ht="18.75" customHeight="1">
      <c r="A25" s="67" t="s">
        <v>103</v>
      </c>
      <c r="B25" s="2"/>
      <c r="C25" s="3"/>
      <c r="D25" s="18" t="s">
        <v>104</v>
      </c>
    </row>
    <row r="26" ht="18.75" customHeight="1">
      <c r="A26" s="4"/>
      <c r="B26" s="5"/>
      <c r="C26" s="6"/>
    </row>
    <row r="27" ht="18.75" customHeight="1">
      <c r="A27" s="67" t="s">
        <v>106</v>
      </c>
      <c r="B27" s="2"/>
      <c r="C27" s="3"/>
      <c r="D27" s="69" t="s">
        <v>108</v>
      </c>
    </row>
    <row r="28" ht="18.75" customHeight="1">
      <c r="A28" s="4"/>
      <c r="B28" s="5"/>
      <c r="C28" s="6"/>
    </row>
    <row r="29" ht="18.75" customHeight="1">
      <c r="A29" s="67" t="s">
        <v>113</v>
      </c>
      <c r="B29" s="2"/>
      <c r="C29" s="3"/>
      <c r="D29" s="18" t="s">
        <v>116</v>
      </c>
    </row>
    <row r="30" ht="18.75" customHeight="1">
      <c r="A30" s="4"/>
      <c r="B30" s="5"/>
      <c r="C30" s="6"/>
    </row>
    <row r="31" ht="18.75" customHeight="1">
      <c r="A31" s="67" t="s">
        <v>121</v>
      </c>
      <c r="B31" s="2"/>
      <c r="C31" s="3"/>
      <c r="D31" s="18" t="s">
        <v>123</v>
      </c>
    </row>
    <row r="32" ht="18.75" customHeight="1">
      <c r="A32" s="4"/>
      <c r="B32" s="5"/>
      <c r="C32" s="6"/>
    </row>
    <row r="33" ht="18.75" customHeight="1">
      <c r="A33" s="67" t="s">
        <v>127</v>
      </c>
      <c r="B33" s="2"/>
      <c r="C33" s="3"/>
      <c r="D33" s="18" t="s">
        <v>129</v>
      </c>
    </row>
    <row r="34" ht="18.75" customHeight="1">
      <c r="A34" s="4"/>
      <c r="B34" s="5"/>
      <c r="C34" s="6"/>
    </row>
    <row r="35" ht="18.75" customHeight="1">
      <c r="A35" s="72" t="s">
        <v>132</v>
      </c>
      <c r="B35" s="2"/>
      <c r="C35" s="3"/>
      <c r="D35" s="74" t="s">
        <v>137</v>
      </c>
      <c r="E35" s="2"/>
      <c r="F35" s="2"/>
      <c r="G35" s="2"/>
      <c r="H35" s="2"/>
      <c r="I35" s="2"/>
      <c r="J35" s="2"/>
      <c r="K35" s="2"/>
      <c r="L35" s="3"/>
    </row>
    <row r="36" ht="18.75" customHeight="1">
      <c r="A36" s="4"/>
      <c r="B36" s="5"/>
      <c r="C36" s="6"/>
      <c r="D36" s="4"/>
      <c r="E36" s="5"/>
      <c r="F36" s="5"/>
      <c r="G36" s="5"/>
      <c r="H36" s="5"/>
      <c r="I36" s="5"/>
      <c r="J36" s="5"/>
      <c r="K36" s="5"/>
      <c r="L36" s="6"/>
    </row>
    <row r="37" ht="15.75" customHeight="1"/>
    <row r="38" ht="25.5" customHeight="1">
      <c r="A38" s="28" t="s">
        <v>143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</row>
    <row r="39" ht="39.75" customHeight="1">
      <c r="A39" s="13" t="s">
        <v>147</v>
      </c>
    </row>
    <row r="40" ht="15.75" customHeight="1"/>
    <row r="41" ht="27.0" customHeight="1">
      <c r="A41" s="78" t="s">
        <v>10</v>
      </c>
      <c r="B41" s="10"/>
      <c r="C41" s="11"/>
      <c r="D41" s="78" t="s">
        <v>11</v>
      </c>
      <c r="E41" s="10"/>
      <c r="F41" s="11"/>
      <c r="G41" s="80" t="s">
        <v>12</v>
      </c>
      <c r="H41" s="10"/>
      <c r="I41" s="11"/>
      <c r="J41" s="80" t="s">
        <v>13</v>
      </c>
      <c r="K41" s="10"/>
      <c r="L41" s="11"/>
    </row>
    <row r="42" ht="15.75" customHeight="1">
      <c r="A42" s="85">
        <f>'Colour Guide'!A7</f>
        <v>735</v>
      </c>
      <c r="B42" s="2"/>
      <c r="C42" s="3"/>
      <c r="D42" s="85">
        <f>'Colour Guide'!D7</f>
        <v>567</v>
      </c>
      <c r="E42" s="2"/>
      <c r="F42" s="3"/>
      <c r="G42" s="89">
        <f>'Colour Guide'!G7</f>
        <v>8</v>
      </c>
      <c r="H42" s="2"/>
      <c r="I42" s="3"/>
      <c r="J42" s="89">
        <f>'Colour Guide'!J7</f>
        <v>160</v>
      </c>
      <c r="K42" s="2"/>
      <c r="L42" s="3"/>
    </row>
    <row r="43" ht="15.75" customHeight="1">
      <c r="A43" s="4"/>
      <c r="B43" s="5"/>
      <c r="C43" s="6"/>
      <c r="D43" s="4"/>
      <c r="E43" s="5"/>
      <c r="F43" s="6"/>
      <c r="G43" s="4"/>
      <c r="H43" s="5"/>
      <c r="I43" s="6"/>
      <c r="J43" s="4"/>
      <c r="K43" s="5"/>
      <c r="L43" s="6"/>
    </row>
    <row r="44" ht="15.75" customHeight="1"/>
    <row r="45" ht="39.75" customHeight="1">
      <c r="A45" s="27" t="s">
        <v>171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</row>
    <row r="46" ht="15.75" customHeight="1"/>
    <row r="47" ht="24.75" customHeight="1">
      <c r="A47" s="14" t="s">
        <v>174</v>
      </c>
    </row>
    <row r="48" ht="24.75" customHeight="1">
      <c r="A48" s="14" t="s">
        <v>175</v>
      </c>
    </row>
    <row r="49" ht="24.75" customHeight="1">
      <c r="A49" s="14" t="s">
        <v>177</v>
      </c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A25:C26"/>
    <mergeCell ref="D25:L26"/>
    <mergeCell ref="A27:C28"/>
    <mergeCell ref="D27:L28"/>
    <mergeCell ref="A29:C30"/>
    <mergeCell ref="D29:L30"/>
    <mergeCell ref="D31:L32"/>
    <mergeCell ref="D33:L34"/>
    <mergeCell ref="D35:L36"/>
    <mergeCell ref="A38:L38"/>
    <mergeCell ref="A39:L39"/>
    <mergeCell ref="D41:F41"/>
    <mergeCell ref="G41:I41"/>
    <mergeCell ref="J41:L41"/>
    <mergeCell ref="A1:L2"/>
    <mergeCell ref="A3:L3"/>
    <mergeCell ref="A4:L4"/>
    <mergeCell ref="A6:C6"/>
    <mergeCell ref="D6:F6"/>
    <mergeCell ref="G6:I6"/>
    <mergeCell ref="J6:L6"/>
    <mergeCell ref="I11:L11"/>
    <mergeCell ref="I12:K12"/>
    <mergeCell ref="I18:L19"/>
    <mergeCell ref="I20:L21"/>
    <mergeCell ref="A7:C8"/>
    <mergeCell ref="D7:F8"/>
    <mergeCell ref="G7:I8"/>
    <mergeCell ref="J7:L8"/>
    <mergeCell ref="A10:L10"/>
    <mergeCell ref="A11:G11"/>
    <mergeCell ref="A12:C12"/>
    <mergeCell ref="A13:C13"/>
    <mergeCell ref="I13:K13"/>
    <mergeCell ref="A14:C14"/>
    <mergeCell ref="I14:K14"/>
    <mergeCell ref="A15:C15"/>
    <mergeCell ref="I15:K15"/>
    <mergeCell ref="I16:K16"/>
    <mergeCell ref="A16:C16"/>
    <mergeCell ref="A17:C17"/>
    <mergeCell ref="A18:C18"/>
    <mergeCell ref="A19:C19"/>
    <mergeCell ref="A20:C20"/>
    <mergeCell ref="A21:C21"/>
    <mergeCell ref="A24:L24"/>
    <mergeCell ref="A31:C32"/>
    <mergeCell ref="A33:C34"/>
    <mergeCell ref="A35:C36"/>
    <mergeCell ref="A41:C41"/>
    <mergeCell ref="A42:C43"/>
    <mergeCell ref="D42:F43"/>
    <mergeCell ref="G42:I43"/>
    <mergeCell ref="J42:L43"/>
    <mergeCell ref="A45:L45"/>
    <mergeCell ref="A47:L47"/>
    <mergeCell ref="A48:L48"/>
    <mergeCell ref="A49:L49"/>
  </mergeCells>
  <hyperlinks>
    <hyperlink r:id="rId1" location="'England'!A1" ref="A13"/>
    <hyperlink r:id="rId2" location="'UEFA'!A1" ref="I13"/>
    <hyperlink r:id="rId3" location="'Spain'!A1" ref="A14"/>
    <hyperlink r:id="rId4" location="'UEFA'!A1" ref="I14"/>
    <hyperlink r:id="rId5" location="'Italy'!A1" ref="A15"/>
    <hyperlink r:id="rId6" location="'UEFA'!A1" ref="I15"/>
    <hyperlink r:id="rId7" location="'Germany'!A1" ref="A16"/>
    <hyperlink r:id="rId8" location="'France'!A1" ref="A17"/>
    <hyperlink r:id="rId9" location="'Romania'!A1" ref="A18"/>
    <hyperlink r:id="rId10" location="'Competitions'!A1" ref="I18"/>
    <hyperlink r:id="rId11" location="'Greece'!A1" ref="A19"/>
    <hyperlink r:id="rId12" location="'Finland'!A1" ref="A20"/>
    <hyperlink r:id="rId13" location="'Sources'!A1" ref="I20"/>
    <hyperlink r:id="rId14" location="'Club Colours'!A1" ref="A47"/>
    <hyperlink r:id="rId15" location="'Colour Guide'!A1" ref="A48"/>
    <hyperlink r:id="rId16" location="'Colour Sources'!A1" ref="A49"/>
  </hyperlinks>
  <printOptions/>
  <pageMargins bottom="0.4" footer="0.0" header="0.0" left="0.25" right="0.25" top="0.4"/>
  <pageSetup paperSize="8" orientation="landscape"/>
  <headerFooter>
    <oddFooter>&amp;LFootball teams | 11 Sep 2026&amp;RPage &amp;P of </oddFooter>
  </headerFooter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pageSetUpPr fitToPage="1"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4" width="19.0"/>
    <col customWidth="1" min="5" max="6" width="18.0"/>
    <col customWidth="1" min="7" max="7" width="24.0"/>
    <col customWidth="1" min="8" max="8" width="36.0"/>
    <col customWidth="1" min="9" max="9" width="16.0"/>
    <col customWidth="1" min="10" max="10" width="85.0"/>
    <col customWidth="1" min="11" max="11" width="16.0"/>
    <col customWidth="1" min="12" max="12" width="100.0"/>
    <col customWidth="1" min="13" max="26" width="8.71"/>
  </cols>
  <sheetData>
    <row r="1" ht="22.5" customHeight="1">
      <c r="A1" s="24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30.0" customHeight="1">
      <c r="A3" s="13" t="s">
        <v>26</v>
      </c>
    </row>
    <row r="4" ht="24.75" customHeight="1">
      <c r="A4" s="14" t="s">
        <v>27</v>
      </c>
    </row>
    <row r="5" ht="9.0" customHeight="1"/>
    <row r="6" ht="36.75" customHeight="1">
      <c r="A6" s="30" t="s">
        <v>29</v>
      </c>
      <c r="B6" s="30" t="s">
        <v>31</v>
      </c>
      <c r="C6" s="30" t="s">
        <v>33</v>
      </c>
      <c r="D6" s="30" t="s">
        <v>38</v>
      </c>
      <c r="E6" s="30" t="s">
        <v>40</v>
      </c>
      <c r="F6" s="30" t="s">
        <v>41</v>
      </c>
      <c r="G6" s="30" t="s">
        <v>42</v>
      </c>
      <c r="H6" s="30" t="s">
        <v>43</v>
      </c>
      <c r="I6" s="30" t="s">
        <v>44</v>
      </c>
      <c r="J6" s="30" t="s">
        <v>45</v>
      </c>
      <c r="K6" s="30" t="s">
        <v>46</v>
      </c>
      <c r="L6" s="30" t="s">
        <v>47</v>
      </c>
    </row>
    <row r="7" ht="34.5" customHeight="1">
      <c r="A7" s="36" t="s">
        <v>48</v>
      </c>
      <c r="B7" s="37" t="s">
        <v>24</v>
      </c>
      <c r="C7" s="39" t="s">
        <v>50</v>
      </c>
      <c r="D7" s="41" t="s">
        <v>52</v>
      </c>
      <c r="E7" s="42" t="s">
        <v>53</v>
      </c>
      <c r="F7" s="42" t="s">
        <v>54</v>
      </c>
      <c r="G7" s="43" t="s">
        <v>55</v>
      </c>
      <c r="H7" s="36" t="s">
        <v>56</v>
      </c>
      <c r="I7" s="44" t="s">
        <v>57</v>
      </c>
      <c r="J7" s="45" t="s">
        <v>59</v>
      </c>
      <c r="K7" s="44"/>
      <c r="L7" s="44"/>
    </row>
    <row r="8" ht="34.5" customHeight="1">
      <c r="A8" s="46" t="s">
        <v>61</v>
      </c>
      <c r="B8" s="47" t="s">
        <v>24</v>
      </c>
      <c r="C8" s="49" t="s">
        <v>63</v>
      </c>
      <c r="D8" s="50" t="s">
        <v>64</v>
      </c>
      <c r="E8" s="52" t="s">
        <v>65</v>
      </c>
      <c r="F8" s="52" t="s">
        <v>67</v>
      </c>
      <c r="G8" s="43" t="s">
        <v>55</v>
      </c>
      <c r="H8" s="53" t="s">
        <v>68</v>
      </c>
      <c r="I8" s="54" t="s">
        <v>69</v>
      </c>
      <c r="J8" s="55" t="s">
        <v>70</v>
      </c>
      <c r="K8" s="54" t="s">
        <v>73</v>
      </c>
      <c r="L8" s="54" t="s">
        <v>74</v>
      </c>
    </row>
    <row r="9" ht="34.5" customHeight="1">
      <c r="A9" s="36" t="s">
        <v>75</v>
      </c>
      <c r="B9" s="37" t="s">
        <v>24</v>
      </c>
      <c r="C9" s="56" t="s">
        <v>76</v>
      </c>
      <c r="D9" s="57" t="s">
        <v>78</v>
      </c>
      <c r="E9" s="42" t="s">
        <v>79</v>
      </c>
      <c r="F9" s="42" t="s">
        <v>81</v>
      </c>
      <c r="G9" s="43" t="s">
        <v>55</v>
      </c>
      <c r="H9" s="59" t="s">
        <v>68</v>
      </c>
      <c r="I9" s="44" t="s">
        <v>69</v>
      </c>
      <c r="J9" s="45" t="s">
        <v>70</v>
      </c>
      <c r="K9" s="44" t="s">
        <v>73</v>
      </c>
      <c r="L9" s="44" t="s">
        <v>74</v>
      </c>
    </row>
    <row r="10" ht="34.5" customHeight="1">
      <c r="A10" s="46" t="s">
        <v>86</v>
      </c>
      <c r="B10" s="47" t="s">
        <v>24</v>
      </c>
      <c r="C10" s="49" t="s">
        <v>63</v>
      </c>
      <c r="D10" s="50" t="s">
        <v>64</v>
      </c>
      <c r="E10" s="52" t="s">
        <v>65</v>
      </c>
      <c r="F10" s="52" t="s">
        <v>67</v>
      </c>
      <c r="G10" s="43" t="s">
        <v>55</v>
      </c>
      <c r="H10" s="53" t="s">
        <v>68</v>
      </c>
      <c r="I10" s="54" t="s">
        <v>69</v>
      </c>
      <c r="J10" s="55" t="s">
        <v>70</v>
      </c>
      <c r="K10" s="54" t="s">
        <v>73</v>
      </c>
      <c r="L10" s="54" t="s">
        <v>74</v>
      </c>
    </row>
    <row r="11" ht="34.5" customHeight="1">
      <c r="A11" s="36" t="s">
        <v>89</v>
      </c>
      <c r="B11" s="37" t="s">
        <v>24</v>
      </c>
      <c r="C11" s="62" t="s">
        <v>92</v>
      </c>
      <c r="D11" s="50" t="s">
        <v>64</v>
      </c>
      <c r="E11" s="42" t="s">
        <v>97</v>
      </c>
      <c r="F11" s="42" t="s">
        <v>67</v>
      </c>
      <c r="G11" s="43" t="s">
        <v>55</v>
      </c>
      <c r="H11" s="59" t="s">
        <v>68</v>
      </c>
      <c r="I11" s="44" t="s">
        <v>69</v>
      </c>
      <c r="J11" s="45" t="s">
        <v>70</v>
      </c>
      <c r="K11" s="44" t="s">
        <v>73</v>
      </c>
      <c r="L11" s="44" t="s">
        <v>74</v>
      </c>
    </row>
    <row r="12" ht="34.5" customHeight="1">
      <c r="A12" s="46" t="s">
        <v>102</v>
      </c>
      <c r="B12" s="47" t="s">
        <v>24</v>
      </c>
      <c r="C12" s="62" t="s">
        <v>92</v>
      </c>
      <c r="D12" s="50" t="s">
        <v>64</v>
      </c>
      <c r="E12" s="52" t="s">
        <v>97</v>
      </c>
      <c r="F12" s="52" t="s">
        <v>67</v>
      </c>
      <c r="G12" s="43" t="s">
        <v>55</v>
      </c>
      <c r="H12" s="53" t="s">
        <v>68</v>
      </c>
      <c r="I12" s="54" t="s">
        <v>69</v>
      </c>
      <c r="J12" s="55" t="s">
        <v>70</v>
      </c>
      <c r="K12" s="54" t="s">
        <v>73</v>
      </c>
      <c r="L12" s="54" t="s">
        <v>74</v>
      </c>
    </row>
    <row r="13" ht="34.5" customHeight="1">
      <c r="A13" s="36" t="s">
        <v>118</v>
      </c>
      <c r="B13" s="37" t="s">
        <v>24</v>
      </c>
      <c r="C13" s="71" t="s">
        <v>124</v>
      </c>
      <c r="D13" s="50" t="s">
        <v>64</v>
      </c>
      <c r="E13" s="42" t="s">
        <v>134</v>
      </c>
      <c r="F13" s="42" t="s">
        <v>67</v>
      </c>
      <c r="G13" s="43" t="s">
        <v>55</v>
      </c>
      <c r="H13" s="59" t="s">
        <v>68</v>
      </c>
      <c r="I13" s="44" t="s">
        <v>69</v>
      </c>
      <c r="J13" s="45" t="s">
        <v>70</v>
      </c>
      <c r="K13" s="44" t="s">
        <v>73</v>
      </c>
      <c r="L13" s="44" t="s">
        <v>74</v>
      </c>
    </row>
    <row r="14" ht="34.5" customHeight="1">
      <c r="A14" s="46" t="s">
        <v>145</v>
      </c>
      <c r="B14" s="47" t="s">
        <v>24</v>
      </c>
      <c r="C14" s="50" t="s">
        <v>64</v>
      </c>
      <c r="D14" s="79" t="s">
        <v>150</v>
      </c>
      <c r="E14" s="52" t="s">
        <v>67</v>
      </c>
      <c r="F14" s="52" t="s">
        <v>153</v>
      </c>
      <c r="G14" s="43" t="s">
        <v>55</v>
      </c>
      <c r="H14" s="46" t="s">
        <v>56</v>
      </c>
      <c r="I14" s="54" t="s">
        <v>156</v>
      </c>
      <c r="J14" s="55" t="s">
        <v>157</v>
      </c>
      <c r="K14" s="54"/>
      <c r="L14" s="54" t="s">
        <v>160</v>
      </c>
    </row>
    <row r="15" ht="34.5" customHeight="1">
      <c r="A15" s="36" t="s">
        <v>161</v>
      </c>
      <c r="B15" s="37" t="s">
        <v>24</v>
      </c>
      <c r="C15" s="49" t="s">
        <v>63</v>
      </c>
      <c r="D15" s="86" t="s">
        <v>164</v>
      </c>
      <c r="E15" s="42" t="s">
        <v>65</v>
      </c>
      <c r="F15" s="42" t="s">
        <v>165</v>
      </c>
      <c r="G15" s="43" t="s">
        <v>55</v>
      </c>
      <c r="H15" s="36" t="s">
        <v>56</v>
      </c>
      <c r="I15" s="44" t="s">
        <v>167</v>
      </c>
      <c r="J15" s="45" t="s">
        <v>168</v>
      </c>
      <c r="K15" s="44"/>
      <c r="L15" s="44"/>
    </row>
    <row r="16" ht="34.5" customHeight="1">
      <c r="A16" s="46" t="s">
        <v>169</v>
      </c>
      <c r="B16" s="47" t="s">
        <v>24</v>
      </c>
      <c r="C16" s="56" t="s">
        <v>76</v>
      </c>
      <c r="D16" s="92" t="s">
        <v>159</v>
      </c>
      <c r="E16" s="52" t="s">
        <v>79</v>
      </c>
      <c r="F16" s="52" t="s">
        <v>162</v>
      </c>
      <c r="G16" s="43" t="s">
        <v>55</v>
      </c>
      <c r="H16" s="53" t="s">
        <v>68</v>
      </c>
      <c r="I16" s="54" t="s">
        <v>69</v>
      </c>
      <c r="J16" s="55" t="s">
        <v>70</v>
      </c>
      <c r="K16" s="54" t="s">
        <v>73</v>
      </c>
      <c r="L16" s="54" t="s">
        <v>74</v>
      </c>
    </row>
    <row r="17" ht="34.5" customHeight="1">
      <c r="A17" s="36" t="s">
        <v>181</v>
      </c>
      <c r="B17" s="37" t="s">
        <v>24</v>
      </c>
      <c r="C17" s="49" t="s">
        <v>63</v>
      </c>
      <c r="D17" s="50" t="s">
        <v>64</v>
      </c>
      <c r="E17" s="42" t="s">
        <v>65</v>
      </c>
      <c r="F17" s="42" t="s">
        <v>67</v>
      </c>
      <c r="G17" s="43" t="s">
        <v>55</v>
      </c>
      <c r="H17" s="36" t="s">
        <v>56</v>
      </c>
      <c r="I17" s="44" t="s">
        <v>183</v>
      </c>
      <c r="J17" s="45" t="s">
        <v>185</v>
      </c>
      <c r="K17" s="44"/>
      <c r="L17" s="44" t="s">
        <v>186</v>
      </c>
    </row>
    <row r="18" ht="34.5" customHeight="1">
      <c r="A18" s="46" t="s">
        <v>188</v>
      </c>
      <c r="B18" s="47" t="s">
        <v>24</v>
      </c>
      <c r="C18" s="62" t="s">
        <v>92</v>
      </c>
      <c r="D18" s="50" t="s">
        <v>64</v>
      </c>
      <c r="E18" s="52" t="s">
        <v>97</v>
      </c>
      <c r="F18" s="52" t="s">
        <v>67</v>
      </c>
      <c r="G18" s="43" t="s">
        <v>55</v>
      </c>
      <c r="H18" s="53" t="s">
        <v>68</v>
      </c>
      <c r="I18" s="54" t="s">
        <v>69</v>
      </c>
      <c r="J18" s="55" t="s">
        <v>70</v>
      </c>
      <c r="K18" s="54" t="s">
        <v>73</v>
      </c>
      <c r="L18" s="54" t="s">
        <v>74</v>
      </c>
    </row>
    <row r="19" ht="34.5" customHeight="1">
      <c r="A19" s="36" t="s">
        <v>194</v>
      </c>
      <c r="B19" s="37" t="s">
        <v>24</v>
      </c>
      <c r="C19" s="49" t="s">
        <v>63</v>
      </c>
      <c r="D19" s="50" t="s">
        <v>64</v>
      </c>
      <c r="E19" s="42" t="s">
        <v>65</v>
      </c>
      <c r="F19" s="42" t="s">
        <v>67</v>
      </c>
      <c r="G19" s="43" t="s">
        <v>55</v>
      </c>
      <c r="H19" s="59" t="s">
        <v>68</v>
      </c>
      <c r="I19" s="44" t="s">
        <v>69</v>
      </c>
      <c r="J19" s="45" t="s">
        <v>70</v>
      </c>
      <c r="K19" s="44" t="s">
        <v>73</v>
      </c>
      <c r="L19" s="44" t="s">
        <v>74</v>
      </c>
    </row>
    <row r="20" ht="39.75" customHeight="1">
      <c r="A20" s="46" t="s">
        <v>207</v>
      </c>
      <c r="B20" s="47" t="s">
        <v>24</v>
      </c>
      <c r="C20" s="50" t="s">
        <v>64</v>
      </c>
      <c r="D20" s="86" t="s">
        <v>164</v>
      </c>
      <c r="E20" s="52" t="s">
        <v>67</v>
      </c>
      <c r="F20" s="52" t="s">
        <v>165</v>
      </c>
      <c r="G20" s="43" t="s">
        <v>55</v>
      </c>
      <c r="H20" s="46" t="s">
        <v>191</v>
      </c>
      <c r="I20" s="54" t="s">
        <v>214</v>
      </c>
      <c r="J20" s="55" t="s">
        <v>215</v>
      </c>
      <c r="K20" s="54"/>
      <c r="L20" s="54" t="s">
        <v>216</v>
      </c>
    </row>
    <row r="21" ht="34.5" customHeight="1">
      <c r="A21" s="36" t="s">
        <v>217</v>
      </c>
      <c r="B21" s="37" t="s">
        <v>24</v>
      </c>
      <c r="C21" s="56" t="s">
        <v>76</v>
      </c>
      <c r="D21" s="57" t="s">
        <v>78</v>
      </c>
      <c r="E21" s="42" t="s">
        <v>79</v>
      </c>
      <c r="F21" s="42" t="s">
        <v>81</v>
      </c>
      <c r="G21" s="43" t="s">
        <v>55</v>
      </c>
      <c r="H21" s="59" t="s">
        <v>68</v>
      </c>
      <c r="I21" s="44" t="s">
        <v>69</v>
      </c>
      <c r="J21" s="45" t="s">
        <v>70</v>
      </c>
      <c r="K21" s="44" t="s">
        <v>73</v>
      </c>
      <c r="L21" s="44" t="s">
        <v>74</v>
      </c>
    </row>
    <row r="22" ht="34.5" customHeight="1">
      <c r="A22" s="46" t="s">
        <v>220</v>
      </c>
      <c r="B22" s="47" t="s">
        <v>24</v>
      </c>
      <c r="C22" s="41" t="s">
        <v>52</v>
      </c>
      <c r="D22" s="86" t="s">
        <v>164</v>
      </c>
      <c r="E22" s="52" t="s">
        <v>54</v>
      </c>
      <c r="F22" s="52" t="s">
        <v>165</v>
      </c>
      <c r="G22" s="43" t="s">
        <v>55</v>
      </c>
      <c r="H22" s="46" t="s">
        <v>56</v>
      </c>
      <c r="I22" s="54" t="s">
        <v>221</v>
      </c>
      <c r="J22" s="55" t="s">
        <v>222</v>
      </c>
      <c r="K22" s="54"/>
      <c r="L22" s="54"/>
    </row>
    <row r="23" ht="34.5" customHeight="1">
      <c r="A23" s="36" t="s">
        <v>223</v>
      </c>
      <c r="B23" s="37" t="s">
        <v>24</v>
      </c>
      <c r="C23" s="92" t="s">
        <v>159</v>
      </c>
      <c r="D23" s="86" t="s">
        <v>164</v>
      </c>
      <c r="E23" s="42" t="s">
        <v>162</v>
      </c>
      <c r="F23" s="42" t="s">
        <v>165</v>
      </c>
      <c r="G23" s="43" t="s">
        <v>55</v>
      </c>
      <c r="H23" s="36" t="s">
        <v>56</v>
      </c>
      <c r="I23" s="44" t="s">
        <v>224</v>
      </c>
      <c r="J23" s="45" t="s">
        <v>225</v>
      </c>
      <c r="K23" s="44"/>
      <c r="L23" s="44"/>
    </row>
    <row r="24" ht="34.5" customHeight="1">
      <c r="A24" s="46" t="s">
        <v>226</v>
      </c>
      <c r="B24" s="47" t="s">
        <v>24</v>
      </c>
      <c r="C24" s="62" t="s">
        <v>92</v>
      </c>
      <c r="D24" s="50" t="s">
        <v>64</v>
      </c>
      <c r="E24" s="52" t="s">
        <v>97</v>
      </c>
      <c r="F24" s="52" t="s">
        <v>67</v>
      </c>
      <c r="G24" s="43" t="s">
        <v>55</v>
      </c>
      <c r="H24" s="53" t="s">
        <v>68</v>
      </c>
      <c r="I24" s="54" t="s">
        <v>69</v>
      </c>
      <c r="J24" s="55" t="s">
        <v>70</v>
      </c>
      <c r="K24" s="54" t="s">
        <v>73</v>
      </c>
      <c r="L24" s="54" t="s">
        <v>74</v>
      </c>
    </row>
    <row r="25" ht="34.5" customHeight="1">
      <c r="A25" s="36" t="s">
        <v>228</v>
      </c>
      <c r="B25" s="37" t="s">
        <v>24</v>
      </c>
      <c r="C25" s="49" t="s">
        <v>63</v>
      </c>
      <c r="D25" s="50" t="s">
        <v>64</v>
      </c>
      <c r="E25" s="42" t="s">
        <v>65</v>
      </c>
      <c r="F25" s="42" t="s">
        <v>67</v>
      </c>
      <c r="G25" s="43" t="s">
        <v>55</v>
      </c>
      <c r="H25" s="59" t="s">
        <v>68</v>
      </c>
      <c r="I25" s="44" t="s">
        <v>69</v>
      </c>
      <c r="J25" s="45" t="s">
        <v>70</v>
      </c>
      <c r="K25" s="44" t="s">
        <v>73</v>
      </c>
      <c r="L25" s="44" t="s">
        <v>74</v>
      </c>
    </row>
    <row r="26" ht="34.5" customHeight="1">
      <c r="A26" s="46" t="s">
        <v>227</v>
      </c>
      <c r="B26" s="47" t="s">
        <v>24</v>
      </c>
      <c r="C26" s="62" t="s">
        <v>92</v>
      </c>
      <c r="D26" s="50" t="s">
        <v>64</v>
      </c>
      <c r="E26" s="52" t="s">
        <v>97</v>
      </c>
      <c r="F26" s="52" t="s">
        <v>67</v>
      </c>
      <c r="G26" s="43" t="s">
        <v>55</v>
      </c>
      <c r="H26" s="53" t="s">
        <v>68</v>
      </c>
      <c r="I26" s="54" t="s">
        <v>69</v>
      </c>
      <c r="J26" s="55" t="s">
        <v>70</v>
      </c>
      <c r="K26" s="54" t="s">
        <v>73</v>
      </c>
      <c r="L26" s="54" t="s">
        <v>74</v>
      </c>
    </row>
    <row r="27" ht="34.5" customHeight="1">
      <c r="A27" s="36" t="s">
        <v>229</v>
      </c>
      <c r="B27" s="37" t="s">
        <v>24</v>
      </c>
      <c r="C27" s="57" t="s">
        <v>78</v>
      </c>
      <c r="D27" s="50" t="s">
        <v>64</v>
      </c>
      <c r="E27" s="42" t="s">
        <v>81</v>
      </c>
      <c r="F27" s="42" t="s">
        <v>67</v>
      </c>
      <c r="G27" s="43" t="s">
        <v>55</v>
      </c>
      <c r="H27" s="36" t="s">
        <v>56</v>
      </c>
      <c r="I27" s="44" t="s">
        <v>233</v>
      </c>
      <c r="J27" s="45" t="s">
        <v>230</v>
      </c>
      <c r="K27" s="44"/>
      <c r="L27" s="44" t="s">
        <v>231</v>
      </c>
    </row>
    <row r="28" ht="34.5" customHeight="1">
      <c r="A28" s="46" t="s">
        <v>232</v>
      </c>
      <c r="B28" s="47" t="s">
        <v>24</v>
      </c>
      <c r="C28" s="49" t="s">
        <v>63</v>
      </c>
      <c r="D28" s="62" t="s">
        <v>92</v>
      </c>
      <c r="E28" s="52" t="s">
        <v>65</v>
      </c>
      <c r="F28" s="52" t="s">
        <v>97</v>
      </c>
      <c r="G28" s="43" t="s">
        <v>55</v>
      </c>
      <c r="H28" s="53" t="s">
        <v>68</v>
      </c>
      <c r="I28" s="54" t="s">
        <v>69</v>
      </c>
      <c r="J28" s="55" t="s">
        <v>70</v>
      </c>
      <c r="K28" s="54" t="s">
        <v>73</v>
      </c>
      <c r="L28" s="54" t="s">
        <v>74</v>
      </c>
    </row>
    <row r="29" ht="34.5" customHeight="1">
      <c r="A29" s="36" t="s">
        <v>236</v>
      </c>
      <c r="B29" s="37" t="s">
        <v>24</v>
      </c>
      <c r="C29" s="50" t="s">
        <v>64</v>
      </c>
      <c r="D29" s="86" t="s">
        <v>164</v>
      </c>
      <c r="E29" s="42" t="s">
        <v>67</v>
      </c>
      <c r="F29" s="42" t="s">
        <v>165</v>
      </c>
      <c r="G29" s="43" t="s">
        <v>55</v>
      </c>
      <c r="H29" s="59" t="s">
        <v>68</v>
      </c>
      <c r="I29" s="44" t="s">
        <v>69</v>
      </c>
      <c r="J29" s="45" t="s">
        <v>70</v>
      </c>
      <c r="K29" s="44" t="s">
        <v>73</v>
      </c>
      <c r="L29" s="44" t="s">
        <v>74</v>
      </c>
    </row>
    <row r="30" ht="34.5" customHeight="1">
      <c r="A30" s="46" t="s">
        <v>238</v>
      </c>
      <c r="B30" s="47" t="s">
        <v>24</v>
      </c>
      <c r="C30" s="49" t="s">
        <v>63</v>
      </c>
      <c r="D30" s="50" t="s">
        <v>64</v>
      </c>
      <c r="E30" s="52" t="s">
        <v>65</v>
      </c>
      <c r="F30" s="52" t="s">
        <v>67</v>
      </c>
      <c r="G30" s="43" t="s">
        <v>55</v>
      </c>
      <c r="H30" s="53" t="s">
        <v>68</v>
      </c>
      <c r="I30" s="54" t="s">
        <v>69</v>
      </c>
      <c r="J30" s="55" t="s">
        <v>70</v>
      </c>
      <c r="K30" s="54" t="s">
        <v>73</v>
      </c>
      <c r="L30" s="54" t="s">
        <v>74</v>
      </c>
    </row>
    <row r="31" ht="34.5" customHeight="1">
      <c r="A31" s="36" t="s">
        <v>235</v>
      </c>
      <c r="B31" s="37" t="s">
        <v>24</v>
      </c>
      <c r="C31" s="62" t="s">
        <v>92</v>
      </c>
      <c r="D31" s="50" t="s">
        <v>64</v>
      </c>
      <c r="E31" s="42" t="s">
        <v>97</v>
      </c>
      <c r="F31" s="42" t="s">
        <v>67</v>
      </c>
      <c r="G31" s="43" t="s">
        <v>55</v>
      </c>
      <c r="H31" s="59" t="s">
        <v>68</v>
      </c>
      <c r="I31" s="44" t="s">
        <v>69</v>
      </c>
      <c r="J31" s="45" t="s">
        <v>70</v>
      </c>
      <c r="K31" s="44" t="s">
        <v>73</v>
      </c>
      <c r="L31" s="44" t="s">
        <v>74</v>
      </c>
    </row>
    <row r="32" ht="34.5" customHeight="1">
      <c r="A32" s="46" t="s">
        <v>239</v>
      </c>
      <c r="B32" s="47" t="s">
        <v>24</v>
      </c>
      <c r="C32" s="50" t="s">
        <v>64</v>
      </c>
      <c r="D32" s="86" t="s">
        <v>164</v>
      </c>
      <c r="E32" s="52" t="s">
        <v>67</v>
      </c>
      <c r="F32" s="52" t="s">
        <v>165</v>
      </c>
      <c r="G32" s="43" t="s">
        <v>55</v>
      </c>
      <c r="H32" s="53" t="s">
        <v>68</v>
      </c>
      <c r="I32" s="54" t="s">
        <v>69</v>
      </c>
      <c r="J32" s="55" t="s">
        <v>70</v>
      </c>
      <c r="K32" s="54" t="s">
        <v>73</v>
      </c>
      <c r="L32" s="54" t="s">
        <v>74</v>
      </c>
    </row>
    <row r="33" ht="34.5" customHeight="1">
      <c r="A33" s="36" t="s">
        <v>245</v>
      </c>
      <c r="B33" s="37" t="s">
        <v>24</v>
      </c>
      <c r="C33" s="62" t="s">
        <v>92</v>
      </c>
      <c r="D33" s="50" t="s">
        <v>64</v>
      </c>
      <c r="E33" s="42" t="s">
        <v>97</v>
      </c>
      <c r="F33" s="42" t="s">
        <v>67</v>
      </c>
      <c r="G33" s="43" t="s">
        <v>55</v>
      </c>
      <c r="H33" s="59" t="s">
        <v>68</v>
      </c>
      <c r="I33" s="44" t="s">
        <v>69</v>
      </c>
      <c r="J33" s="45" t="s">
        <v>70</v>
      </c>
      <c r="K33" s="44" t="s">
        <v>73</v>
      </c>
      <c r="L33" s="44" t="s">
        <v>74</v>
      </c>
    </row>
    <row r="34" ht="34.5" customHeight="1">
      <c r="A34" s="46" t="s">
        <v>244</v>
      </c>
      <c r="B34" s="47" t="s">
        <v>24</v>
      </c>
      <c r="C34" s="92" t="s">
        <v>159</v>
      </c>
      <c r="D34" s="86" t="s">
        <v>164</v>
      </c>
      <c r="E34" s="52" t="s">
        <v>162</v>
      </c>
      <c r="F34" s="52" t="s">
        <v>165</v>
      </c>
      <c r="G34" s="43" t="s">
        <v>55</v>
      </c>
      <c r="H34" s="53" t="s">
        <v>68</v>
      </c>
      <c r="I34" s="54" t="s">
        <v>69</v>
      </c>
      <c r="J34" s="55" t="s">
        <v>70</v>
      </c>
      <c r="K34" s="54" t="s">
        <v>73</v>
      </c>
      <c r="L34" s="54" t="s">
        <v>74</v>
      </c>
    </row>
    <row r="35" ht="34.5" customHeight="1">
      <c r="A35" s="36" t="s">
        <v>246</v>
      </c>
      <c r="B35" s="37" t="s">
        <v>24</v>
      </c>
      <c r="C35" s="62" t="s">
        <v>92</v>
      </c>
      <c r="D35" s="50" t="s">
        <v>64</v>
      </c>
      <c r="E35" s="42" t="s">
        <v>97</v>
      </c>
      <c r="F35" s="42" t="s">
        <v>67</v>
      </c>
      <c r="G35" s="43" t="s">
        <v>55</v>
      </c>
      <c r="H35" s="59" t="s">
        <v>68</v>
      </c>
      <c r="I35" s="44" t="s">
        <v>69</v>
      </c>
      <c r="J35" s="45" t="s">
        <v>70</v>
      </c>
      <c r="K35" s="44" t="s">
        <v>73</v>
      </c>
      <c r="L35" s="44" t="s">
        <v>74</v>
      </c>
    </row>
    <row r="36" ht="39.75" customHeight="1">
      <c r="A36" s="46" t="s">
        <v>247</v>
      </c>
      <c r="B36" s="47" t="s">
        <v>24</v>
      </c>
      <c r="C36" s="50" t="s">
        <v>64</v>
      </c>
      <c r="D36" s="62" t="s">
        <v>92</v>
      </c>
      <c r="E36" s="52" t="s">
        <v>67</v>
      </c>
      <c r="F36" s="52" t="s">
        <v>97</v>
      </c>
      <c r="G36" s="43" t="s">
        <v>55</v>
      </c>
      <c r="H36" s="53" t="s">
        <v>68</v>
      </c>
      <c r="I36" s="54" t="s">
        <v>69</v>
      </c>
      <c r="J36" s="55" t="s">
        <v>70</v>
      </c>
      <c r="K36" s="54" t="s">
        <v>73</v>
      </c>
      <c r="L36" s="54" t="s">
        <v>249</v>
      </c>
    </row>
    <row r="37" ht="34.5" customHeight="1">
      <c r="A37" s="36" t="s">
        <v>250</v>
      </c>
      <c r="B37" s="37" t="s">
        <v>24</v>
      </c>
      <c r="C37" s="62" t="s">
        <v>92</v>
      </c>
      <c r="D37" s="50" t="s">
        <v>64</v>
      </c>
      <c r="E37" s="42" t="s">
        <v>97</v>
      </c>
      <c r="F37" s="42" t="s">
        <v>67</v>
      </c>
      <c r="G37" s="43" t="s">
        <v>55</v>
      </c>
      <c r="H37" s="59" t="s">
        <v>68</v>
      </c>
      <c r="I37" s="44" t="s">
        <v>69</v>
      </c>
      <c r="J37" s="45" t="s">
        <v>70</v>
      </c>
      <c r="K37" s="44" t="s">
        <v>73</v>
      </c>
      <c r="L37" s="44" t="s">
        <v>74</v>
      </c>
    </row>
    <row r="38" ht="34.5" customHeight="1">
      <c r="A38" s="46" t="s">
        <v>252</v>
      </c>
      <c r="B38" s="47" t="s">
        <v>24</v>
      </c>
      <c r="C38" s="49" t="s">
        <v>63</v>
      </c>
      <c r="D38" s="50" t="s">
        <v>64</v>
      </c>
      <c r="E38" s="52" t="s">
        <v>65</v>
      </c>
      <c r="F38" s="52" t="s">
        <v>67</v>
      </c>
      <c r="G38" s="43" t="s">
        <v>55</v>
      </c>
      <c r="H38" s="53" t="s">
        <v>68</v>
      </c>
      <c r="I38" s="54" t="s">
        <v>69</v>
      </c>
      <c r="J38" s="55" t="s">
        <v>70</v>
      </c>
      <c r="K38" s="54" t="s">
        <v>73</v>
      </c>
      <c r="L38" s="54" t="s">
        <v>74</v>
      </c>
    </row>
    <row r="39" ht="34.5" customHeight="1">
      <c r="A39" s="36" t="s">
        <v>255</v>
      </c>
      <c r="B39" s="37" t="s">
        <v>24</v>
      </c>
      <c r="C39" s="49" t="s">
        <v>63</v>
      </c>
      <c r="D39" s="50" t="s">
        <v>64</v>
      </c>
      <c r="E39" s="42" t="s">
        <v>65</v>
      </c>
      <c r="F39" s="42" t="s">
        <v>67</v>
      </c>
      <c r="G39" s="43" t="s">
        <v>55</v>
      </c>
      <c r="H39" s="59" t="s">
        <v>68</v>
      </c>
      <c r="I39" s="44" t="s">
        <v>69</v>
      </c>
      <c r="J39" s="45" t="s">
        <v>70</v>
      </c>
      <c r="K39" s="44" t="s">
        <v>73</v>
      </c>
      <c r="L39" s="44" t="s">
        <v>74</v>
      </c>
    </row>
    <row r="40" ht="34.5" customHeight="1">
      <c r="A40" s="46" t="s">
        <v>258</v>
      </c>
      <c r="B40" s="47" t="s">
        <v>24</v>
      </c>
      <c r="C40" s="49" t="s">
        <v>63</v>
      </c>
      <c r="D40" s="50" t="s">
        <v>64</v>
      </c>
      <c r="E40" s="52" t="s">
        <v>65</v>
      </c>
      <c r="F40" s="52" t="s">
        <v>67</v>
      </c>
      <c r="G40" s="43" t="s">
        <v>55</v>
      </c>
      <c r="H40" s="46" t="s">
        <v>56</v>
      </c>
      <c r="I40" s="54" t="s">
        <v>260</v>
      </c>
      <c r="J40" s="55" t="s">
        <v>261</v>
      </c>
      <c r="K40" s="54"/>
      <c r="L40" s="54" t="s">
        <v>262</v>
      </c>
    </row>
    <row r="41" ht="34.5" customHeight="1">
      <c r="A41" s="36" t="s">
        <v>263</v>
      </c>
      <c r="B41" s="37" t="s">
        <v>24</v>
      </c>
      <c r="C41" s="136" t="s">
        <v>210</v>
      </c>
      <c r="D41" s="79" t="s">
        <v>150</v>
      </c>
      <c r="E41" s="42" t="s">
        <v>211</v>
      </c>
      <c r="F41" s="42" t="s">
        <v>153</v>
      </c>
      <c r="G41" s="43" t="s">
        <v>55</v>
      </c>
      <c r="H41" s="36" t="s">
        <v>56</v>
      </c>
      <c r="I41" s="44" t="s">
        <v>266</v>
      </c>
      <c r="J41" s="45" t="s">
        <v>267</v>
      </c>
      <c r="K41" s="44"/>
      <c r="L41" s="44" t="s">
        <v>269</v>
      </c>
    </row>
    <row r="42" ht="34.5" customHeight="1">
      <c r="A42" s="46" t="s">
        <v>270</v>
      </c>
      <c r="B42" s="47" t="s">
        <v>24</v>
      </c>
      <c r="C42" s="57" t="s">
        <v>78</v>
      </c>
      <c r="D42" s="50" t="s">
        <v>64</v>
      </c>
      <c r="E42" s="52" t="s">
        <v>81</v>
      </c>
      <c r="F42" s="52" t="s">
        <v>67</v>
      </c>
      <c r="G42" s="43" t="s">
        <v>55</v>
      </c>
      <c r="H42" s="53" t="s">
        <v>68</v>
      </c>
      <c r="I42" s="54" t="s">
        <v>69</v>
      </c>
      <c r="J42" s="55" t="s">
        <v>70</v>
      </c>
      <c r="K42" s="54" t="s">
        <v>73</v>
      </c>
      <c r="L42" s="54" t="s">
        <v>74</v>
      </c>
    </row>
    <row r="43" ht="39.75" customHeight="1">
      <c r="A43" s="36" t="s">
        <v>275</v>
      </c>
      <c r="B43" s="37" t="s">
        <v>24</v>
      </c>
      <c r="C43" s="49" t="s">
        <v>63</v>
      </c>
      <c r="D43" s="50" t="s">
        <v>64</v>
      </c>
      <c r="E43" s="42" t="s">
        <v>65</v>
      </c>
      <c r="F43" s="42" t="s">
        <v>67</v>
      </c>
      <c r="G43" s="43" t="s">
        <v>55</v>
      </c>
      <c r="H43" s="59" t="s">
        <v>68</v>
      </c>
      <c r="I43" s="44" t="s">
        <v>69</v>
      </c>
      <c r="J43" s="45" t="s">
        <v>70</v>
      </c>
      <c r="K43" s="44" t="s">
        <v>73</v>
      </c>
      <c r="L43" s="44" t="s">
        <v>277</v>
      </c>
    </row>
    <row r="44" ht="34.5" customHeight="1">
      <c r="A44" s="46" t="s">
        <v>279</v>
      </c>
      <c r="B44" s="47" t="s">
        <v>24</v>
      </c>
      <c r="C44" s="92" t="s">
        <v>159</v>
      </c>
      <c r="D44" s="62" t="s">
        <v>92</v>
      </c>
      <c r="E44" s="52" t="s">
        <v>162</v>
      </c>
      <c r="F44" s="52" t="s">
        <v>97</v>
      </c>
      <c r="G44" s="43" t="s">
        <v>55</v>
      </c>
      <c r="H44" s="53" t="s">
        <v>68</v>
      </c>
      <c r="I44" s="54" t="s">
        <v>69</v>
      </c>
      <c r="J44" s="55" t="s">
        <v>70</v>
      </c>
      <c r="K44" s="54" t="s">
        <v>73</v>
      </c>
      <c r="L44" s="54" t="s">
        <v>74</v>
      </c>
    </row>
    <row r="45" ht="34.5" customHeight="1">
      <c r="A45" s="36" t="s">
        <v>283</v>
      </c>
      <c r="B45" s="37" t="s">
        <v>24</v>
      </c>
      <c r="C45" s="49" t="s">
        <v>63</v>
      </c>
      <c r="D45" s="50" t="s">
        <v>64</v>
      </c>
      <c r="E45" s="42" t="s">
        <v>65</v>
      </c>
      <c r="F45" s="42" t="s">
        <v>67</v>
      </c>
      <c r="G45" s="43" t="s">
        <v>55</v>
      </c>
      <c r="H45" s="59" t="s">
        <v>68</v>
      </c>
      <c r="I45" s="44" t="s">
        <v>69</v>
      </c>
      <c r="J45" s="45" t="s">
        <v>70</v>
      </c>
      <c r="K45" s="44" t="s">
        <v>73</v>
      </c>
      <c r="L45" s="44" t="s">
        <v>74</v>
      </c>
    </row>
    <row r="46" ht="34.5" customHeight="1">
      <c r="A46" s="46" t="s">
        <v>286</v>
      </c>
      <c r="B46" s="47" t="s">
        <v>24</v>
      </c>
      <c r="C46" s="62" t="s">
        <v>92</v>
      </c>
      <c r="D46" s="50" t="s">
        <v>64</v>
      </c>
      <c r="E46" s="52" t="s">
        <v>97</v>
      </c>
      <c r="F46" s="52" t="s">
        <v>67</v>
      </c>
      <c r="G46" s="43" t="s">
        <v>55</v>
      </c>
      <c r="H46" s="53" t="s">
        <v>68</v>
      </c>
      <c r="I46" s="54" t="s">
        <v>69</v>
      </c>
      <c r="J46" s="55" t="s">
        <v>70</v>
      </c>
      <c r="K46" s="54" t="s">
        <v>73</v>
      </c>
      <c r="L46" s="54" t="s">
        <v>74</v>
      </c>
    </row>
    <row r="47" ht="34.5" customHeight="1">
      <c r="A47" s="36" t="s">
        <v>289</v>
      </c>
      <c r="B47" s="37" t="s">
        <v>24</v>
      </c>
      <c r="C47" s="50" t="s">
        <v>64</v>
      </c>
      <c r="D47" s="49" t="s">
        <v>63</v>
      </c>
      <c r="E47" s="42" t="s">
        <v>67</v>
      </c>
      <c r="F47" s="42" t="s">
        <v>65</v>
      </c>
      <c r="G47" s="43" t="s">
        <v>55</v>
      </c>
      <c r="H47" s="59" t="s">
        <v>68</v>
      </c>
      <c r="I47" s="44" t="s">
        <v>69</v>
      </c>
      <c r="J47" s="45" t="s">
        <v>70</v>
      </c>
      <c r="K47" s="44" t="s">
        <v>73</v>
      </c>
      <c r="L47" s="44" t="s">
        <v>74</v>
      </c>
    </row>
    <row r="48" ht="34.5" customHeight="1">
      <c r="A48" s="46" t="s">
        <v>290</v>
      </c>
      <c r="B48" s="47" t="s">
        <v>24</v>
      </c>
      <c r="C48" s="86" t="s">
        <v>164</v>
      </c>
      <c r="D48" s="50" t="s">
        <v>64</v>
      </c>
      <c r="E48" s="52" t="s">
        <v>165</v>
      </c>
      <c r="F48" s="52" t="s">
        <v>67</v>
      </c>
      <c r="G48" s="43" t="s">
        <v>55</v>
      </c>
      <c r="H48" s="53" t="s">
        <v>68</v>
      </c>
      <c r="I48" s="54" t="s">
        <v>69</v>
      </c>
      <c r="J48" s="55" t="s">
        <v>70</v>
      </c>
      <c r="K48" s="54" t="s">
        <v>73</v>
      </c>
      <c r="L48" s="54" t="s">
        <v>74</v>
      </c>
    </row>
    <row r="49" ht="34.5" customHeight="1">
      <c r="A49" s="36" t="s">
        <v>298</v>
      </c>
      <c r="B49" s="37" t="s">
        <v>24</v>
      </c>
      <c r="C49" s="41" t="s">
        <v>52</v>
      </c>
      <c r="D49" s="138" t="s">
        <v>199</v>
      </c>
      <c r="E49" s="42" t="s">
        <v>54</v>
      </c>
      <c r="F49" s="42" t="s">
        <v>200</v>
      </c>
      <c r="G49" s="43" t="s">
        <v>55</v>
      </c>
      <c r="H49" s="59" t="s">
        <v>68</v>
      </c>
      <c r="I49" s="44" t="s">
        <v>69</v>
      </c>
      <c r="J49" s="45" t="s">
        <v>70</v>
      </c>
      <c r="K49" s="44" t="s">
        <v>73</v>
      </c>
      <c r="L49" s="44" t="s">
        <v>74</v>
      </c>
    </row>
    <row r="50" ht="34.5" customHeight="1">
      <c r="A50" s="46" t="s">
        <v>295</v>
      </c>
      <c r="B50" s="47" t="s">
        <v>24</v>
      </c>
      <c r="C50" s="49" t="s">
        <v>63</v>
      </c>
      <c r="D50" s="50" t="s">
        <v>64</v>
      </c>
      <c r="E50" s="52" t="s">
        <v>65</v>
      </c>
      <c r="F50" s="52" t="s">
        <v>67</v>
      </c>
      <c r="G50" s="43" t="s">
        <v>55</v>
      </c>
      <c r="H50" s="53" t="s">
        <v>68</v>
      </c>
      <c r="I50" s="54" t="s">
        <v>69</v>
      </c>
      <c r="J50" s="55" t="s">
        <v>70</v>
      </c>
      <c r="K50" s="54" t="s">
        <v>73</v>
      </c>
      <c r="L50" s="54" t="s">
        <v>74</v>
      </c>
    </row>
    <row r="51" ht="34.5" customHeight="1">
      <c r="A51" s="36" t="s">
        <v>304</v>
      </c>
      <c r="B51" s="37" t="s">
        <v>24</v>
      </c>
      <c r="C51" s="86" t="s">
        <v>164</v>
      </c>
      <c r="D51" s="50" t="s">
        <v>64</v>
      </c>
      <c r="E51" s="42" t="s">
        <v>165</v>
      </c>
      <c r="F51" s="42" t="s">
        <v>67</v>
      </c>
      <c r="G51" s="43" t="s">
        <v>55</v>
      </c>
      <c r="H51" s="59" t="s">
        <v>68</v>
      </c>
      <c r="I51" s="44" t="s">
        <v>69</v>
      </c>
      <c r="J51" s="45" t="s">
        <v>70</v>
      </c>
      <c r="K51" s="44" t="s">
        <v>73</v>
      </c>
      <c r="L51" s="44" t="s">
        <v>74</v>
      </c>
    </row>
    <row r="52" ht="34.5" customHeight="1">
      <c r="A52" s="46" t="s">
        <v>308</v>
      </c>
      <c r="B52" s="47" t="s">
        <v>24</v>
      </c>
      <c r="C52" s="41" t="s">
        <v>52</v>
      </c>
      <c r="D52" s="62" t="s">
        <v>92</v>
      </c>
      <c r="E52" s="52" t="s">
        <v>54</v>
      </c>
      <c r="F52" s="52" t="s">
        <v>97</v>
      </c>
      <c r="G52" s="43" t="s">
        <v>55</v>
      </c>
      <c r="H52" s="46" t="s">
        <v>195</v>
      </c>
      <c r="I52" s="54" t="s">
        <v>311</v>
      </c>
      <c r="J52" s="55" t="s">
        <v>312</v>
      </c>
      <c r="K52" s="54"/>
      <c r="L52" s="54"/>
    </row>
    <row r="53" ht="34.5" customHeight="1">
      <c r="A53" s="36" t="s">
        <v>315</v>
      </c>
      <c r="B53" s="37" t="s">
        <v>24</v>
      </c>
      <c r="C53" s="62" t="s">
        <v>92</v>
      </c>
      <c r="D53" s="50" t="s">
        <v>64</v>
      </c>
      <c r="E53" s="42" t="s">
        <v>97</v>
      </c>
      <c r="F53" s="42" t="s">
        <v>67</v>
      </c>
      <c r="G53" s="43" t="s">
        <v>55</v>
      </c>
      <c r="H53" s="59" t="s">
        <v>68</v>
      </c>
      <c r="I53" s="44" t="s">
        <v>69</v>
      </c>
      <c r="J53" s="45" t="s">
        <v>70</v>
      </c>
      <c r="K53" s="44" t="s">
        <v>73</v>
      </c>
      <c r="L53" s="44" t="s">
        <v>74</v>
      </c>
    </row>
    <row r="54" ht="34.5" customHeight="1">
      <c r="A54" s="46" t="s">
        <v>317</v>
      </c>
      <c r="B54" s="47" t="s">
        <v>24</v>
      </c>
      <c r="C54" s="138" t="s">
        <v>199</v>
      </c>
      <c r="D54" s="50" t="s">
        <v>64</v>
      </c>
      <c r="E54" s="52" t="s">
        <v>200</v>
      </c>
      <c r="F54" s="52" t="s">
        <v>67</v>
      </c>
      <c r="G54" s="43" t="s">
        <v>55</v>
      </c>
      <c r="H54" s="53" t="s">
        <v>68</v>
      </c>
      <c r="I54" s="54" t="s">
        <v>69</v>
      </c>
      <c r="J54" s="55" t="s">
        <v>70</v>
      </c>
      <c r="K54" s="54" t="s">
        <v>73</v>
      </c>
      <c r="L54" s="54" t="s">
        <v>74</v>
      </c>
    </row>
    <row r="55" ht="39.75" customHeight="1">
      <c r="A55" s="36" t="s">
        <v>321</v>
      </c>
      <c r="B55" s="37" t="s">
        <v>24</v>
      </c>
      <c r="C55" s="62" t="s">
        <v>92</v>
      </c>
      <c r="D55" s="50" t="s">
        <v>64</v>
      </c>
      <c r="E55" s="42" t="s">
        <v>97</v>
      </c>
      <c r="F55" s="42" t="s">
        <v>67</v>
      </c>
      <c r="G55" s="43" t="s">
        <v>55</v>
      </c>
      <c r="H55" s="59" t="s">
        <v>68</v>
      </c>
      <c r="I55" s="44" t="s">
        <v>69</v>
      </c>
      <c r="J55" s="45" t="s">
        <v>70</v>
      </c>
      <c r="K55" s="44" t="s">
        <v>73</v>
      </c>
      <c r="L55" s="44" t="s">
        <v>325</v>
      </c>
    </row>
    <row r="56" ht="34.5" customHeight="1">
      <c r="A56" s="46" t="s">
        <v>326</v>
      </c>
      <c r="B56" s="47" t="s">
        <v>24</v>
      </c>
      <c r="C56" s="50" t="s">
        <v>64</v>
      </c>
      <c r="D56" s="79" t="s">
        <v>150</v>
      </c>
      <c r="E56" s="52" t="s">
        <v>67</v>
      </c>
      <c r="F56" s="52" t="s">
        <v>153</v>
      </c>
      <c r="G56" s="43" t="s">
        <v>55</v>
      </c>
      <c r="H56" s="53" t="s">
        <v>68</v>
      </c>
      <c r="I56" s="54" t="s">
        <v>69</v>
      </c>
      <c r="J56" s="55" t="s">
        <v>70</v>
      </c>
      <c r="K56" s="54" t="s">
        <v>73</v>
      </c>
      <c r="L56" s="54" t="s">
        <v>74</v>
      </c>
    </row>
    <row r="57" ht="34.5" customHeight="1">
      <c r="A57" s="36" t="s">
        <v>330</v>
      </c>
      <c r="B57" s="37" t="s">
        <v>24</v>
      </c>
      <c r="C57" s="62" t="s">
        <v>92</v>
      </c>
      <c r="D57" s="50" t="s">
        <v>64</v>
      </c>
      <c r="E57" s="42" t="s">
        <v>97</v>
      </c>
      <c r="F57" s="42" t="s">
        <v>67</v>
      </c>
      <c r="G57" s="43" t="s">
        <v>55</v>
      </c>
      <c r="H57" s="59" t="s">
        <v>68</v>
      </c>
      <c r="I57" s="44" t="s">
        <v>69</v>
      </c>
      <c r="J57" s="45" t="s">
        <v>70</v>
      </c>
      <c r="K57" s="44" t="s">
        <v>73</v>
      </c>
      <c r="L57" s="44" t="s">
        <v>74</v>
      </c>
    </row>
    <row r="58" ht="34.5" customHeight="1">
      <c r="A58" s="46" t="s">
        <v>337</v>
      </c>
      <c r="B58" s="47" t="s">
        <v>24</v>
      </c>
      <c r="C58" s="62" t="s">
        <v>92</v>
      </c>
      <c r="D58" s="50" t="s">
        <v>64</v>
      </c>
      <c r="E58" s="52" t="s">
        <v>97</v>
      </c>
      <c r="F58" s="52" t="s">
        <v>67</v>
      </c>
      <c r="G58" s="43" t="s">
        <v>55</v>
      </c>
      <c r="H58" s="53" t="s">
        <v>68</v>
      </c>
      <c r="I58" s="54" t="s">
        <v>69</v>
      </c>
      <c r="J58" s="55" t="s">
        <v>70</v>
      </c>
      <c r="K58" s="54" t="s">
        <v>73</v>
      </c>
      <c r="L58" s="54" t="s">
        <v>74</v>
      </c>
    </row>
    <row r="59" ht="39.75" customHeight="1">
      <c r="A59" s="36" t="s">
        <v>342</v>
      </c>
      <c r="B59" s="37" t="s">
        <v>24</v>
      </c>
      <c r="C59" s="49" t="s">
        <v>63</v>
      </c>
      <c r="D59" s="50" t="s">
        <v>64</v>
      </c>
      <c r="E59" s="42" t="s">
        <v>65</v>
      </c>
      <c r="F59" s="42" t="s">
        <v>67</v>
      </c>
      <c r="G59" s="43" t="s">
        <v>55</v>
      </c>
      <c r="H59" s="59" t="s">
        <v>68</v>
      </c>
      <c r="I59" s="44" t="s">
        <v>69</v>
      </c>
      <c r="J59" s="45" t="s">
        <v>70</v>
      </c>
      <c r="K59" s="44" t="s">
        <v>73</v>
      </c>
      <c r="L59" s="44" t="s">
        <v>277</v>
      </c>
    </row>
    <row r="60" ht="34.5" customHeight="1">
      <c r="A60" s="46" t="s">
        <v>347</v>
      </c>
      <c r="B60" s="47" t="s">
        <v>24</v>
      </c>
      <c r="C60" s="62" t="s">
        <v>92</v>
      </c>
      <c r="D60" s="50" t="s">
        <v>64</v>
      </c>
      <c r="E60" s="52" t="s">
        <v>97</v>
      </c>
      <c r="F60" s="52" t="s">
        <v>67</v>
      </c>
      <c r="G60" s="43" t="s">
        <v>55</v>
      </c>
      <c r="H60" s="53" t="s">
        <v>68</v>
      </c>
      <c r="I60" s="54" t="s">
        <v>69</v>
      </c>
      <c r="J60" s="55" t="s">
        <v>70</v>
      </c>
      <c r="K60" s="54" t="s">
        <v>73</v>
      </c>
      <c r="L60" s="54" t="s">
        <v>74</v>
      </c>
    </row>
    <row r="61" ht="34.5" customHeight="1">
      <c r="A61" s="36" t="s">
        <v>353</v>
      </c>
      <c r="B61" s="37" t="s">
        <v>24</v>
      </c>
      <c r="C61" s="49" t="s">
        <v>63</v>
      </c>
      <c r="D61" s="50" t="s">
        <v>64</v>
      </c>
      <c r="E61" s="42" t="s">
        <v>65</v>
      </c>
      <c r="F61" s="42" t="s">
        <v>67</v>
      </c>
      <c r="G61" s="43" t="s">
        <v>55</v>
      </c>
      <c r="H61" s="59" t="s">
        <v>68</v>
      </c>
      <c r="I61" s="44" t="s">
        <v>69</v>
      </c>
      <c r="J61" s="45" t="s">
        <v>70</v>
      </c>
      <c r="K61" s="44" t="s">
        <v>73</v>
      </c>
      <c r="L61" s="44" t="s">
        <v>74</v>
      </c>
    </row>
    <row r="62" ht="34.5" customHeight="1">
      <c r="A62" s="46" t="s">
        <v>358</v>
      </c>
      <c r="B62" s="47" t="s">
        <v>24</v>
      </c>
      <c r="C62" s="49" t="s">
        <v>63</v>
      </c>
      <c r="D62" s="50" t="s">
        <v>64</v>
      </c>
      <c r="E62" s="52" t="s">
        <v>65</v>
      </c>
      <c r="F62" s="52" t="s">
        <v>67</v>
      </c>
      <c r="G62" s="43" t="s">
        <v>55</v>
      </c>
      <c r="H62" s="46" t="s">
        <v>56</v>
      </c>
      <c r="I62" s="54" t="s">
        <v>362</v>
      </c>
      <c r="J62" s="55" t="s">
        <v>363</v>
      </c>
      <c r="K62" s="54"/>
      <c r="L62" s="54"/>
    </row>
    <row r="63" ht="34.5" customHeight="1">
      <c r="A63" s="36" t="s">
        <v>365</v>
      </c>
      <c r="B63" s="37" t="s">
        <v>24</v>
      </c>
      <c r="C63" s="62" t="s">
        <v>92</v>
      </c>
      <c r="D63" s="50" t="s">
        <v>64</v>
      </c>
      <c r="E63" s="42" t="s">
        <v>97</v>
      </c>
      <c r="F63" s="42" t="s">
        <v>67</v>
      </c>
      <c r="G63" s="43" t="s">
        <v>55</v>
      </c>
      <c r="H63" s="59" t="s">
        <v>68</v>
      </c>
      <c r="I63" s="44" t="s">
        <v>69</v>
      </c>
      <c r="J63" s="45" t="s">
        <v>70</v>
      </c>
      <c r="K63" s="44" t="s">
        <v>73</v>
      </c>
      <c r="L63" s="44" t="s">
        <v>74</v>
      </c>
    </row>
    <row r="64" ht="34.5" customHeight="1">
      <c r="A64" s="46" t="s">
        <v>372</v>
      </c>
      <c r="B64" s="47" t="s">
        <v>24</v>
      </c>
      <c r="C64" s="49" t="s">
        <v>63</v>
      </c>
      <c r="D64" s="50" t="s">
        <v>64</v>
      </c>
      <c r="E64" s="52" t="s">
        <v>65</v>
      </c>
      <c r="F64" s="52" t="s">
        <v>67</v>
      </c>
      <c r="G64" s="43" t="s">
        <v>55</v>
      </c>
      <c r="H64" s="53" t="s">
        <v>68</v>
      </c>
      <c r="I64" s="54" t="s">
        <v>69</v>
      </c>
      <c r="J64" s="55" t="s">
        <v>70</v>
      </c>
      <c r="K64" s="54" t="s">
        <v>73</v>
      </c>
      <c r="L64" s="54" t="s">
        <v>74</v>
      </c>
    </row>
    <row r="65" ht="34.5" customHeight="1">
      <c r="A65" s="36" t="s">
        <v>303</v>
      </c>
      <c r="B65" s="37" t="s">
        <v>24</v>
      </c>
      <c r="C65" s="49" t="s">
        <v>63</v>
      </c>
      <c r="D65" s="50" t="s">
        <v>64</v>
      </c>
      <c r="E65" s="42" t="s">
        <v>65</v>
      </c>
      <c r="F65" s="42" t="s">
        <v>67</v>
      </c>
      <c r="G65" s="43" t="s">
        <v>55</v>
      </c>
      <c r="H65" s="59" t="s">
        <v>68</v>
      </c>
      <c r="I65" s="44" t="s">
        <v>69</v>
      </c>
      <c r="J65" s="45" t="s">
        <v>70</v>
      </c>
      <c r="K65" s="44" t="s">
        <v>73</v>
      </c>
      <c r="L65" s="44" t="s">
        <v>74</v>
      </c>
    </row>
    <row r="66" ht="34.5" customHeight="1">
      <c r="A66" s="46" t="s">
        <v>381</v>
      </c>
      <c r="B66" s="47" t="s">
        <v>24</v>
      </c>
      <c r="C66" s="50" t="s">
        <v>64</v>
      </c>
      <c r="D66" s="86" t="s">
        <v>164</v>
      </c>
      <c r="E66" s="52" t="s">
        <v>67</v>
      </c>
      <c r="F66" s="52" t="s">
        <v>165</v>
      </c>
      <c r="G66" s="43" t="s">
        <v>55</v>
      </c>
      <c r="H66" s="53" t="s">
        <v>68</v>
      </c>
      <c r="I66" s="54" t="s">
        <v>69</v>
      </c>
      <c r="J66" s="55" t="s">
        <v>70</v>
      </c>
      <c r="K66" s="54" t="s">
        <v>73</v>
      </c>
      <c r="L66" s="54" t="s">
        <v>74</v>
      </c>
    </row>
    <row r="67" ht="34.5" customHeight="1">
      <c r="A67" s="36" t="s">
        <v>310</v>
      </c>
      <c r="B67" s="37" t="s">
        <v>24</v>
      </c>
      <c r="C67" s="50" t="s">
        <v>64</v>
      </c>
      <c r="D67" s="79" t="s">
        <v>150</v>
      </c>
      <c r="E67" s="42" t="s">
        <v>67</v>
      </c>
      <c r="F67" s="42" t="s">
        <v>153</v>
      </c>
      <c r="G67" s="43" t="s">
        <v>55</v>
      </c>
      <c r="H67" s="59" t="s">
        <v>68</v>
      </c>
      <c r="I67" s="44" t="s">
        <v>69</v>
      </c>
      <c r="J67" s="45" t="s">
        <v>70</v>
      </c>
      <c r="K67" s="44" t="s">
        <v>73</v>
      </c>
      <c r="L67" s="44" t="s">
        <v>74</v>
      </c>
    </row>
    <row r="68" ht="34.5" customHeight="1">
      <c r="A68" s="46" t="s">
        <v>382</v>
      </c>
      <c r="B68" s="47" t="s">
        <v>24</v>
      </c>
      <c r="C68" s="41" t="s">
        <v>52</v>
      </c>
      <c r="D68" s="86" t="s">
        <v>164</v>
      </c>
      <c r="E68" s="52" t="s">
        <v>54</v>
      </c>
      <c r="F68" s="52" t="s">
        <v>165</v>
      </c>
      <c r="G68" s="43" t="s">
        <v>55</v>
      </c>
      <c r="H68" s="46" t="s">
        <v>195</v>
      </c>
      <c r="I68" s="54" t="s">
        <v>311</v>
      </c>
      <c r="J68" s="55" t="s">
        <v>312</v>
      </c>
      <c r="K68" s="54"/>
      <c r="L68" s="54"/>
    </row>
    <row r="69" ht="34.5" customHeight="1">
      <c r="A69" s="36" t="s">
        <v>383</v>
      </c>
      <c r="B69" s="37" t="s">
        <v>24</v>
      </c>
      <c r="C69" s="79" t="s">
        <v>150</v>
      </c>
      <c r="D69" s="50" t="s">
        <v>64</v>
      </c>
      <c r="E69" s="42" t="s">
        <v>153</v>
      </c>
      <c r="F69" s="42" t="s">
        <v>67</v>
      </c>
      <c r="G69" s="43" t="s">
        <v>55</v>
      </c>
      <c r="H69" s="36" t="s">
        <v>56</v>
      </c>
      <c r="I69" s="44" t="s">
        <v>384</v>
      </c>
      <c r="J69" s="45" t="s">
        <v>385</v>
      </c>
      <c r="K69" s="44"/>
      <c r="L69" s="44"/>
    </row>
    <row r="70" ht="34.5" customHeight="1">
      <c r="A70" s="46" t="s">
        <v>386</v>
      </c>
      <c r="B70" s="47" t="s">
        <v>24</v>
      </c>
      <c r="C70" s="56" t="s">
        <v>76</v>
      </c>
      <c r="D70" s="57" t="s">
        <v>78</v>
      </c>
      <c r="E70" s="52" t="s">
        <v>79</v>
      </c>
      <c r="F70" s="52" t="s">
        <v>81</v>
      </c>
      <c r="G70" s="43" t="s">
        <v>55</v>
      </c>
      <c r="H70" s="53" t="s">
        <v>68</v>
      </c>
      <c r="I70" s="54" t="s">
        <v>69</v>
      </c>
      <c r="J70" s="55" t="s">
        <v>70</v>
      </c>
      <c r="K70" s="54" t="s">
        <v>73</v>
      </c>
      <c r="L70" s="54" t="s">
        <v>74</v>
      </c>
    </row>
    <row r="71" ht="34.5" customHeight="1">
      <c r="A71" s="36" t="s">
        <v>387</v>
      </c>
      <c r="B71" s="37" t="s">
        <v>24</v>
      </c>
      <c r="C71" s="62" t="s">
        <v>92</v>
      </c>
      <c r="D71" s="50" t="s">
        <v>64</v>
      </c>
      <c r="E71" s="42" t="s">
        <v>97</v>
      </c>
      <c r="F71" s="42" t="s">
        <v>67</v>
      </c>
      <c r="G71" s="43" t="s">
        <v>55</v>
      </c>
      <c r="H71" s="59" t="s">
        <v>68</v>
      </c>
      <c r="I71" s="44" t="s">
        <v>69</v>
      </c>
      <c r="J71" s="45" t="s">
        <v>70</v>
      </c>
      <c r="K71" s="44" t="s">
        <v>73</v>
      </c>
      <c r="L71" s="44" t="s">
        <v>74</v>
      </c>
    </row>
    <row r="72" ht="34.5" customHeight="1">
      <c r="A72" s="46" t="s">
        <v>388</v>
      </c>
      <c r="B72" s="47" t="s">
        <v>24</v>
      </c>
      <c r="C72" s="141" t="s">
        <v>208</v>
      </c>
      <c r="D72" s="86" t="s">
        <v>164</v>
      </c>
      <c r="E72" s="52" t="s">
        <v>209</v>
      </c>
      <c r="F72" s="52" t="s">
        <v>165</v>
      </c>
      <c r="G72" s="43" t="s">
        <v>55</v>
      </c>
      <c r="H72" s="53" t="s">
        <v>68</v>
      </c>
      <c r="I72" s="54" t="s">
        <v>69</v>
      </c>
      <c r="J72" s="55" t="s">
        <v>70</v>
      </c>
      <c r="K72" s="54" t="s">
        <v>73</v>
      </c>
      <c r="L72" s="54" t="s">
        <v>74</v>
      </c>
    </row>
    <row r="73" ht="34.5" customHeight="1">
      <c r="A73" s="36" t="s">
        <v>389</v>
      </c>
      <c r="B73" s="37" t="s">
        <v>24</v>
      </c>
      <c r="C73" s="49" t="s">
        <v>63</v>
      </c>
      <c r="D73" s="50" t="s">
        <v>64</v>
      </c>
      <c r="E73" s="42" t="s">
        <v>65</v>
      </c>
      <c r="F73" s="42" t="s">
        <v>67</v>
      </c>
      <c r="G73" s="43" t="s">
        <v>55</v>
      </c>
      <c r="H73" s="36" t="s">
        <v>56</v>
      </c>
      <c r="I73" s="44" t="s">
        <v>390</v>
      </c>
      <c r="J73" s="45" t="s">
        <v>391</v>
      </c>
      <c r="K73" s="44"/>
      <c r="L73" s="44"/>
    </row>
    <row r="74" ht="34.5" customHeight="1">
      <c r="A74" s="46" t="s">
        <v>392</v>
      </c>
      <c r="B74" s="47" t="s">
        <v>24</v>
      </c>
      <c r="C74" s="57" t="s">
        <v>78</v>
      </c>
      <c r="D74" s="79" t="s">
        <v>150</v>
      </c>
      <c r="E74" s="52" t="s">
        <v>81</v>
      </c>
      <c r="F74" s="52" t="s">
        <v>153</v>
      </c>
      <c r="G74" s="43" t="s">
        <v>55</v>
      </c>
      <c r="H74" s="53" t="s">
        <v>68</v>
      </c>
      <c r="I74" s="54" t="s">
        <v>69</v>
      </c>
      <c r="J74" s="55" t="s">
        <v>70</v>
      </c>
      <c r="K74" s="54" t="s">
        <v>73</v>
      </c>
      <c r="L74" s="54" t="s">
        <v>74</v>
      </c>
    </row>
    <row r="75" ht="34.5" customHeight="1">
      <c r="A75" s="36" t="s">
        <v>393</v>
      </c>
      <c r="B75" s="37" t="s">
        <v>39</v>
      </c>
      <c r="C75" s="50" t="s">
        <v>64</v>
      </c>
      <c r="D75" s="86" t="s">
        <v>164</v>
      </c>
      <c r="E75" s="42" t="s">
        <v>67</v>
      </c>
      <c r="F75" s="42" t="s">
        <v>165</v>
      </c>
      <c r="G75" s="43" t="s">
        <v>55</v>
      </c>
      <c r="H75" s="36" t="s">
        <v>56</v>
      </c>
      <c r="I75" s="44" t="s">
        <v>395</v>
      </c>
      <c r="J75" s="45" t="s">
        <v>396</v>
      </c>
      <c r="K75" s="44" t="s">
        <v>355</v>
      </c>
      <c r="L75" s="44" t="s">
        <v>397</v>
      </c>
    </row>
    <row r="76" ht="34.5" customHeight="1">
      <c r="A76" s="46" t="s">
        <v>398</v>
      </c>
      <c r="B76" s="47" t="s">
        <v>39</v>
      </c>
      <c r="C76" s="50" t="s">
        <v>64</v>
      </c>
      <c r="D76" s="144" t="s">
        <v>192</v>
      </c>
      <c r="E76" s="52" t="s">
        <v>67</v>
      </c>
      <c r="F76" s="52" t="s">
        <v>193</v>
      </c>
      <c r="G76" s="43" t="s">
        <v>55</v>
      </c>
      <c r="H76" s="46" t="s">
        <v>56</v>
      </c>
      <c r="I76" s="54" t="s">
        <v>400</v>
      </c>
      <c r="J76" s="55" t="s">
        <v>401</v>
      </c>
      <c r="K76" s="54"/>
      <c r="L76" s="54" t="s">
        <v>402</v>
      </c>
    </row>
    <row r="77" ht="39.75" customHeight="1">
      <c r="A77" s="36" t="s">
        <v>403</v>
      </c>
      <c r="B77" s="37" t="s">
        <v>39</v>
      </c>
      <c r="C77" s="41" t="s">
        <v>52</v>
      </c>
      <c r="D77" s="79" t="s">
        <v>150</v>
      </c>
      <c r="E77" s="42" t="s">
        <v>54</v>
      </c>
      <c r="F77" s="42" t="s">
        <v>153</v>
      </c>
      <c r="G77" s="43" t="s">
        <v>55</v>
      </c>
      <c r="H77" s="59" t="s">
        <v>68</v>
      </c>
      <c r="I77" s="44" t="s">
        <v>405</v>
      </c>
      <c r="J77" s="45" t="s">
        <v>404</v>
      </c>
      <c r="K77" s="44" t="s">
        <v>408</v>
      </c>
      <c r="L77" s="44" t="s">
        <v>409</v>
      </c>
    </row>
    <row r="78" ht="39.75" customHeight="1">
      <c r="A78" s="46" t="s">
        <v>410</v>
      </c>
      <c r="B78" s="47" t="s">
        <v>39</v>
      </c>
      <c r="C78" s="49" t="s">
        <v>63</v>
      </c>
      <c r="D78" s="50" t="s">
        <v>64</v>
      </c>
      <c r="E78" s="52" t="s">
        <v>65</v>
      </c>
      <c r="F78" s="52" t="s">
        <v>67</v>
      </c>
      <c r="G78" s="43" t="s">
        <v>55</v>
      </c>
      <c r="H78" s="53" t="s">
        <v>68</v>
      </c>
      <c r="I78" s="54" t="s">
        <v>405</v>
      </c>
      <c r="J78" s="55" t="s">
        <v>404</v>
      </c>
      <c r="K78" s="54" t="s">
        <v>408</v>
      </c>
      <c r="L78" s="54" t="s">
        <v>409</v>
      </c>
    </row>
    <row r="79" ht="39.75" customHeight="1">
      <c r="A79" s="36" t="s">
        <v>413</v>
      </c>
      <c r="B79" s="37" t="s">
        <v>39</v>
      </c>
      <c r="C79" s="49" t="s">
        <v>63</v>
      </c>
      <c r="D79" s="50" t="s">
        <v>64</v>
      </c>
      <c r="E79" s="42" t="s">
        <v>65</v>
      </c>
      <c r="F79" s="42" t="s">
        <v>67</v>
      </c>
      <c r="G79" s="43" t="s">
        <v>55</v>
      </c>
      <c r="H79" s="59" t="s">
        <v>68</v>
      </c>
      <c r="I79" s="44" t="s">
        <v>405</v>
      </c>
      <c r="J79" s="45" t="s">
        <v>404</v>
      </c>
      <c r="K79" s="44" t="s">
        <v>408</v>
      </c>
      <c r="L79" s="44" t="s">
        <v>409</v>
      </c>
    </row>
    <row r="80" ht="39.75" customHeight="1">
      <c r="A80" s="46" t="s">
        <v>415</v>
      </c>
      <c r="B80" s="47" t="s">
        <v>39</v>
      </c>
      <c r="C80" s="138" t="s">
        <v>199</v>
      </c>
      <c r="D80" s="50" t="s">
        <v>64</v>
      </c>
      <c r="E80" s="52" t="s">
        <v>200</v>
      </c>
      <c r="F80" s="52" t="s">
        <v>67</v>
      </c>
      <c r="G80" s="43" t="s">
        <v>55</v>
      </c>
      <c r="H80" s="53" t="s">
        <v>68</v>
      </c>
      <c r="I80" s="54" t="s">
        <v>405</v>
      </c>
      <c r="J80" s="55" t="s">
        <v>404</v>
      </c>
      <c r="K80" s="54" t="s">
        <v>408</v>
      </c>
      <c r="L80" s="54" t="s">
        <v>409</v>
      </c>
    </row>
    <row r="81" ht="34.5" customHeight="1">
      <c r="A81" s="36" t="s">
        <v>417</v>
      </c>
      <c r="B81" s="37" t="s">
        <v>39</v>
      </c>
      <c r="C81" s="49" t="s">
        <v>63</v>
      </c>
      <c r="D81" s="86" t="s">
        <v>164</v>
      </c>
      <c r="E81" s="42" t="s">
        <v>65</v>
      </c>
      <c r="F81" s="42" t="s">
        <v>165</v>
      </c>
      <c r="G81" s="43" t="s">
        <v>55</v>
      </c>
      <c r="H81" s="36" t="s">
        <v>56</v>
      </c>
      <c r="I81" s="44" t="s">
        <v>418</v>
      </c>
      <c r="J81" s="45" t="s">
        <v>419</v>
      </c>
      <c r="K81" s="44"/>
      <c r="L81" s="44"/>
    </row>
    <row r="82" ht="39.75" customHeight="1">
      <c r="A82" s="46" t="s">
        <v>399</v>
      </c>
      <c r="B82" s="47" t="s">
        <v>39</v>
      </c>
      <c r="C82" s="49" t="s">
        <v>63</v>
      </c>
      <c r="D82" s="50" t="s">
        <v>64</v>
      </c>
      <c r="E82" s="52" t="s">
        <v>65</v>
      </c>
      <c r="F82" s="52" t="s">
        <v>67</v>
      </c>
      <c r="G82" s="43" t="s">
        <v>55</v>
      </c>
      <c r="H82" s="53" t="s">
        <v>68</v>
      </c>
      <c r="I82" s="54" t="s">
        <v>405</v>
      </c>
      <c r="J82" s="55" t="s">
        <v>404</v>
      </c>
      <c r="K82" s="54" t="s">
        <v>408</v>
      </c>
      <c r="L82" s="54" t="s">
        <v>406</v>
      </c>
    </row>
    <row r="83" ht="39.75" customHeight="1">
      <c r="A83" s="36" t="s">
        <v>422</v>
      </c>
      <c r="B83" s="37" t="s">
        <v>39</v>
      </c>
      <c r="C83" s="49" t="s">
        <v>63</v>
      </c>
      <c r="D83" s="50" t="s">
        <v>64</v>
      </c>
      <c r="E83" s="42" t="s">
        <v>65</v>
      </c>
      <c r="F83" s="42" t="s">
        <v>67</v>
      </c>
      <c r="G83" s="43" t="s">
        <v>55</v>
      </c>
      <c r="H83" s="59" t="s">
        <v>187</v>
      </c>
      <c r="I83" s="44" t="s">
        <v>405</v>
      </c>
      <c r="J83" s="45" t="s">
        <v>404</v>
      </c>
      <c r="K83" s="44" t="s">
        <v>408</v>
      </c>
      <c r="L83" s="44" t="s">
        <v>424</v>
      </c>
    </row>
    <row r="84" ht="39.75" customHeight="1">
      <c r="A84" s="46" t="s">
        <v>407</v>
      </c>
      <c r="B84" s="47" t="s">
        <v>39</v>
      </c>
      <c r="C84" s="49" t="s">
        <v>63</v>
      </c>
      <c r="D84" s="50" t="s">
        <v>64</v>
      </c>
      <c r="E84" s="52" t="s">
        <v>65</v>
      </c>
      <c r="F84" s="52" t="s">
        <v>67</v>
      </c>
      <c r="G84" s="43" t="s">
        <v>55</v>
      </c>
      <c r="H84" s="53" t="s">
        <v>68</v>
      </c>
      <c r="I84" s="54" t="s">
        <v>405</v>
      </c>
      <c r="J84" s="55" t="s">
        <v>404</v>
      </c>
      <c r="K84" s="54" t="s">
        <v>408</v>
      </c>
      <c r="L84" s="54" t="s">
        <v>411</v>
      </c>
    </row>
    <row r="85" ht="39.75" customHeight="1">
      <c r="A85" s="36" t="s">
        <v>426</v>
      </c>
      <c r="B85" s="37" t="s">
        <v>39</v>
      </c>
      <c r="C85" s="49" t="s">
        <v>63</v>
      </c>
      <c r="D85" s="50" t="s">
        <v>64</v>
      </c>
      <c r="E85" s="42" t="s">
        <v>65</v>
      </c>
      <c r="F85" s="42" t="s">
        <v>67</v>
      </c>
      <c r="G85" s="43" t="s">
        <v>55</v>
      </c>
      <c r="H85" s="59" t="s">
        <v>187</v>
      </c>
      <c r="I85" s="44" t="s">
        <v>405</v>
      </c>
      <c r="J85" s="45" t="s">
        <v>404</v>
      </c>
      <c r="K85" s="44" t="s">
        <v>408</v>
      </c>
      <c r="L85" s="44" t="s">
        <v>427</v>
      </c>
    </row>
    <row r="86" ht="39.75" customHeight="1">
      <c r="A86" s="46" t="s">
        <v>428</v>
      </c>
      <c r="B86" s="47" t="s">
        <v>39</v>
      </c>
      <c r="C86" s="41" t="s">
        <v>52</v>
      </c>
      <c r="D86" s="86" t="s">
        <v>164</v>
      </c>
      <c r="E86" s="52" t="s">
        <v>54</v>
      </c>
      <c r="F86" s="52" t="s">
        <v>165</v>
      </c>
      <c r="G86" s="43" t="s">
        <v>55</v>
      </c>
      <c r="H86" s="53" t="s">
        <v>68</v>
      </c>
      <c r="I86" s="54" t="s">
        <v>405</v>
      </c>
      <c r="J86" s="55" t="s">
        <v>404</v>
      </c>
      <c r="K86" s="54" t="s">
        <v>408</v>
      </c>
      <c r="L86" s="54" t="s">
        <v>409</v>
      </c>
    </row>
    <row r="87" ht="39.75" customHeight="1">
      <c r="A87" s="36" t="s">
        <v>412</v>
      </c>
      <c r="B87" s="37" t="s">
        <v>39</v>
      </c>
      <c r="C87" s="62" t="s">
        <v>92</v>
      </c>
      <c r="D87" s="56" t="s">
        <v>76</v>
      </c>
      <c r="E87" s="42" t="s">
        <v>97</v>
      </c>
      <c r="F87" s="42" t="s">
        <v>79</v>
      </c>
      <c r="G87" s="43" t="s">
        <v>55</v>
      </c>
      <c r="H87" s="59" t="s">
        <v>68</v>
      </c>
      <c r="I87" s="44" t="s">
        <v>405</v>
      </c>
      <c r="J87" s="45" t="s">
        <v>404</v>
      </c>
      <c r="K87" s="44" t="s">
        <v>408</v>
      </c>
      <c r="L87" s="44" t="s">
        <v>409</v>
      </c>
    </row>
    <row r="88" ht="39.75" customHeight="1">
      <c r="A88" s="46" t="s">
        <v>430</v>
      </c>
      <c r="B88" s="47" t="s">
        <v>39</v>
      </c>
      <c r="C88" s="50" t="s">
        <v>64</v>
      </c>
      <c r="D88" s="86" t="s">
        <v>164</v>
      </c>
      <c r="E88" s="52" t="s">
        <v>67</v>
      </c>
      <c r="F88" s="52" t="s">
        <v>165</v>
      </c>
      <c r="G88" s="43" t="s">
        <v>55</v>
      </c>
      <c r="H88" s="53" t="s">
        <v>68</v>
      </c>
      <c r="I88" s="54" t="s">
        <v>405</v>
      </c>
      <c r="J88" s="55" t="s">
        <v>404</v>
      </c>
      <c r="K88" s="54" t="s">
        <v>408</v>
      </c>
      <c r="L88" s="54" t="s">
        <v>409</v>
      </c>
    </row>
    <row r="89" ht="39.75" customHeight="1">
      <c r="A89" s="36" t="s">
        <v>432</v>
      </c>
      <c r="B89" s="37" t="s">
        <v>39</v>
      </c>
      <c r="C89" s="138" t="s">
        <v>199</v>
      </c>
      <c r="D89" s="50" t="s">
        <v>64</v>
      </c>
      <c r="E89" s="42" t="s">
        <v>200</v>
      </c>
      <c r="F89" s="42" t="s">
        <v>67</v>
      </c>
      <c r="G89" s="43" t="s">
        <v>55</v>
      </c>
      <c r="H89" s="59" t="s">
        <v>68</v>
      </c>
      <c r="I89" s="44" t="s">
        <v>405</v>
      </c>
      <c r="J89" s="45" t="s">
        <v>404</v>
      </c>
      <c r="K89" s="44" t="s">
        <v>408</v>
      </c>
      <c r="L89" s="44" t="s">
        <v>409</v>
      </c>
    </row>
    <row r="90" ht="39.75" customHeight="1">
      <c r="A90" s="46" t="s">
        <v>434</v>
      </c>
      <c r="B90" s="47" t="s">
        <v>39</v>
      </c>
      <c r="C90" s="86" t="s">
        <v>164</v>
      </c>
      <c r="D90" s="50" t="s">
        <v>64</v>
      </c>
      <c r="E90" s="52" t="s">
        <v>165</v>
      </c>
      <c r="F90" s="52" t="s">
        <v>67</v>
      </c>
      <c r="G90" s="43" t="s">
        <v>55</v>
      </c>
      <c r="H90" s="53" t="s">
        <v>68</v>
      </c>
      <c r="I90" s="54" t="s">
        <v>405</v>
      </c>
      <c r="J90" s="55" t="s">
        <v>404</v>
      </c>
      <c r="K90" s="54" t="s">
        <v>408</v>
      </c>
      <c r="L90" s="54" t="s">
        <v>409</v>
      </c>
    </row>
    <row r="91" ht="39.75" customHeight="1">
      <c r="A91" s="36" t="s">
        <v>436</v>
      </c>
      <c r="B91" s="37" t="s">
        <v>39</v>
      </c>
      <c r="C91" s="86" t="s">
        <v>164</v>
      </c>
      <c r="D91" s="50" t="s">
        <v>64</v>
      </c>
      <c r="E91" s="42" t="s">
        <v>165</v>
      </c>
      <c r="F91" s="42" t="s">
        <v>67</v>
      </c>
      <c r="G91" s="43" t="s">
        <v>55</v>
      </c>
      <c r="H91" s="59" t="s">
        <v>68</v>
      </c>
      <c r="I91" s="44" t="s">
        <v>405</v>
      </c>
      <c r="J91" s="45" t="s">
        <v>404</v>
      </c>
      <c r="K91" s="44" t="s">
        <v>408</v>
      </c>
      <c r="L91" s="44" t="s">
        <v>409</v>
      </c>
    </row>
    <row r="92" ht="34.5" customHeight="1">
      <c r="A92" s="46" t="s">
        <v>438</v>
      </c>
      <c r="B92" s="47" t="s">
        <v>39</v>
      </c>
      <c r="C92" s="50" t="s">
        <v>64</v>
      </c>
      <c r="D92" s="62" t="s">
        <v>92</v>
      </c>
      <c r="E92" s="52" t="s">
        <v>67</v>
      </c>
      <c r="F92" s="52" t="s">
        <v>97</v>
      </c>
      <c r="G92" s="43" t="s">
        <v>55</v>
      </c>
      <c r="H92" s="46" t="s">
        <v>56</v>
      </c>
      <c r="I92" s="54" t="s">
        <v>440</v>
      </c>
      <c r="J92" s="55" t="s">
        <v>441</v>
      </c>
      <c r="K92" s="54"/>
      <c r="L92" s="54"/>
    </row>
    <row r="93" ht="39.75" customHeight="1">
      <c r="A93" s="36" t="s">
        <v>442</v>
      </c>
      <c r="B93" s="37" t="s">
        <v>39</v>
      </c>
      <c r="C93" s="57" t="s">
        <v>78</v>
      </c>
      <c r="D93" s="50" t="s">
        <v>64</v>
      </c>
      <c r="E93" s="42" t="s">
        <v>81</v>
      </c>
      <c r="F93" s="42" t="s">
        <v>67</v>
      </c>
      <c r="G93" s="43" t="s">
        <v>55</v>
      </c>
      <c r="H93" s="59" t="s">
        <v>187</v>
      </c>
      <c r="I93" s="44" t="s">
        <v>405</v>
      </c>
      <c r="J93" s="45" t="s">
        <v>404</v>
      </c>
      <c r="K93" s="44" t="s">
        <v>408</v>
      </c>
      <c r="L93" s="44" t="s">
        <v>444</v>
      </c>
    </row>
    <row r="94" ht="39.75" customHeight="1">
      <c r="A94" s="46" t="s">
        <v>414</v>
      </c>
      <c r="B94" s="47" t="s">
        <v>39</v>
      </c>
      <c r="C94" s="57" t="s">
        <v>78</v>
      </c>
      <c r="D94" s="50" t="s">
        <v>64</v>
      </c>
      <c r="E94" s="52" t="s">
        <v>81</v>
      </c>
      <c r="F94" s="52" t="s">
        <v>67</v>
      </c>
      <c r="G94" s="43" t="s">
        <v>55</v>
      </c>
      <c r="H94" s="53" t="s">
        <v>68</v>
      </c>
      <c r="I94" s="54" t="s">
        <v>405</v>
      </c>
      <c r="J94" s="55" t="s">
        <v>404</v>
      </c>
      <c r="K94" s="54" t="s">
        <v>408</v>
      </c>
      <c r="L94" s="54" t="s">
        <v>409</v>
      </c>
    </row>
    <row r="95" ht="39.75" customHeight="1">
      <c r="A95" s="36" t="s">
        <v>445</v>
      </c>
      <c r="B95" s="37" t="s">
        <v>39</v>
      </c>
      <c r="C95" s="149"/>
      <c r="D95" s="149"/>
      <c r="E95" s="42"/>
      <c r="F95" s="42"/>
      <c r="G95" s="150" t="s">
        <v>447</v>
      </c>
      <c r="H95" s="36" t="s">
        <v>198</v>
      </c>
      <c r="I95" s="44"/>
      <c r="J95" s="151"/>
      <c r="K95" s="44"/>
      <c r="L95" s="44" t="s">
        <v>448</v>
      </c>
    </row>
    <row r="96" ht="34.5" customHeight="1">
      <c r="A96" s="46" t="s">
        <v>450</v>
      </c>
      <c r="B96" s="47" t="s">
        <v>39</v>
      </c>
      <c r="C96" s="50" t="s">
        <v>64</v>
      </c>
      <c r="D96" s="49" t="s">
        <v>63</v>
      </c>
      <c r="E96" s="52" t="s">
        <v>67</v>
      </c>
      <c r="F96" s="52" t="s">
        <v>65</v>
      </c>
      <c r="G96" s="43" t="s">
        <v>55</v>
      </c>
      <c r="H96" s="46" t="s">
        <v>56</v>
      </c>
      <c r="I96" s="54" t="s">
        <v>451</v>
      </c>
      <c r="J96" s="55" t="s">
        <v>452</v>
      </c>
      <c r="K96" s="54"/>
      <c r="L96" s="54"/>
    </row>
    <row r="97" ht="39.75" customHeight="1">
      <c r="A97" s="36" t="s">
        <v>454</v>
      </c>
      <c r="B97" s="37" t="s">
        <v>39</v>
      </c>
      <c r="C97" s="41" t="s">
        <v>52</v>
      </c>
      <c r="D97" s="62" t="s">
        <v>92</v>
      </c>
      <c r="E97" s="42" t="s">
        <v>54</v>
      </c>
      <c r="F97" s="42" t="s">
        <v>97</v>
      </c>
      <c r="G97" s="43" t="s">
        <v>55</v>
      </c>
      <c r="H97" s="59" t="s">
        <v>68</v>
      </c>
      <c r="I97" s="44" t="s">
        <v>405</v>
      </c>
      <c r="J97" s="45" t="s">
        <v>404</v>
      </c>
      <c r="K97" s="44" t="s">
        <v>408</v>
      </c>
      <c r="L97" s="44" t="s">
        <v>409</v>
      </c>
    </row>
    <row r="98" ht="39.75" customHeight="1">
      <c r="A98" s="46" t="s">
        <v>456</v>
      </c>
      <c r="B98" s="47" t="s">
        <v>39</v>
      </c>
      <c r="C98" s="138" t="s">
        <v>199</v>
      </c>
      <c r="D98" s="50" t="s">
        <v>64</v>
      </c>
      <c r="E98" s="52" t="s">
        <v>200</v>
      </c>
      <c r="F98" s="52" t="s">
        <v>67</v>
      </c>
      <c r="G98" s="43" t="s">
        <v>55</v>
      </c>
      <c r="H98" s="53" t="s">
        <v>68</v>
      </c>
      <c r="I98" s="54" t="s">
        <v>405</v>
      </c>
      <c r="J98" s="55" t="s">
        <v>404</v>
      </c>
      <c r="K98" s="54" t="s">
        <v>408</v>
      </c>
      <c r="L98" s="54" t="s">
        <v>409</v>
      </c>
    </row>
    <row r="99" ht="39.75" customHeight="1">
      <c r="A99" s="36" t="s">
        <v>416</v>
      </c>
      <c r="B99" s="37" t="s">
        <v>39</v>
      </c>
      <c r="C99" s="62" t="s">
        <v>92</v>
      </c>
      <c r="D99" s="50" t="s">
        <v>64</v>
      </c>
      <c r="E99" s="42" t="s">
        <v>97</v>
      </c>
      <c r="F99" s="42" t="s">
        <v>67</v>
      </c>
      <c r="G99" s="43" t="s">
        <v>55</v>
      </c>
      <c r="H99" s="59" t="s">
        <v>68</v>
      </c>
      <c r="I99" s="44" t="s">
        <v>405</v>
      </c>
      <c r="J99" s="45" t="s">
        <v>404</v>
      </c>
      <c r="K99" s="44" t="s">
        <v>408</v>
      </c>
      <c r="L99" s="44" t="s">
        <v>409</v>
      </c>
    </row>
    <row r="100" ht="39.75" customHeight="1">
      <c r="A100" s="46" t="s">
        <v>458</v>
      </c>
      <c r="B100" s="47" t="s">
        <v>39</v>
      </c>
      <c r="C100" s="62" t="s">
        <v>92</v>
      </c>
      <c r="D100" s="50" t="s">
        <v>64</v>
      </c>
      <c r="E100" s="52" t="s">
        <v>97</v>
      </c>
      <c r="F100" s="52" t="s">
        <v>67</v>
      </c>
      <c r="G100" s="43" t="s">
        <v>55</v>
      </c>
      <c r="H100" s="53" t="s">
        <v>187</v>
      </c>
      <c r="I100" s="54" t="s">
        <v>405</v>
      </c>
      <c r="J100" s="55" t="s">
        <v>404</v>
      </c>
      <c r="K100" s="54" t="s">
        <v>408</v>
      </c>
      <c r="L100" s="54" t="s">
        <v>459</v>
      </c>
    </row>
    <row r="101" ht="39.75" customHeight="1">
      <c r="A101" s="36" t="s">
        <v>420</v>
      </c>
      <c r="B101" s="37" t="s">
        <v>39</v>
      </c>
      <c r="C101" s="62" t="s">
        <v>92</v>
      </c>
      <c r="D101" s="50" t="s">
        <v>64</v>
      </c>
      <c r="E101" s="42" t="s">
        <v>97</v>
      </c>
      <c r="F101" s="42" t="s">
        <v>67</v>
      </c>
      <c r="G101" s="43" t="s">
        <v>55</v>
      </c>
      <c r="H101" s="59" t="s">
        <v>68</v>
      </c>
      <c r="I101" s="44" t="s">
        <v>405</v>
      </c>
      <c r="J101" s="45" t="s">
        <v>404</v>
      </c>
      <c r="K101" s="44" t="s">
        <v>408</v>
      </c>
      <c r="L101" s="44" t="s">
        <v>409</v>
      </c>
    </row>
    <row r="102" ht="39.75" customHeight="1">
      <c r="A102" s="46" t="s">
        <v>460</v>
      </c>
      <c r="B102" s="47" t="s">
        <v>39</v>
      </c>
      <c r="C102" s="62" t="s">
        <v>92</v>
      </c>
      <c r="D102" s="56" t="s">
        <v>76</v>
      </c>
      <c r="E102" s="52" t="s">
        <v>97</v>
      </c>
      <c r="F102" s="52" t="s">
        <v>79</v>
      </c>
      <c r="G102" s="43" t="s">
        <v>55</v>
      </c>
      <c r="H102" s="53" t="s">
        <v>68</v>
      </c>
      <c r="I102" s="54" t="s">
        <v>405</v>
      </c>
      <c r="J102" s="55" t="s">
        <v>404</v>
      </c>
      <c r="K102" s="54" t="s">
        <v>408</v>
      </c>
      <c r="L102" s="54" t="s">
        <v>409</v>
      </c>
    </row>
    <row r="103" ht="39.75" customHeight="1">
      <c r="A103" s="36" t="s">
        <v>421</v>
      </c>
      <c r="B103" s="37" t="s">
        <v>39</v>
      </c>
      <c r="C103" s="50" t="s">
        <v>64</v>
      </c>
      <c r="D103" s="138" t="s">
        <v>199</v>
      </c>
      <c r="E103" s="42" t="s">
        <v>67</v>
      </c>
      <c r="F103" s="42" t="s">
        <v>200</v>
      </c>
      <c r="G103" s="43" t="s">
        <v>55</v>
      </c>
      <c r="H103" s="59" t="s">
        <v>68</v>
      </c>
      <c r="I103" s="44" t="s">
        <v>405</v>
      </c>
      <c r="J103" s="45" t="s">
        <v>404</v>
      </c>
      <c r="K103" s="44" t="s">
        <v>408</v>
      </c>
      <c r="L103" s="44" t="s">
        <v>409</v>
      </c>
    </row>
    <row r="104" ht="34.5" customHeight="1">
      <c r="A104" s="46" t="s">
        <v>461</v>
      </c>
      <c r="B104" s="47" t="s">
        <v>39</v>
      </c>
      <c r="C104" s="62" t="s">
        <v>92</v>
      </c>
      <c r="D104" s="56" t="s">
        <v>76</v>
      </c>
      <c r="E104" s="52" t="s">
        <v>97</v>
      </c>
      <c r="F104" s="52" t="s">
        <v>79</v>
      </c>
      <c r="G104" s="43" t="s">
        <v>55</v>
      </c>
      <c r="H104" s="46" t="s">
        <v>56</v>
      </c>
      <c r="I104" s="54" t="s">
        <v>462</v>
      </c>
      <c r="J104" s="55" t="s">
        <v>463</v>
      </c>
      <c r="K104" s="54"/>
      <c r="L104" s="54"/>
    </row>
    <row r="105" ht="39.75" customHeight="1">
      <c r="A105" s="36" t="s">
        <v>423</v>
      </c>
      <c r="B105" s="37" t="s">
        <v>39</v>
      </c>
      <c r="C105" s="62" t="s">
        <v>92</v>
      </c>
      <c r="D105" s="50" t="s">
        <v>64</v>
      </c>
      <c r="E105" s="42" t="s">
        <v>97</v>
      </c>
      <c r="F105" s="42" t="s">
        <v>67</v>
      </c>
      <c r="G105" s="43" t="s">
        <v>55</v>
      </c>
      <c r="H105" s="59" t="s">
        <v>68</v>
      </c>
      <c r="I105" s="44" t="s">
        <v>405</v>
      </c>
      <c r="J105" s="45" t="s">
        <v>404</v>
      </c>
      <c r="K105" s="44" t="s">
        <v>408</v>
      </c>
      <c r="L105" s="44" t="s">
        <v>409</v>
      </c>
    </row>
    <row r="106" ht="34.5" customHeight="1">
      <c r="A106" s="46" t="s">
        <v>464</v>
      </c>
      <c r="B106" s="47" t="s">
        <v>39</v>
      </c>
      <c r="C106" s="62" t="s">
        <v>92</v>
      </c>
      <c r="D106" s="56" t="s">
        <v>76</v>
      </c>
      <c r="E106" s="52" t="s">
        <v>97</v>
      </c>
      <c r="F106" s="52" t="s">
        <v>79</v>
      </c>
      <c r="G106" s="43" t="s">
        <v>55</v>
      </c>
      <c r="H106" s="46" t="s">
        <v>195</v>
      </c>
      <c r="I106" s="54" t="s">
        <v>465</v>
      </c>
      <c r="J106" s="55" t="s">
        <v>467</v>
      </c>
      <c r="K106" s="54"/>
      <c r="L106" s="54" t="s">
        <v>468</v>
      </c>
    </row>
    <row r="107" ht="34.5" customHeight="1">
      <c r="A107" s="36" t="s">
        <v>469</v>
      </c>
      <c r="B107" s="37" t="s">
        <v>39</v>
      </c>
      <c r="C107" s="62" t="s">
        <v>92</v>
      </c>
      <c r="D107" s="41" t="s">
        <v>52</v>
      </c>
      <c r="E107" s="42" t="s">
        <v>97</v>
      </c>
      <c r="F107" s="42" t="s">
        <v>54</v>
      </c>
      <c r="G107" s="43" t="s">
        <v>55</v>
      </c>
      <c r="H107" s="36" t="s">
        <v>56</v>
      </c>
      <c r="I107" s="44" t="s">
        <v>470</v>
      </c>
      <c r="J107" s="45" t="s">
        <v>471</v>
      </c>
      <c r="K107" s="44"/>
      <c r="L107" s="44" t="s">
        <v>472</v>
      </c>
    </row>
    <row r="108" ht="39.75" customHeight="1">
      <c r="A108" s="46" t="s">
        <v>425</v>
      </c>
      <c r="B108" s="47" t="s">
        <v>39</v>
      </c>
      <c r="C108" s="62" t="s">
        <v>92</v>
      </c>
      <c r="D108" s="49" t="s">
        <v>63</v>
      </c>
      <c r="E108" s="52" t="s">
        <v>97</v>
      </c>
      <c r="F108" s="52" t="s">
        <v>65</v>
      </c>
      <c r="G108" s="43" t="s">
        <v>55</v>
      </c>
      <c r="H108" s="53" t="s">
        <v>68</v>
      </c>
      <c r="I108" s="54" t="s">
        <v>405</v>
      </c>
      <c r="J108" s="55" t="s">
        <v>404</v>
      </c>
      <c r="K108" s="54" t="s">
        <v>408</v>
      </c>
      <c r="L108" s="54" t="s">
        <v>409</v>
      </c>
    </row>
    <row r="109" ht="39.75" customHeight="1">
      <c r="A109" s="36" t="s">
        <v>473</v>
      </c>
      <c r="B109" s="37" t="s">
        <v>39</v>
      </c>
      <c r="C109" s="49" t="s">
        <v>63</v>
      </c>
      <c r="D109" s="50" t="s">
        <v>64</v>
      </c>
      <c r="E109" s="42" t="s">
        <v>65</v>
      </c>
      <c r="F109" s="42" t="s">
        <v>67</v>
      </c>
      <c r="G109" s="43" t="s">
        <v>55</v>
      </c>
      <c r="H109" s="59" t="s">
        <v>68</v>
      </c>
      <c r="I109" s="44" t="s">
        <v>405</v>
      </c>
      <c r="J109" s="45" t="s">
        <v>404</v>
      </c>
      <c r="K109" s="44" t="s">
        <v>408</v>
      </c>
      <c r="L109" s="44" t="s">
        <v>406</v>
      </c>
    </row>
    <row r="110" ht="39.75" customHeight="1">
      <c r="A110" s="46" t="s">
        <v>474</v>
      </c>
      <c r="B110" s="47" t="s">
        <v>39</v>
      </c>
      <c r="C110" s="49" t="s">
        <v>63</v>
      </c>
      <c r="D110" s="50" t="s">
        <v>64</v>
      </c>
      <c r="E110" s="52" t="s">
        <v>65</v>
      </c>
      <c r="F110" s="52" t="s">
        <v>67</v>
      </c>
      <c r="G110" s="43" t="s">
        <v>55</v>
      </c>
      <c r="H110" s="53" t="s">
        <v>68</v>
      </c>
      <c r="I110" s="54" t="s">
        <v>405</v>
      </c>
      <c r="J110" s="55" t="s">
        <v>404</v>
      </c>
      <c r="K110" s="54" t="s">
        <v>408</v>
      </c>
      <c r="L110" s="54" t="s">
        <v>409</v>
      </c>
    </row>
    <row r="111" ht="39.75" customHeight="1">
      <c r="A111" s="36" t="s">
        <v>476</v>
      </c>
      <c r="B111" s="37" t="s">
        <v>39</v>
      </c>
      <c r="C111" s="49" t="s">
        <v>63</v>
      </c>
      <c r="D111" s="50" t="s">
        <v>64</v>
      </c>
      <c r="E111" s="42" t="s">
        <v>65</v>
      </c>
      <c r="F111" s="42" t="s">
        <v>67</v>
      </c>
      <c r="G111" s="43" t="s">
        <v>55</v>
      </c>
      <c r="H111" s="59" t="s">
        <v>68</v>
      </c>
      <c r="I111" s="44" t="s">
        <v>405</v>
      </c>
      <c r="J111" s="45" t="s">
        <v>404</v>
      </c>
      <c r="K111" s="44" t="s">
        <v>408</v>
      </c>
      <c r="L111" s="44" t="s">
        <v>409</v>
      </c>
    </row>
    <row r="112" ht="39.75" customHeight="1">
      <c r="A112" s="46" t="s">
        <v>477</v>
      </c>
      <c r="B112" s="47" t="s">
        <v>39</v>
      </c>
      <c r="C112" s="62" t="s">
        <v>92</v>
      </c>
      <c r="D112" s="56" t="s">
        <v>76</v>
      </c>
      <c r="E112" s="52" t="s">
        <v>97</v>
      </c>
      <c r="F112" s="52" t="s">
        <v>79</v>
      </c>
      <c r="G112" s="43" t="s">
        <v>55</v>
      </c>
      <c r="H112" s="53" t="s">
        <v>68</v>
      </c>
      <c r="I112" s="54" t="s">
        <v>405</v>
      </c>
      <c r="J112" s="55" t="s">
        <v>404</v>
      </c>
      <c r="K112" s="54" t="s">
        <v>408</v>
      </c>
      <c r="L112" s="54" t="s">
        <v>409</v>
      </c>
    </row>
    <row r="113" ht="39.75" customHeight="1">
      <c r="A113" s="36" t="s">
        <v>478</v>
      </c>
      <c r="B113" s="37" t="s">
        <v>39</v>
      </c>
      <c r="C113" s="62" t="s">
        <v>92</v>
      </c>
      <c r="D113" s="50" t="s">
        <v>64</v>
      </c>
      <c r="E113" s="42" t="s">
        <v>97</v>
      </c>
      <c r="F113" s="42" t="s">
        <v>67</v>
      </c>
      <c r="G113" s="43" t="s">
        <v>55</v>
      </c>
      <c r="H113" s="59" t="s">
        <v>68</v>
      </c>
      <c r="I113" s="44" t="s">
        <v>405</v>
      </c>
      <c r="J113" s="45" t="s">
        <v>404</v>
      </c>
      <c r="K113" s="44" t="s">
        <v>408</v>
      </c>
      <c r="L113" s="44" t="s">
        <v>409</v>
      </c>
    </row>
    <row r="114" ht="39.75" customHeight="1">
      <c r="A114" s="46" t="s">
        <v>479</v>
      </c>
      <c r="B114" s="47" t="s">
        <v>39</v>
      </c>
      <c r="C114" s="149"/>
      <c r="D114" s="149"/>
      <c r="E114" s="52"/>
      <c r="F114" s="52"/>
      <c r="G114" s="150" t="s">
        <v>447</v>
      </c>
      <c r="H114" s="46" t="s">
        <v>198</v>
      </c>
      <c r="I114" s="54"/>
      <c r="J114" s="155"/>
      <c r="K114" s="54"/>
      <c r="L114" s="54" t="s">
        <v>448</v>
      </c>
    </row>
    <row r="115" ht="39.75" customHeight="1">
      <c r="A115" s="36" t="s">
        <v>480</v>
      </c>
      <c r="B115" s="37" t="s">
        <v>39</v>
      </c>
      <c r="C115" s="41" t="s">
        <v>52</v>
      </c>
      <c r="D115" s="62" t="s">
        <v>92</v>
      </c>
      <c r="E115" s="42" t="s">
        <v>54</v>
      </c>
      <c r="F115" s="42" t="s">
        <v>97</v>
      </c>
      <c r="G115" s="43" t="s">
        <v>55</v>
      </c>
      <c r="H115" s="59" t="s">
        <v>68</v>
      </c>
      <c r="I115" s="44" t="s">
        <v>405</v>
      </c>
      <c r="J115" s="45" t="s">
        <v>404</v>
      </c>
      <c r="K115" s="44" t="s">
        <v>408</v>
      </c>
      <c r="L115" s="44" t="s">
        <v>409</v>
      </c>
    </row>
    <row r="116" ht="39.75" customHeight="1">
      <c r="A116" s="46" t="s">
        <v>481</v>
      </c>
      <c r="B116" s="47" t="s">
        <v>39</v>
      </c>
      <c r="C116" s="62" t="s">
        <v>92</v>
      </c>
      <c r="D116" s="50" t="s">
        <v>64</v>
      </c>
      <c r="E116" s="52" t="s">
        <v>97</v>
      </c>
      <c r="F116" s="52" t="s">
        <v>67</v>
      </c>
      <c r="G116" s="43" t="s">
        <v>55</v>
      </c>
      <c r="H116" s="53" t="s">
        <v>68</v>
      </c>
      <c r="I116" s="54" t="s">
        <v>405</v>
      </c>
      <c r="J116" s="55" t="s">
        <v>404</v>
      </c>
      <c r="K116" s="54" t="s">
        <v>408</v>
      </c>
      <c r="L116" s="54" t="s">
        <v>409</v>
      </c>
    </row>
    <row r="117" ht="39.75" customHeight="1">
      <c r="A117" s="36" t="s">
        <v>429</v>
      </c>
      <c r="B117" s="37" t="s">
        <v>39</v>
      </c>
      <c r="C117" s="62" t="s">
        <v>92</v>
      </c>
      <c r="D117" s="56" t="s">
        <v>76</v>
      </c>
      <c r="E117" s="42" t="s">
        <v>97</v>
      </c>
      <c r="F117" s="42" t="s">
        <v>79</v>
      </c>
      <c r="G117" s="43" t="s">
        <v>55</v>
      </c>
      <c r="H117" s="59" t="s">
        <v>68</v>
      </c>
      <c r="I117" s="44" t="s">
        <v>405</v>
      </c>
      <c r="J117" s="45" t="s">
        <v>404</v>
      </c>
      <c r="K117" s="44" t="s">
        <v>408</v>
      </c>
      <c r="L117" s="44" t="s">
        <v>409</v>
      </c>
    </row>
    <row r="118" ht="39.75" customHeight="1">
      <c r="A118" s="46" t="s">
        <v>483</v>
      </c>
      <c r="B118" s="47" t="s">
        <v>39</v>
      </c>
      <c r="C118" s="49" t="s">
        <v>63</v>
      </c>
      <c r="D118" s="50" t="s">
        <v>64</v>
      </c>
      <c r="E118" s="52" t="s">
        <v>65</v>
      </c>
      <c r="F118" s="52" t="s">
        <v>67</v>
      </c>
      <c r="G118" s="43" t="s">
        <v>55</v>
      </c>
      <c r="H118" s="53" t="s">
        <v>68</v>
      </c>
      <c r="I118" s="54" t="s">
        <v>405</v>
      </c>
      <c r="J118" s="55" t="s">
        <v>404</v>
      </c>
      <c r="K118" s="54" t="s">
        <v>408</v>
      </c>
      <c r="L118" s="54" t="s">
        <v>409</v>
      </c>
    </row>
    <row r="119" ht="39.75" customHeight="1">
      <c r="A119" s="36" t="s">
        <v>482</v>
      </c>
      <c r="B119" s="37" t="s">
        <v>39</v>
      </c>
      <c r="C119" s="49" t="s">
        <v>63</v>
      </c>
      <c r="D119" s="86" t="s">
        <v>164</v>
      </c>
      <c r="E119" s="42" t="s">
        <v>65</v>
      </c>
      <c r="F119" s="42" t="s">
        <v>165</v>
      </c>
      <c r="G119" s="43" t="s">
        <v>55</v>
      </c>
      <c r="H119" s="59" t="s">
        <v>68</v>
      </c>
      <c r="I119" s="44" t="s">
        <v>405</v>
      </c>
      <c r="J119" s="45" t="s">
        <v>404</v>
      </c>
      <c r="K119" s="44" t="s">
        <v>408</v>
      </c>
      <c r="L119" s="44" t="s">
        <v>409</v>
      </c>
    </row>
    <row r="120" ht="39.75" customHeight="1">
      <c r="A120" s="46" t="s">
        <v>486</v>
      </c>
      <c r="B120" s="47" t="s">
        <v>39</v>
      </c>
      <c r="C120" s="49" t="s">
        <v>63</v>
      </c>
      <c r="D120" s="86" t="s">
        <v>164</v>
      </c>
      <c r="E120" s="52" t="s">
        <v>65</v>
      </c>
      <c r="F120" s="52" t="s">
        <v>165</v>
      </c>
      <c r="G120" s="43" t="s">
        <v>55</v>
      </c>
      <c r="H120" s="53" t="s">
        <v>68</v>
      </c>
      <c r="I120" s="54" t="s">
        <v>405</v>
      </c>
      <c r="J120" s="55" t="s">
        <v>404</v>
      </c>
      <c r="K120" s="54" t="s">
        <v>408</v>
      </c>
      <c r="L120" s="54" t="s">
        <v>409</v>
      </c>
    </row>
    <row r="121" ht="39.75" customHeight="1">
      <c r="A121" s="36" t="s">
        <v>431</v>
      </c>
      <c r="B121" s="37" t="s">
        <v>39</v>
      </c>
      <c r="C121" s="57" t="s">
        <v>78</v>
      </c>
      <c r="D121" s="50" t="s">
        <v>64</v>
      </c>
      <c r="E121" s="42" t="s">
        <v>81</v>
      </c>
      <c r="F121" s="42" t="s">
        <v>67</v>
      </c>
      <c r="G121" s="43" t="s">
        <v>55</v>
      </c>
      <c r="H121" s="59" t="s">
        <v>68</v>
      </c>
      <c r="I121" s="44" t="s">
        <v>405</v>
      </c>
      <c r="J121" s="45" t="s">
        <v>404</v>
      </c>
      <c r="K121" s="44" t="s">
        <v>408</v>
      </c>
      <c r="L121" s="44" t="s">
        <v>409</v>
      </c>
    </row>
    <row r="122" ht="39.75" customHeight="1">
      <c r="A122" s="46" t="s">
        <v>489</v>
      </c>
      <c r="B122" s="47" t="s">
        <v>39</v>
      </c>
      <c r="C122" s="149"/>
      <c r="D122" s="149"/>
      <c r="E122" s="52"/>
      <c r="F122" s="52"/>
      <c r="G122" s="150" t="s">
        <v>447</v>
      </c>
      <c r="H122" s="46" t="s">
        <v>198</v>
      </c>
      <c r="I122" s="54"/>
      <c r="J122" s="155"/>
      <c r="K122" s="54"/>
      <c r="L122" s="54" t="s">
        <v>448</v>
      </c>
    </row>
    <row r="123" ht="34.5" customHeight="1">
      <c r="A123" s="36" t="s">
        <v>433</v>
      </c>
      <c r="B123" s="37" t="s">
        <v>39</v>
      </c>
      <c r="C123" s="49" t="s">
        <v>63</v>
      </c>
      <c r="D123" s="62" t="s">
        <v>92</v>
      </c>
      <c r="E123" s="42" t="s">
        <v>65</v>
      </c>
      <c r="F123" s="42" t="s">
        <v>97</v>
      </c>
      <c r="G123" s="43" t="s">
        <v>55</v>
      </c>
      <c r="H123" s="36" t="s">
        <v>56</v>
      </c>
      <c r="I123" s="44" t="s">
        <v>492</v>
      </c>
      <c r="J123" s="45" t="s">
        <v>435</v>
      </c>
      <c r="K123" s="44"/>
      <c r="L123" s="44"/>
    </row>
    <row r="124" ht="39.75" customHeight="1">
      <c r="A124" s="46" t="s">
        <v>493</v>
      </c>
      <c r="B124" s="47" t="s">
        <v>39</v>
      </c>
      <c r="C124" s="62" t="s">
        <v>92</v>
      </c>
      <c r="D124" s="50" t="s">
        <v>64</v>
      </c>
      <c r="E124" s="52" t="s">
        <v>97</v>
      </c>
      <c r="F124" s="52" t="s">
        <v>67</v>
      </c>
      <c r="G124" s="43" t="s">
        <v>55</v>
      </c>
      <c r="H124" s="53" t="s">
        <v>68</v>
      </c>
      <c r="I124" s="54" t="s">
        <v>405</v>
      </c>
      <c r="J124" s="55" t="s">
        <v>404</v>
      </c>
      <c r="K124" s="54" t="s">
        <v>408</v>
      </c>
      <c r="L124" s="54" t="s">
        <v>409</v>
      </c>
    </row>
    <row r="125" ht="39.75" customHeight="1">
      <c r="A125" s="36" t="s">
        <v>495</v>
      </c>
      <c r="B125" s="37" t="s">
        <v>39</v>
      </c>
      <c r="C125" s="56" t="s">
        <v>76</v>
      </c>
      <c r="D125" s="62" t="s">
        <v>92</v>
      </c>
      <c r="E125" s="42" t="s">
        <v>79</v>
      </c>
      <c r="F125" s="42" t="s">
        <v>97</v>
      </c>
      <c r="G125" s="43" t="s">
        <v>55</v>
      </c>
      <c r="H125" s="59" t="s">
        <v>68</v>
      </c>
      <c r="I125" s="44" t="s">
        <v>405</v>
      </c>
      <c r="J125" s="45" t="s">
        <v>404</v>
      </c>
      <c r="K125" s="44" t="s">
        <v>408</v>
      </c>
      <c r="L125" s="44" t="s">
        <v>409</v>
      </c>
    </row>
    <row r="126" ht="39.75" customHeight="1">
      <c r="A126" s="46" t="s">
        <v>497</v>
      </c>
      <c r="B126" s="47" t="s">
        <v>39</v>
      </c>
      <c r="C126" s="138" t="s">
        <v>199</v>
      </c>
      <c r="D126" s="50" t="s">
        <v>64</v>
      </c>
      <c r="E126" s="52" t="s">
        <v>200</v>
      </c>
      <c r="F126" s="52" t="s">
        <v>67</v>
      </c>
      <c r="G126" s="43" t="s">
        <v>55</v>
      </c>
      <c r="H126" s="53" t="s">
        <v>68</v>
      </c>
      <c r="I126" s="54" t="s">
        <v>405</v>
      </c>
      <c r="J126" s="55" t="s">
        <v>404</v>
      </c>
      <c r="K126" s="54" t="s">
        <v>408</v>
      </c>
      <c r="L126" s="54" t="s">
        <v>409</v>
      </c>
    </row>
    <row r="127" ht="39.75" customHeight="1">
      <c r="A127" s="36" t="s">
        <v>437</v>
      </c>
      <c r="B127" s="37" t="s">
        <v>39</v>
      </c>
      <c r="C127" s="50" t="s">
        <v>64</v>
      </c>
      <c r="D127" s="138" t="s">
        <v>199</v>
      </c>
      <c r="E127" s="42" t="s">
        <v>67</v>
      </c>
      <c r="F127" s="42" t="s">
        <v>200</v>
      </c>
      <c r="G127" s="43" t="s">
        <v>55</v>
      </c>
      <c r="H127" s="59" t="s">
        <v>68</v>
      </c>
      <c r="I127" s="44" t="s">
        <v>405</v>
      </c>
      <c r="J127" s="45" t="s">
        <v>404</v>
      </c>
      <c r="K127" s="44" t="s">
        <v>408</v>
      </c>
      <c r="L127" s="44" t="s">
        <v>409</v>
      </c>
    </row>
    <row r="128" ht="39.75" customHeight="1">
      <c r="A128" s="46" t="s">
        <v>499</v>
      </c>
      <c r="B128" s="47" t="s">
        <v>39</v>
      </c>
      <c r="C128" s="50" t="s">
        <v>64</v>
      </c>
      <c r="D128" s="49" t="s">
        <v>63</v>
      </c>
      <c r="E128" s="52" t="s">
        <v>67</v>
      </c>
      <c r="F128" s="52" t="s">
        <v>65</v>
      </c>
      <c r="G128" s="43" t="s">
        <v>55</v>
      </c>
      <c r="H128" s="53" t="s">
        <v>68</v>
      </c>
      <c r="I128" s="54" t="s">
        <v>405</v>
      </c>
      <c r="J128" s="55" t="s">
        <v>404</v>
      </c>
      <c r="K128" s="54" t="s">
        <v>408</v>
      </c>
      <c r="L128" s="54" t="s">
        <v>411</v>
      </c>
    </row>
    <row r="129" ht="39.75" customHeight="1">
      <c r="A129" s="36" t="s">
        <v>439</v>
      </c>
      <c r="B129" s="37" t="s">
        <v>39</v>
      </c>
      <c r="C129" s="50" t="s">
        <v>64</v>
      </c>
      <c r="D129" s="49" t="s">
        <v>63</v>
      </c>
      <c r="E129" s="42" t="s">
        <v>67</v>
      </c>
      <c r="F129" s="42" t="s">
        <v>65</v>
      </c>
      <c r="G129" s="43" t="s">
        <v>55</v>
      </c>
      <c r="H129" s="59" t="s">
        <v>68</v>
      </c>
      <c r="I129" s="44" t="s">
        <v>405</v>
      </c>
      <c r="J129" s="45" t="s">
        <v>404</v>
      </c>
      <c r="K129" s="44" t="s">
        <v>408</v>
      </c>
      <c r="L129" s="44" t="s">
        <v>409</v>
      </c>
    </row>
    <row r="130" ht="39.75" customHeight="1">
      <c r="A130" s="46" t="s">
        <v>501</v>
      </c>
      <c r="B130" s="47" t="s">
        <v>39</v>
      </c>
      <c r="C130" s="62" t="s">
        <v>92</v>
      </c>
      <c r="D130" s="50" t="s">
        <v>64</v>
      </c>
      <c r="E130" s="52" t="s">
        <v>97</v>
      </c>
      <c r="F130" s="52" t="s">
        <v>67</v>
      </c>
      <c r="G130" s="43" t="s">
        <v>55</v>
      </c>
      <c r="H130" s="53" t="s">
        <v>68</v>
      </c>
      <c r="I130" s="54" t="s">
        <v>405</v>
      </c>
      <c r="J130" s="55" t="s">
        <v>404</v>
      </c>
      <c r="K130" s="54" t="s">
        <v>408</v>
      </c>
      <c r="L130" s="54" t="s">
        <v>409</v>
      </c>
    </row>
    <row r="131" ht="39.75" customHeight="1">
      <c r="A131" s="36" t="s">
        <v>443</v>
      </c>
      <c r="B131" s="37" t="s">
        <v>39</v>
      </c>
      <c r="C131" s="138" t="s">
        <v>199</v>
      </c>
      <c r="D131" s="50" t="s">
        <v>64</v>
      </c>
      <c r="E131" s="42" t="s">
        <v>200</v>
      </c>
      <c r="F131" s="42" t="s">
        <v>67</v>
      </c>
      <c r="G131" s="43" t="s">
        <v>55</v>
      </c>
      <c r="H131" s="59" t="s">
        <v>68</v>
      </c>
      <c r="I131" s="44" t="s">
        <v>405</v>
      </c>
      <c r="J131" s="45" t="s">
        <v>404</v>
      </c>
      <c r="K131" s="44" t="s">
        <v>408</v>
      </c>
      <c r="L131" s="44" t="s">
        <v>409</v>
      </c>
    </row>
    <row r="132" ht="34.5" customHeight="1">
      <c r="A132" s="46" t="s">
        <v>502</v>
      </c>
      <c r="B132" s="47" t="s">
        <v>39</v>
      </c>
      <c r="C132" s="50" t="s">
        <v>64</v>
      </c>
      <c r="D132" s="149" t="s">
        <v>503</v>
      </c>
      <c r="E132" s="52" t="s">
        <v>67</v>
      </c>
      <c r="F132" s="52"/>
      <c r="G132" s="150" t="s">
        <v>35</v>
      </c>
      <c r="H132" s="46" t="s">
        <v>56</v>
      </c>
      <c r="I132" s="54" t="s">
        <v>504</v>
      </c>
      <c r="J132" s="55" t="s">
        <v>505</v>
      </c>
      <c r="K132" s="54"/>
      <c r="L132" s="54" t="s">
        <v>506</v>
      </c>
    </row>
    <row r="133" ht="39.75" customHeight="1">
      <c r="A133" s="36" t="s">
        <v>446</v>
      </c>
      <c r="B133" s="37" t="s">
        <v>39</v>
      </c>
      <c r="C133" s="50" t="s">
        <v>64</v>
      </c>
      <c r="D133" s="152" t="s">
        <v>218</v>
      </c>
      <c r="E133" s="42" t="s">
        <v>67</v>
      </c>
      <c r="F133" s="42" t="s">
        <v>219</v>
      </c>
      <c r="G133" s="43" t="s">
        <v>55</v>
      </c>
      <c r="H133" s="59" t="s">
        <v>68</v>
      </c>
      <c r="I133" s="44" t="s">
        <v>405</v>
      </c>
      <c r="J133" s="45" t="s">
        <v>404</v>
      </c>
      <c r="K133" s="44" t="s">
        <v>408</v>
      </c>
      <c r="L133" s="44" t="s">
        <v>409</v>
      </c>
    </row>
    <row r="134" ht="39.75" customHeight="1">
      <c r="A134" s="46" t="s">
        <v>507</v>
      </c>
      <c r="B134" s="47" t="s">
        <v>39</v>
      </c>
      <c r="C134" s="50" t="s">
        <v>64</v>
      </c>
      <c r="D134" s="152" t="s">
        <v>218</v>
      </c>
      <c r="E134" s="52" t="s">
        <v>67</v>
      </c>
      <c r="F134" s="52" t="s">
        <v>219</v>
      </c>
      <c r="G134" s="43" t="s">
        <v>55</v>
      </c>
      <c r="H134" s="53" t="s">
        <v>187</v>
      </c>
      <c r="I134" s="54" t="s">
        <v>405</v>
      </c>
      <c r="J134" s="55" t="s">
        <v>404</v>
      </c>
      <c r="K134" s="54" t="s">
        <v>408</v>
      </c>
      <c r="L134" s="54" t="s">
        <v>508</v>
      </c>
    </row>
    <row r="135" ht="39.75" customHeight="1">
      <c r="A135" s="36" t="s">
        <v>509</v>
      </c>
      <c r="B135" s="37" t="s">
        <v>39</v>
      </c>
      <c r="C135" s="49" t="s">
        <v>63</v>
      </c>
      <c r="D135" s="50" t="s">
        <v>64</v>
      </c>
      <c r="E135" s="42" t="s">
        <v>65</v>
      </c>
      <c r="F135" s="42" t="s">
        <v>67</v>
      </c>
      <c r="G135" s="43" t="s">
        <v>55</v>
      </c>
      <c r="H135" s="59" t="s">
        <v>68</v>
      </c>
      <c r="I135" s="44" t="s">
        <v>405</v>
      </c>
      <c r="J135" s="45" t="s">
        <v>404</v>
      </c>
      <c r="K135" s="44" t="s">
        <v>408</v>
      </c>
      <c r="L135" s="44" t="s">
        <v>409</v>
      </c>
    </row>
    <row r="136" ht="34.5" customHeight="1">
      <c r="A136" s="46" t="s">
        <v>484</v>
      </c>
      <c r="B136" s="47" t="s">
        <v>39</v>
      </c>
      <c r="C136" s="62" t="s">
        <v>92</v>
      </c>
      <c r="D136" s="50" t="s">
        <v>64</v>
      </c>
      <c r="E136" s="52" t="s">
        <v>97</v>
      </c>
      <c r="F136" s="52" t="s">
        <v>67</v>
      </c>
      <c r="G136" s="43" t="s">
        <v>55</v>
      </c>
      <c r="H136" s="46" t="s">
        <v>56</v>
      </c>
      <c r="I136" s="54" t="s">
        <v>510</v>
      </c>
      <c r="J136" s="55" t="s">
        <v>485</v>
      </c>
      <c r="K136" s="54"/>
      <c r="L136" s="54" t="s">
        <v>487</v>
      </c>
    </row>
    <row r="137" ht="39.75" customHeight="1">
      <c r="A137" s="36" t="s">
        <v>449</v>
      </c>
      <c r="B137" s="37" t="s">
        <v>39</v>
      </c>
      <c r="C137" s="62" t="s">
        <v>92</v>
      </c>
      <c r="D137" s="50" t="s">
        <v>64</v>
      </c>
      <c r="E137" s="42" t="s">
        <v>97</v>
      </c>
      <c r="F137" s="42" t="s">
        <v>67</v>
      </c>
      <c r="G137" s="43" t="s">
        <v>55</v>
      </c>
      <c r="H137" s="59" t="s">
        <v>68</v>
      </c>
      <c r="I137" s="44" t="s">
        <v>405</v>
      </c>
      <c r="J137" s="45" t="s">
        <v>404</v>
      </c>
      <c r="K137" s="44" t="s">
        <v>408</v>
      </c>
      <c r="L137" s="44" t="s">
        <v>409</v>
      </c>
    </row>
    <row r="138" ht="39.75" customHeight="1">
      <c r="A138" s="46" t="s">
        <v>488</v>
      </c>
      <c r="B138" s="47" t="s">
        <v>39</v>
      </c>
      <c r="C138" s="62" t="s">
        <v>92</v>
      </c>
      <c r="D138" s="50" t="s">
        <v>64</v>
      </c>
      <c r="E138" s="52" t="s">
        <v>97</v>
      </c>
      <c r="F138" s="52" t="s">
        <v>67</v>
      </c>
      <c r="G138" s="43" t="s">
        <v>55</v>
      </c>
      <c r="H138" s="53" t="s">
        <v>187</v>
      </c>
      <c r="I138" s="54" t="s">
        <v>405</v>
      </c>
      <c r="J138" s="55" t="s">
        <v>404</v>
      </c>
      <c r="K138" s="54" t="s">
        <v>408</v>
      </c>
      <c r="L138" s="54" t="s">
        <v>490</v>
      </c>
    </row>
    <row r="139" ht="39.75" customHeight="1">
      <c r="A139" s="36" t="s">
        <v>511</v>
      </c>
      <c r="B139" s="37" t="s">
        <v>39</v>
      </c>
      <c r="C139" s="50" t="s">
        <v>64</v>
      </c>
      <c r="D139" s="86" t="s">
        <v>164</v>
      </c>
      <c r="E139" s="42" t="s">
        <v>67</v>
      </c>
      <c r="F139" s="42" t="s">
        <v>165</v>
      </c>
      <c r="G139" s="43" t="s">
        <v>55</v>
      </c>
      <c r="H139" s="59" t="s">
        <v>68</v>
      </c>
      <c r="I139" s="44" t="s">
        <v>405</v>
      </c>
      <c r="J139" s="45" t="s">
        <v>404</v>
      </c>
      <c r="K139" s="44" t="s">
        <v>408</v>
      </c>
      <c r="L139" s="44" t="s">
        <v>409</v>
      </c>
    </row>
    <row r="140" ht="39.75" customHeight="1">
      <c r="A140" s="46" t="s">
        <v>491</v>
      </c>
      <c r="B140" s="47" t="s">
        <v>39</v>
      </c>
      <c r="C140" s="152" t="s">
        <v>218</v>
      </c>
      <c r="D140" s="50" t="s">
        <v>64</v>
      </c>
      <c r="E140" s="52" t="s">
        <v>219</v>
      </c>
      <c r="F140" s="52" t="s">
        <v>67</v>
      </c>
      <c r="G140" s="43" t="s">
        <v>55</v>
      </c>
      <c r="H140" s="53" t="s">
        <v>68</v>
      </c>
      <c r="I140" s="54" t="s">
        <v>405</v>
      </c>
      <c r="J140" s="55" t="s">
        <v>404</v>
      </c>
      <c r="K140" s="54" t="s">
        <v>408</v>
      </c>
      <c r="L140" s="54" t="s">
        <v>409</v>
      </c>
    </row>
    <row r="141" ht="39.75" customHeight="1">
      <c r="A141" s="36" t="s">
        <v>512</v>
      </c>
      <c r="B141" s="37" t="s">
        <v>39</v>
      </c>
      <c r="C141" s="50" t="s">
        <v>64</v>
      </c>
      <c r="D141" s="62" t="s">
        <v>92</v>
      </c>
      <c r="E141" s="42" t="s">
        <v>67</v>
      </c>
      <c r="F141" s="42" t="s">
        <v>97</v>
      </c>
      <c r="G141" s="43" t="s">
        <v>55</v>
      </c>
      <c r="H141" s="59" t="s">
        <v>68</v>
      </c>
      <c r="I141" s="44" t="s">
        <v>405</v>
      </c>
      <c r="J141" s="45" t="s">
        <v>404</v>
      </c>
      <c r="K141" s="44" t="s">
        <v>408</v>
      </c>
      <c r="L141" s="44" t="s">
        <v>409</v>
      </c>
    </row>
    <row r="142" ht="39.75" customHeight="1">
      <c r="A142" s="46" t="s">
        <v>494</v>
      </c>
      <c r="B142" s="47" t="s">
        <v>39</v>
      </c>
      <c r="C142" s="62" t="s">
        <v>92</v>
      </c>
      <c r="D142" s="50" t="s">
        <v>64</v>
      </c>
      <c r="E142" s="52" t="s">
        <v>97</v>
      </c>
      <c r="F142" s="52" t="s">
        <v>67</v>
      </c>
      <c r="G142" s="43" t="s">
        <v>55</v>
      </c>
      <c r="H142" s="53" t="s">
        <v>68</v>
      </c>
      <c r="I142" s="54" t="s">
        <v>405</v>
      </c>
      <c r="J142" s="55" t="s">
        <v>404</v>
      </c>
      <c r="K142" s="54" t="s">
        <v>408</v>
      </c>
      <c r="L142" s="54" t="s">
        <v>409</v>
      </c>
    </row>
    <row r="143" ht="39.75" customHeight="1">
      <c r="A143" s="36" t="s">
        <v>453</v>
      </c>
      <c r="B143" s="37" t="s">
        <v>39</v>
      </c>
      <c r="C143" s="50" t="s">
        <v>64</v>
      </c>
      <c r="D143" s="49" t="s">
        <v>63</v>
      </c>
      <c r="E143" s="42" t="s">
        <v>67</v>
      </c>
      <c r="F143" s="42" t="s">
        <v>65</v>
      </c>
      <c r="G143" s="43" t="s">
        <v>55</v>
      </c>
      <c r="H143" s="59" t="s">
        <v>68</v>
      </c>
      <c r="I143" s="44" t="s">
        <v>405</v>
      </c>
      <c r="J143" s="45" t="s">
        <v>404</v>
      </c>
      <c r="K143" s="44" t="s">
        <v>408</v>
      </c>
      <c r="L143" s="44" t="s">
        <v>409</v>
      </c>
    </row>
    <row r="144" ht="39.75" customHeight="1">
      <c r="A144" s="46" t="s">
        <v>496</v>
      </c>
      <c r="B144" s="47" t="s">
        <v>39</v>
      </c>
      <c r="C144" s="49" t="s">
        <v>63</v>
      </c>
      <c r="D144" s="50" t="s">
        <v>64</v>
      </c>
      <c r="E144" s="52" t="s">
        <v>65</v>
      </c>
      <c r="F144" s="52" t="s">
        <v>67</v>
      </c>
      <c r="G144" s="43" t="s">
        <v>55</v>
      </c>
      <c r="H144" s="53" t="s">
        <v>68</v>
      </c>
      <c r="I144" s="54" t="s">
        <v>405</v>
      </c>
      <c r="J144" s="55" t="s">
        <v>404</v>
      </c>
      <c r="K144" s="54" t="s">
        <v>408</v>
      </c>
      <c r="L144" s="54" t="s">
        <v>411</v>
      </c>
    </row>
    <row r="145" ht="39.75" customHeight="1">
      <c r="A145" s="36" t="s">
        <v>498</v>
      </c>
      <c r="B145" s="37" t="s">
        <v>39</v>
      </c>
      <c r="C145" s="50" t="s">
        <v>64</v>
      </c>
      <c r="D145" s="62" t="s">
        <v>92</v>
      </c>
      <c r="E145" s="42" t="s">
        <v>67</v>
      </c>
      <c r="F145" s="42" t="s">
        <v>97</v>
      </c>
      <c r="G145" s="43" t="s">
        <v>55</v>
      </c>
      <c r="H145" s="59" t="s">
        <v>68</v>
      </c>
      <c r="I145" s="44" t="s">
        <v>405</v>
      </c>
      <c r="J145" s="45" t="s">
        <v>404</v>
      </c>
      <c r="K145" s="44" t="s">
        <v>408</v>
      </c>
      <c r="L145" s="44" t="s">
        <v>409</v>
      </c>
    </row>
    <row r="146" ht="34.5" customHeight="1">
      <c r="A146" s="46" t="s">
        <v>513</v>
      </c>
      <c r="B146" s="47" t="s">
        <v>39</v>
      </c>
      <c r="C146" s="49" t="s">
        <v>63</v>
      </c>
      <c r="D146" s="62" t="s">
        <v>92</v>
      </c>
      <c r="E146" s="52" t="s">
        <v>65</v>
      </c>
      <c r="F146" s="52" t="s">
        <v>97</v>
      </c>
      <c r="G146" s="43" t="s">
        <v>55</v>
      </c>
      <c r="H146" s="46" t="s">
        <v>56</v>
      </c>
      <c r="I146" s="54" t="s">
        <v>514</v>
      </c>
      <c r="J146" s="55" t="s">
        <v>515</v>
      </c>
      <c r="K146" s="54"/>
      <c r="L146" s="54"/>
    </row>
    <row r="147" ht="34.5" customHeight="1">
      <c r="A147" s="36" t="s">
        <v>516</v>
      </c>
      <c r="B147" s="37" t="s">
        <v>39</v>
      </c>
      <c r="C147" s="57" t="s">
        <v>78</v>
      </c>
      <c r="D147" s="50" t="s">
        <v>64</v>
      </c>
      <c r="E147" s="42" t="s">
        <v>81</v>
      </c>
      <c r="F147" s="42" t="s">
        <v>67</v>
      </c>
      <c r="G147" s="43" t="s">
        <v>55</v>
      </c>
      <c r="H147" s="36" t="s">
        <v>195</v>
      </c>
      <c r="I147" s="44" t="s">
        <v>517</v>
      </c>
      <c r="J147" s="45" t="s">
        <v>518</v>
      </c>
      <c r="K147" s="44"/>
      <c r="L147" s="44" t="s">
        <v>519</v>
      </c>
    </row>
    <row r="148" ht="34.5" customHeight="1">
      <c r="A148" s="46" t="s">
        <v>520</v>
      </c>
      <c r="B148" s="47" t="s">
        <v>39</v>
      </c>
      <c r="C148" s="49" t="s">
        <v>63</v>
      </c>
      <c r="D148" s="50" t="s">
        <v>64</v>
      </c>
      <c r="E148" s="52" t="s">
        <v>65</v>
      </c>
      <c r="F148" s="52" t="s">
        <v>67</v>
      </c>
      <c r="G148" s="43" t="s">
        <v>55</v>
      </c>
      <c r="H148" s="46" t="s">
        <v>56</v>
      </c>
      <c r="I148" s="54" t="s">
        <v>521</v>
      </c>
      <c r="J148" s="55" t="s">
        <v>522</v>
      </c>
      <c r="K148" s="54"/>
      <c r="L148" s="54"/>
    </row>
    <row r="149" ht="39.75" customHeight="1">
      <c r="A149" s="36" t="s">
        <v>523</v>
      </c>
      <c r="B149" s="37" t="s">
        <v>39</v>
      </c>
      <c r="C149" s="149"/>
      <c r="D149" s="149"/>
      <c r="E149" s="42"/>
      <c r="F149" s="42"/>
      <c r="G149" s="150" t="s">
        <v>447</v>
      </c>
      <c r="H149" s="36" t="s">
        <v>198</v>
      </c>
      <c r="I149" s="44"/>
      <c r="J149" s="151"/>
      <c r="K149" s="44"/>
      <c r="L149" s="44" t="s">
        <v>448</v>
      </c>
    </row>
    <row r="150" ht="39.75" customHeight="1">
      <c r="A150" s="46" t="s">
        <v>524</v>
      </c>
      <c r="B150" s="47" t="s">
        <v>39</v>
      </c>
      <c r="C150" s="41" t="s">
        <v>52</v>
      </c>
      <c r="D150" s="49" t="s">
        <v>63</v>
      </c>
      <c r="E150" s="52" t="s">
        <v>54</v>
      </c>
      <c r="F150" s="52" t="s">
        <v>65</v>
      </c>
      <c r="G150" s="43" t="s">
        <v>55</v>
      </c>
      <c r="H150" s="53" t="s">
        <v>68</v>
      </c>
      <c r="I150" s="54" t="s">
        <v>405</v>
      </c>
      <c r="J150" s="55" t="s">
        <v>404</v>
      </c>
      <c r="K150" s="54" t="s">
        <v>408</v>
      </c>
      <c r="L150" s="54" t="s">
        <v>409</v>
      </c>
    </row>
    <row r="151" ht="34.5" customHeight="1">
      <c r="A151" s="36" t="s">
        <v>525</v>
      </c>
      <c r="B151" s="37" t="s">
        <v>39</v>
      </c>
      <c r="C151" s="86" t="s">
        <v>164</v>
      </c>
      <c r="D151" s="50" t="s">
        <v>64</v>
      </c>
      <c r="E151" s="42" t="s">
        <v>165</v>
      </c>
      <c r="F151" s="42" t="s">
        <v>67</v>
      </c>
      <c r="G151" s="43" t="s">
        <v>55</v>
      </c>
      <c r="H151" s="36" t="s">
        <v>56</v>
      </c>
      <c r="I151" s="44" t="s">
        <v>526</v>
      </c>
      <c r="J151" s="45" t="s">
        <v>527</v>
      </c>
      <c r="K151" s="44"/>
      <c r="L151" s="44"/>
    </row>
    <row r="152" ht="39.75" customHeight="1">
      <c r="A152" s="46" t="s">
        <v>455</v>
      </c>
      <c r="B152" s="47" t="s">
        <v>39</v>
      </c>
      <c r="C152" s="50" t="s">
        <v>64</v>
      </c>
      <c r="D152" s="86" t="s">
        <v>164</v>
      </c>
      <c r="E152" s="52" t="s">
        <v>67</v>
      </c>
      <c r="F152" s="52" t="s">
        <v>165</v>
      </c>
      <c r="G152" s="43" t="s">
        <v>55</v>
      </c>
      <c r="H152" s="53" t="s">
        <v>68</v>
      </c>
      <c r="I152" s="54" t="s">
        <v>405</v>
      </c>
      <c r="J152" s="55" t="s">
        <v>404</v>
      </c>
      <c r="K152" s="54" t="s">
        <v>408</v>
      </c>
      <c r="L152" s="54" t="s">
        <v>409</v>
      </c>
    </row>
    <row r="153" ht="39.75" customHeight="1">
      <c r="A153" s="36" t="s">
        <v>457</v>
      </c>
      <c r="B153" s="37" t="s">
        <v>39</v>
      </c>
      <c r="C153" s="41" t="s">
        <v>52</v>
      </c>
      <c r="D153" s="62" t="s">
        <v>92</v>
      </c>
      <c r="E153" s="42" t="s">
        <v>54</v>
      </c>
      <c r="F153" s="42" t="s">
        <v>97</v>
      </c>
      <c r="G153" s="43" t="s">
        <v>55</v>
      </c>
      <c r="H153" s="59" t="s">
        <v>68</v>
      </c>
      <c r="I153" s="44" t="s">
        <v>405</v>
      </c>
      <c r="J153" s="45" t="s">
        <v>404</v>
      </c>
      <c r="K153" s="44" t="s">
        <v>408</v>
      </c>
      <c r="L153" s="44" t="s">
        <v>409</v>
      </c>
    </row>
    <row r="154" ht="39.75" customHeight="1">
      <c r="A154" s="46" t="s">
        <v>528</v>
      </c>
      <c r="B154" s="47" t="s">
        <v>39</v>
      </c>
      <c r="C154" s="41" t="s">
        <v>52</v>
      </c>
      <c r="D154" s="62" t="s">
        <v>92</v>
      </c>
      <c r="E154" s="52" t="s">
        <v>54</v>
      </c>
      <c r="F154" s="52" t="s">
        <v>97</v>
      </c>
      <c r="G154" s="43" t="s">
        <v>55</v>
      </c>
      <c r="H154" s="53" t="s">
        <v>187</v>
      </c>
      <c r="I154" s="54" t="s">
        <v>405</v>
      </c>
      <c r="J154" s="55" t="s">
        <v>404</v>
      </c>
      <c r="K154" s="54" t="s">
        <v>408</v>
      </c>
      <c r="L154" s="54" t="s">
        <v>529</v>
      </c>
    </row>
    <row r="155" ht="39.75" customHeight="1">
      <c r="A155" s="36" t="s">
        <v>530</v>
      </c>
      <c r="B155" s="37" t="s">
        <v>39</v>
      </c>
      <c r="C155" s="49" t="s">
        <v>63</v>
      </c>
      <c r="D155" s="50" t="s">
        <v>64</v>
      </c>
      <c r="E155" s="42" t="s">
        <v>65</v>
      </c>
      <c r="F155" s="42" t="s">
        <v>67</v>
      </c>
      <c r="G155" s="43" t="s">
        <v>55</v>
      </c>
      <c r="H155" s="59" t="s">
        <v>68</v>
      </c>
      <c r="I155" s="44" t="s">
        <v>405</v>
      </c>
      <c r="J155" s="45" t="s">
        <v>404</v>
      </c>
      <c r="K155" s="44" t="s">
        <v>408</v>
      </c>
      <c r="L155" s="44" t="s">
        <v>409</v>
      </c>
    </row>
    <row r="156" ht="34.5" customHeight="1">
      <c r="A156" s="46" t="s">
        <v>531</v>
      </c>
      <c r="B156" s="47" t="s">
        <v>39</v>
      </c>
      <c r="C156" s="50" t="s">
        <v>64</v>
      </c>
      <c r="D156" s="62" t="s">
        <v>92</v>
      </c>
      <c r="E156" s="52" t="s">
        <v>67</v>
      </c>
      <c r="F156" s="52" t="s">
        <v>97</v>
      </c>
      <c r="G156" s="43" t="s">
        <v>55</v>
      </c>
      <c r="H156" s="46" t="s">
        <v>56</v>
      </c>
      <c r="I156" s="54" t="s">
        <v>532</v>
      </c>
      <c r="J156" s="55" t="s">
        <v>533</v>
      </c>
      <c r="K156" s="54"/>
      <c r="L156" s="54"/>
    </row>
    <row r="157" ht="34.5" customHeight="1">
      <c r="A157" s="36" t="s">
        <v>534</v>
      </c>
      <c r="B157" s="37" t="s">
        <v>51</v>
      </c>
      <c r="C157" s="62" t="s">
        <v>92</v>
      </c>
      <c r="D157" s="57" t="s">
        <v>78</v>
      </c>
      <c r="E157" s="42" t="s">
        <v>97</v>
      </c>
      <c r="F157" s="42" t="s">
        <v>81</v>
      </c>
      <c r="G157" s="43" t="s">
        <v>55</v>
      </c>
      <c r="H157" s="36" t="s">
        <v>56</v>
      </c>
      <c r="I157" s="44" t="s">
        <v>535</v>
      </c>
      <c r="J157" s="45" t="s">
        <v>536</v>
      </c>
      <c r="K157" s="44"/>
      <c r="L157" s="44"/>
    </row>
    <row r="158" ht="34.5" customHeight="1">
      <c r="A158" s="46" t="s">
        <v>537</v>
      </c>
      <c r="B158" s="47" t="s">
        <v>51</v>
      </c>
      <c r="C158" s="136" t="s">
        <v>210</v>
      </c>
      <c r="D158" s="62" t="s">
        <v>92</v>
      </c>
      <c r="E158" s="52" t="s">
        <v>211</v>
      </c>
      <c r="F158" s="52" t="s">
        <v>97</v>
      </c>
      <c r="G158" s="43" t="s">
        <v>55</v>
      </c>
      <c r="H158" s="46" t="s">
        <v>56</v>
      </c>
      <c r="I158" s="54" t="s">
        <v>538</v>
      </c>
      <c r="J158" s="55" t="s">
        <v>539</v>
      </c>
      <c r="K158" s="54"/>
      <c r="L158" s="54"/>
    </row>
    <row r="159" ht="34.5" customHeight="1">
      <c r="A159" s="36" t="s">
        <v>541</v>
      </c>
      <c r="B159" s="37" t="s">
        <v>51</v>
      </c>
      <c r="C159" s="160" t="s">
        <v>154</v>
      </c>
      <c r="D159" s="149" t="s">
        <v>503</v>
      </c>
      <c r="E159" s="42" t="s">
        <v>158</v>
      </c>
      <c r="F159" s="42"/>
      <c r="G159" s="150" t="s">
        <v>35</v>
      </c>
      <c r="H159" s="36" t="s">
        <v>56</v>
      </c>
      <c r="I159" s="44" t="s">
        <v>542</v>
      </c>
      <c r="J159" s="45" t="s">
        <v>543</v>
      </c>
      <c r="K159" s="44"/>
      <c r="L159" s="44" t="s">
        <v>544</v>
      </c>
    </row>
    <row r="160" ht="34.5" customHeight="1">
      <c r="A160" s="46" t="s">
        <v>545</v>
      </c>
      <c r="B160" s="47" t="s">
        <v>51</v>
      </c>
      <c r="C160" s="41" t="s">
        <v>52</v>
      </c>
      <c r="D160" s="57" t="s">
        <v>78</v>
      </c>
      <c r="E160" s="52" t="s">
        <v>54</v>
      </c>
      <c r="F160" s="52" t="s">
        <v>81</v>
      </c>
      <c r="G160" s="43" t="s">
        <v>55</v>
      </c>
      <c r="H160" s="46" t="s">
        <v>56</v>
      </c>
      <c r="I160" s="54" t="s">
        <v>546</v>
      </c>
      <c r="J160" s="55" t="s">
        <v>547</v>
      </c>
      <c r="K160" s="54"/>
      <c r="L160" s="54"/>
    </row>
    <row r="161" ht="39.75" customHeight="1">
      <c r="A161" s="36" t="s">
        <v>548</v>
      </c>
      <c r="B161" s="37" t="s">
        <v>51</v>
      </c>
      <c r="C161" s="86" t="s">
        <v>164</v>
      </c>
      <c r="D161" s="50" t="s">
        <v>64</v>
      </c>
      <c r="E161" s="42" t="s">
        <v>165</v>
      </c>
      <c r="F161" s="42" t="s">
        <v>67</v>
      </c>
      <c r="G161" s="43" t="s">
        <v>55</v>
      </c>
      <c r="H161" s="59" t="s">
        <v>68</v>
      </c>
      <c r="I161" s="44" t="s">
        <v>549</v>
      </c>
      <c r="J161" s="45" t="s">
        <v>550</v>
      </c>
      <c r="K161" s="44" t="s">
        <v>551</v>
      </c>
      <c r="L161" s="44" t="s">
        <v>552</v>
      </c>
    </row>
    <row r="162" ht="39.75" customHeight="1">
      <c r="A162" s="46" t="s">
        <v>553</v>
      </c>
      <c r="B162" s="47" t="s">
        <v>51</v>
      </c>
      <c r="C162" s="62" t="s">
        <v>92</v>
      </c>
      <c r="D162" s="86" t="s">
        <v>164</v>
      </c>
      <c r="E162" s="52" t="s">
        <v>97</v>
      </c>
      <c r="F162" s="52" t="s">
        <v>165</v>
      </c>
      <c r="G162" s="43" t="s">
        <v>55</v>
      </c>
      <c r="H162" s="53" t="s">
        <v>68</v>
      </c>
      <c r="I162" s="54" t="s">
        <v>549</v>
      </c>
      <c r="J162" s="55" t="s">
        <v>550</v>
      </c>
      <c r="K162" s="54" t="s">
        <v>551</v>
      </c>
      <c r="L162" s="54" t="s">
        <v>552</v>
      </c>
    </row>
    <row r="163" ht="39.75" customHeight="1">
      <c r="A163" s="36" t="s">
        <v>554</v>
      </c>
      <c r="B163" s="37" t="s">
        <v>51</v>
      </c>
      <c r="C163" s="62" t="s">
        <v>92</v>
      </c>
      <c r="D163" s="86" t="s">
        <v>164</v>
      </c>
      <c r="E163" s="42" t="s">
        <v>97</v>
      </c>
      <c r="F163" s="42" t="s">
        <v>165</v>
      </c>
      <c r="G163" s="43" t="s">
        <v>55</v>
      </c>
      <c r="H163" s="59" t="s">
        <v>187</v>
      </c>
      <c r="I163" s="44" t="s">
        <v>549</v>
      </c>
      <c r="J163" s="45" t="s">
        <v>550</v>
      </c>
      <c r="K163" s="44" t="s">
        <v>551</v>
      </c>
      <c r="L163" s="44" t="s">
        <v>555</v>
      </c>
    </row>
    <row r="164" ht="34.5" customHeight="1">
      <c r="A164" s="46" t="s">
        <v>556</v>
      </c>
      <c r="B164" s="47" t="s">
        <v>51</v>
      </c>
      <c r="C164" s="41" t="s">
        <v>52</v>
      </c>
      <c r="D164" s="62" t="s">
        <v>92</v>
      </c>
      <c r="E164" s="52" t="s">
        <v>54</v>
      </c>
      <c r="F164" s="52" t="s">
        <v>97</v>
      </c>
      <c r="G164" s="43" t="s">
        <v>55</v>
      </c>
      <c r="H164" s="46" t="s">
        <v>56</v>
      </c>
      <c r="I164" s="54" t="s">
        <v>557</v>
      </c>
      <c r="J164" s="55" t="s">
        <v>558</v>
      </c>
      <c r="K164" s="54"/>
      <c r="L164" s="54"/>
    </row>
    <row r="165" ht="39.75" customHeight="1">
      <c r="A165" s="36" t="s">
        <v>559</v>
      </c>
      <c r="B165" s="37" t="s">
        <v>51</v>
      </c>
      <c r="C165" s="138" t="s">
        <v>199</v>
      </c>
      <c r="D165" s="50" t="s">
        <v>64</v>
      </c>
      <c r="E165" s="42" t="s">
        <v>200</v>
      </c>
      <c r="F165" s="42" t="s">
        <v>67</v>
      </c>
      <c r="G165" s="43" t="s">
        <v>55</v>
      </c>
      <c r="H165" s="59" t="s">
        <v>68</v>
      </c>
      <c r="I165" s="44" t="s">
        <v>549</v>
      </c>
      <c r="J165" s="45" t="s">
        <v>550</v>
      </c>
      <c r="K165" s="44" t="s">
        <v>551</v>
      </c>
      <c r="L165" s="44" t="s">
        <v>552</v>
      </c>
    </row>
    <row r="166" ht="39.75" customHeight="1">
      <c r="A166" s="46" t="s">
        <v>560</v>
      </c>
      <c r="B166" s="47" t="s">
        <v>51</v>
      </c>
      <c r="C166" s="50" t="s">
        <v>64</v>
      </c>
      <c r="D166" s="49" t="s">
        <v>63</v>
      </c>
      <c r="E166" s="52" t="s">
        <v>67</v>
      </c>
      <c r="F166" s="52" t="s">
        <v>65</v>
      </c>
      <c r="G166" s="43" t="s">
        <v>55</v>
      </c>
      <c r="H166" s="53" t="s">
        <v>68</v>
      </c>
      <c r="I166" s="54" t="s">
        <v>549</v>
      </c>
      <c r="J166" s="55" t="s">
        <v>550</v>
      </c>
      <c r="K166" s="54" t="s">
        <v>551</v>
      </c>
      <c r="L166" s="54" t="s">
        <v>552</v>
      </c>
    </row>
    <row r="167" ht="34.5" customHeight="1">
      <c r="A167" s="36" t="s">
        <v>561</v>
      </c>
      <c r="B167" s="37" t="s">
        <v>51</v>
      </c>
      <c r="C167" s="50" t="s">
        <v>64</v>
      </c>
      <c r="D167" s="49" t="s">
        <v>63</v>
      </c>
      <c r="E167" s="42" t="s">
        <v>67</v>
      </c>
      <c r="F167" s="42" t="s">
        <v>65</v>
      </c>
      <c r="G167" s="43" t="s">
        <v>55</v>
      </c>
      <c r="H167" s="36" t="s">
        <v>56</v>
      </c>
      <c r="I167" s="44" t="s">
        <v>562</v>
      </c>
      <c r="J167" s="45" t="s">
        <v>563</v>
      </c>
      <c r="K167" s="44"/>
      <c r="L167" s="44"/>
    </row>
    <row r="168" ht="34.5" customHeight="1">
      <c r="A168" s="46" t="s">
        <v>564</v>
      </c>
      <c r="B168" s="47" t="s">
        <v>51</v>
      </c>
      <c r="C168" s="41" t="s">
        <v>52</v>
      </c>
      <c r="D168" s="49" t="s">
        <v>63</v>
      </c>
      <c r="E168" s="52" t="s">
        <v>54</v>
      </c>
      <c r="F168" s="52" t="s">
        <v>65</v>
      </c>
      <c r="G168" s="43" t="s">
        <v>55</v>
      </c>
      <c r="H168" s="46" t="s">
        <v>56</v>
      </c>
      <c r="I168" s="54" t="s">
        <v>565</v>
      </c>
      <c r="J168" s="55" t="s">
        <v>566</v>
      </c>
      <c r="K168" s="54"/>
      <c r="L168" s="54"/>
    </row>
    <row r="169" ht="39.75" customHeight="1">
      <c r="A169" s="36" t="s">
        <v>567</v>
      </c>
      <c r="B169" s="37" t="s">
        <v>51</v>
      </c>
      <c r="C169" s="49" t="s">
        <v>63</v>
      </c>
      <c r="D169" s="62" t="s">
        <v>92</v>
      </c>
      <c r="E169" s="42" t="s">
        <v>65</v>
      </c>
      <c r="F169" s="42" t="s">
        <v>97</v>
      </c>
      <c r="G169" s="43" t="s">
        <v>55</v>
      </c>
      <c r="H169" s="59" t="s">
        <v>68</v>
      </c>
      <c r="I169" s="44" t="s">
        <v>549</v>
      </c>
      <c r="J169" s="45" t="s">
        <v>550</v>
      </c>
      <c r="K169" s="44" t="s">
        <v>551</v>
      </c>
      <c r="L169" s="44" t="s">
        <v>552</v>
      </c>
    </row>
    <row r="170" ht="39.75" customHeight="1">
      <c r="A170" s="46" t="s">
        <v>568</v>
      </c>
      <c r="B170" s="47" t="s">
        <v>51</v>
      </c>
      <c r="C170" s="49" t="s">
        <v>63</v>
      </c>
      <c r="D170" s="62" t="s">
        <v>92</v>
      </c>
      <c r="E170" s="52" t="s">
        <v>65</v>
      </c>
      <c r="F170" s="52" t="s">
        <v>97</v>
      </c>
      <c r="G170" s="43" t="s">
        <v>55</v>
      </c>
      <c r="H170" s="53" t="s">
        <v>68</v>
      </c>
      <c r="I170" s="54" t="s">
        <v>549</v>
      </c>
      <c r="J170" s="55" t="s">
        <v>550</v>
      </c>
      <c r="K170" s="54" t="s">
        <v>551</v>
      </c>
      <c r="L170" s="54" t="s">
        <v>552</v>
      </c>
    </row>
    <row r="171" ht="34.5" customHeight="1">
      <c r="A171" s="36" t="s">
        <v>569</v>
      </c>
      <c r="B171" s="37" t="s">
        <v>51</v>
      </c>
      <c r="C171" s="49" t="s">
        <v>63</v>
      </c>
      <c r="D171" s="62" t="s">
        <v>92</v>
      </c>
      <c r="E171" s="42" t="s">
        <v>65</v>
      </c>
      <c r="F171" s="42" t="s">
        <v>97</v>
      </c>
      <c r="G171" s="43" t="s">
        <v>55</v>
      </c>
      <c r="H171" s="36" t="s">
        <v>56</v>
      </c>
      <c r="I171" s="44" t="s">
        <v>570</v>
      </c>
      <c r="J171" s="45" t="s">
        <v>571</v>
      </c>
      <c r="K171" s="44"/>
      <c r="L171" s="44"/>
    </row>
    <row r="172" ht="34.5" customHeight="1">
      <c r="A172" s="46" t="s">
        <v>572</v>
      </c>
      <c r="B172" s="47" t="s">
        <v>51</v>
      </c>
      <c r="C172" s="50" t="s">
        <v>64</v>
      </c>
      <c r="D172" s="49" t="s">
        <v>63</v>
      </c>
      <c r="E172" s="52" t="s">
        <v>67</v>
      </c>
      <c r="F172" s="52" t="s">
        <v>65</v>
      </c>
      <c r="G172" s="43" t="s">
        <v>55</v>
      </c>
      <c r="H172" s="46" t="s">
        <v>56</v>
      </c>
      <c r="I172" s="54" t="s">
        <v>573</v>
      </c>
      <c r="J172" s="55" t="s">
        <v>574</v>
      </c>
      <c r="K172" s="54"/>
      <c r="L172" s="54"/>
    </row>
    <row r="173" ht="34.5" customHeight="1">
      <c r="A173" s="36" t="s">
        <v>575</v>
      </c>
      <c r="B173" s="37" t="s">
        <v>51</v>
      </c>
      <c r="C173" s="62" t="s">
        <v>92</v>
      </c>
      <c r="D173" s="41" t="s">
        <v>52</v>
      </c>
      <c r="E173" s="42" t="s">
        <v>97</v>
      </c>
      <c r="F173" s="42" t="s">
        <v>54</v>
      </c>
      <c r="G173" s="43" t="s">
        <v>55</v>
      </c>
      <c r="H173" s="36" t="s">
        <v>56</v>
      </c>
      <c r="I173" s="44" t="s">
        <v>576</v>
      </c>
      <c r="J173" s="45" t="s">
        <v>577</v>
      </c>
      <c r="K173" s="44"/>
      <c r="L173" s="44"/>
    </row>
    <row r="174" ht="34.5" customHeight="1">
      <c r="A174" s="46" t="s">
        <v>578</v>
      </c>
      <c r="B174" s="47" t="s">
        <v>51</v>
      </c>
      <c r="C174" s="49" t="s">
        <v>63</v>
      </c>
      <c r="D174" s="62" t="s">
        <v>92</v>
      </c>
      <c r="E174" s="52" t="s">
        <v>65</v>
      </c>
      <c r="F174" s="52" t="s">
        <v>97</v>
      </c>
      <c r="G174" s="43" t="s">
        <v>55</v>
      </c>
      <c r="H174" s="46" t="s">
        <v>56</v>
      </c>
      <c r="I174" s="54" t="s">
        <v>579</v>
      </c>
      <c r="J174" s="55" t="s">
        <v>580</v>
      </c>
      <c r="K174" s="54"/>
      <c r="L174" s="54"/>
    </row>
    <row r="175" ht="39.75" customHeight="1">
      <c r="A175" s="36" t="s">
        <v>581</v>
      </c>
      <c r="B175" s="37" t="s">
        <v>51</v>
      </c>
      <c r="C175" s="49" t="s">
        <v>63</v>
      </c>
      <c r="D175" s="62" t="s">
        <v>92</v>
      </c>
      <c r="E175" s="42" t="s">
        <v>65</v>
      </c>
      <c r="F175" s="42" t="s">
        <v>97</v>
      </c>
      <c r="G175" s="43" t="s">
        <v>55</v>
      </c>
      <c r="H175" s="59" t="s">
        <v>68</v>
      </c>
      <c r="I175" s="44" t="s">
        <v>549</v>
      </c>
      <c r="J175" s="45" t="s">
        <v>550</v>
      </c>
      <c r="K175" s="44" t="s">
        <v>551</v>
      </c>
      <c r="L175" s="44" t="s">
        <v>552</v>
      </c>
    </row>
    <row r="176" ht="34.5" customHeight="1">
      <c r="A176" s="46" t="s">
        <v>582</v>
      </c>
      <c r="B176" s="47" t="s">
        <v>51</v>
      </c>
      <c r="C176" s="49" t="s">
        <v>63</v>
      </c>
      <c r="D176" s="62" t="s">
        <v>92</v>
      </c>
      <c r="E176" s="52" t="s">
        <v>65</v>
      </c>
      <c r="F176" s="52" t="s">
        <v>97</v>
      </c>
      <c r="G176" s="43" t="s">
        <v>55</v>
      </c>
      <c r="H176" s="46" t="s">
        <v>56</v>
      </c>
      <c r="I176" s="54" t="s">
        <v>583</v>
      </c>
      <c r="J176" s="55" t="s">
        <v>584</v>
      </c>
      <c r="K176" s="54"/>
      <c r="L176" s="54"/>
    </row>
    <row r="177" ht="34.5" customHeight="1">
      <c r="A177" s="36" t="s">
        <v>585</v>
      </c>
      <c r="B177" s="37" t="s">
        <v>51</v>
      </c>
      <c r="C177" s="41" t="s">
        <v>52</v>
      </c>
      <c r="D177" s="49" t="s">
        <v>63</v>
      </c>
      <c r="E177" s="42" t="s">
        <v>54</v>
      </c>
      <c r="F177" s="42" t="s">
        <v>65</v>
      </c>
      <c r="G177" s="43" t="s">
        <v>55</v>
      </c>
      <c r="H177" s="36" t="s">
        <v>56</v>
      </c>
      <c r="I177" s="44" t="s">
        <v>586</v>
      </c>
      <c r="J177" s="45" t="s">
        <v>587</v>
      </c>
      <c r="K177" s="44"/>
      <c r="L177" s="44"/>
    </row>
    <row r="178" ht="34.5" customHeight="1">
      <c r="A178" s="46" t="s">
        <v>588</v>
      </c>
      <c r="B178" s="47" t="s">
        <v>51</v>
      </c>
      <c r="C178" s="79" t="s">
        <v>150</v>
      </c>
      <c r="D178" s="50" t="s">
        <v>64</v>
      </c>
      <c r="E178" s="52" t="s">
        <v>153</v>
      </c>
      <c r="F178" s="52" t="s">
        <v>67</v>
      </c>
      <c r="G178" s="43" t="s">
        <v>55</v>
      </c>
      <c r="H178" s="46" t="s">
        <v>56</v>
      </c>
      <c r="I178" s="54" t="s">
        <v>589</v>
      </c>
      <c r="J178" s="55" t="s">
        <v>590</v>
      </c>
      <c r="K178" s="54"/>
      <c r="L178" s="54"/>
    </row>
    <row r="179" ht="39.75" customHeight="1">
      <c r="A179" s="36" t="s">
        <v>592</v>
      </c>
      <c r="B179" s="37" t="s">
        <v>51</v>
      </c>
      <c r="C179" s="50" t="s">
        <v>64</v>
      </c>
      <c r="D179" s="86" t="s">
        <v>164</v>
      </c>
      <c r="E179" s="42" t="s">
        <v>67</v>
      </c>
      <c r="F179" s="42" t="s">
        <v>165</v>
      </c>
      <c r="G179" s="43" t="s">
        <v>55</v>
      </c>
      <c r="H179" s="59" t="s">
        <v>68</v>
      </c>
      <c r="I179" s="44" t="s">
        <v>549</v>
      </c>
      <c r="J179" s="45" t="s">
        <v>550</v>
      </c>
      <c r="K179" s="44" t="s">
        <v>551</v>
      </c>
      <c r="L179" s="44" t="s">
        <v>552</v>
      </c>
    </row>
    <row r="180" ht="34.5" customHeight="1">
      <c r="A180" s="46" t="s">
        <v>593</v>
      </c>
      <c r="B180" s="47" t="s">
        <v>51</v>
      </c>
      <c r="C180" s="144" t="s">
        <v>192</v>
      </c>
      <c r="D180" s="149" t="s">
        <v>503</v>
      </c>
      <c r="E180" s="52" t="s">
        <v>193</v>
      </c>
      <c r="F180" s="52"/>
      <c r="G180" s="150" t="s">
        <v>35</v>
      </c>
      <c r="H180" s="46" t="s">
        <v>56</v>
      </c>
      <c r="I180" s="54" t="s">
        <v>594</v>
      </c>
      <c r="J180" s="55" t="s">
        <v>595</v>
      </c>
      <c r="K180" s="54"/>
      <c r="L180" s="54" t="s">
        <v>544</v>
      </c>
    </row>
    <row r="181" ht="39.75" customHeight="1">
      <c r="A181" s="36" t="s">
        <v>596</v>
      </c>
      <c r="B181" s="37" t="s">
        <v>51</v>
      </c>
      <c r="C181" s="62" t="s">
        <v>92</v>
      </c>
      <c r="D181" s="50" t="s">
        <v>64</v>
      </c>
      <c r="E181" s="42" t="s">
        <v>97</v>
      </c>
      <c r="F181" s="42" t="s">
        <v>67</v>
      </c>
      <c r="G181" s="43" t="s">
        <v>55</v>
      </c>
      <c r="H181" s="59" t="s">
        <v>68</v>
      </c>
      <c r="I181" s="44" t="s">
        <v>549</v>
      </c>
      <c r="J181" s="45" t="s">
        <v>550</v>
      </c>
      <c r="K181" s="44" t="s">
        <v>551</v>
      </c>
      <c r="L181" s="44" t="s">
        <v>552</v>
      </c>
    </row>
    <row r="182" ht="39.75" customHeight="1">
      <c r="A182" s="46" t="s">
        <v>597</v>
      </c>
      <c r="B182" s="47" t="s">
        <v>51</v>
      </c>
      <c r="C182" s="49" t="s">
        <v>63</v>
      </c>
      <c r="D182" s="62" t="s">
        <v>92</v>
      </c>
      <c r="E182" s="52" t="s">
        <v>65</v>
      </c>
      <c r="F182" s="52" t="s">
        <v>97</v>
      </c>
      <c r="G182" s="43" t="s">
        <v>55</v>
      </c>
      <c r="H182" s="53" t="s">
        <v>68</v>
      </c>
      <c r="I182" s="54" t="s">
        <v>549</v>
      </c>
      <c r="J182" s="55" t="s">
        <v>550</v>
      </c>
      <c r="K182" s="54" t="s">
        <v>551</v>
      </c>
      <c r="L182" s="54" t="s">
        <v>552</v>
      </c>
    </row>
    <row r="183" ht="39.75" customHeight="1">
      <c r="A183" s="36" t="s">
        <v>598</v>
      </c>
      <c r="B183" s="37" t="s">
        <v>51</v>
      </c>
      <c r="C183" s="161" t="s">
        <v>201</v>
      </c>
      <c r="D183" s="49" t="s">
        <v>63</v>
      </c>
      <c r="E183" s="42" t="s">
        <v>202</v>
      </c>
      <c r="F183" s="42" t="s">
        <v>65</v>
      </c>
      <c r="G183" s="43" t="s">
        <v>55</v>
      </c>
      <c r="H183" s="59" t="s">
        <v>68</v>
      </c>
      <c r="I183" s="44" t="s">
        <v>549</v>
      </c>
      <c r="J183" s="45" t="s">
        <v>550</v>
      </c>
      <c r="K183" s="44" t="s">
        <v>551</v>
      </c>
      <c r="L183" s="44" t="s">
        <v>552</v>
      </c>
    </row>
    <row r="184" ht="34.5" customHeight="1">
      <c r="A184" s="46" t="s">
        <v>599</v>
      </c>
      <c r="B184" s="47" t="s">
        <v>51</v>
      </c>
      <c r="C184" s="49" t="s">
        <v>63</v>
      </c>
      <c r="D184" s="62" t="s">
        <v>92</v>
      </c>
      <c r="E184" s="52" t="s">
        <v>65</v>
      </c>
      <c r="F184" s="52" t="s">
        <v>97</v>
      </c>
      <c r="G184" s="43" t="s">
        <v>55</v>
      </c>
      <c r="H184" s="46" t="s">
        <v>56</v>
      </c>
      <c r="I184" s="54" t="s">
        <v>600</v>
      </c>
      <c r="J184" s="55" t="s">
        <v>601</v>
      </c>
      <c r="K184" s="54"/>
      <c r="L184" s="54"/>
    </row>
    <row r="185" ht="34.5" customHeight="1">
      <c r="A185" s="36" t="s">
        <v>602</v>
      </c>
      <c r="B185" s="37" t="s">
        <v>51</v>
      </c>
      <c r="C185" s="62" t="s">
        <v>92</v>
      </c>
      <c r="D185" s="50" t="s">
        <v>64</v>
      </c>
      <c r="E185" s="42" t="s">
        <v>97</v>
      </c>
      <c r="F185" s="42" t="s">
        <v>67</v>
      </c>
      <c r="G185" s="43" t="s">
        <v>55</v>
      </c>
      <c r="H185" s="36" t="s">
        <v>173</v>
      </c>
      <c r="I185" s="44" t="s">
        <v>603</v>
      </c>
      <c r="J185" s="45" t="s">
        <v>604</v>
      </c>
      <c r="K185" s="44" t="s">
        <v>355</v>
      </c>
      <c r="L185" s="44" t="s">
        <v>605</v>
      </c>
    </row>
    <row r="186" ht="34.5" customHeight="1">
      <c r="A186" s="46" t="s">
        <v>606</v>
      </c>
      <c r="B186" s="47" t="s">
        <v>51</v>
      </c>
      <c r="C186" s="162" t="s">
        <v>212</v>
      </c>
      <c r="D186" s="138" t="s">
        <v>199</v>
      </c>
      <c r="E186" s="52" t="s">
        <v>213</v>
      </c>
      <c r="F186" s="52" t="s">
        <v>200</v>
      </c>
      <c r="G186" s="43" t="s">
        <v>55</v>
      </c>
      <c r="H186" s="46" t="s">
        <v>56</v>
      </c>
      <c r="I186" s="54" t="s">
        <v>607</v>
      </c>
      <c r="J186" s="55" t="s">
        <v>608</v>
      </c>
      <c r="K186" s="54"/>
      <c r="L186" s="54" t="s">
        <v>609</v>
      </c>
    </row>
    <row r="187" ht="34.5" customHeight="1">
      <c r="A187" s="36" t="s">
        <v>610</v>
      </c>
      <c r="B187" s="37" t="s">
        <v>51</v>
      </c>
      <c r="C187" s="62" t="s">
        <v>92</v>
      </c>
      <c r="D187" s="50" t="s">
        <v>64</v>
      </c>
      <c r="E187" s="42" t="s">
        <v>97</v>
      </c>
      <c r="F187" s="42" t="s">
        <v>67</v>
      </c>
      <c r="G187" s="43" t="s">
        <v>55</v>
      </c>
      <c r="H187" s="36" t="s">
        <v>144</v>
      </c>
      <c r="I187" s="44" t="s">
        <v>611</v>
      </c>
      <c r="J187" s="45" t="s">
        <v>612</v>
      </c>
      <c r="K187" s="44"/>
      <c r="L187" s="44" t="s">
        <v>613</v>
      </c>
    </row>
    <row r="188" ht="39.75" customHeight="1">
      <c r="A188" s="46" t="s">
        <v>614</v>
      </c>
      <c r="B188" s="47" t="s">
        <v>51</v>
      </c>
      <c r="C188" s="152" t="s">
        <v>218</v>
      </c>
      <c r="D188" s="50" t="s">
        <v>64</v>
      </c>
      <c r="E188" s="52" t="s">
        <v>219</v>
      </c>
      <c r="F188" s="52" t="s">
        <v>67</v>
      </c>
      <c r="G188" s="43" t="s">
        <v>55</v>
      </c>
      <c r="H188" s="53" t="s">
        <v>68</v>
      </c>
      <c r="I188" s="54" t="s">
        <v>549</v>
      </c>
      <c r="J188" s="55" t="s">
        <v>550</v>
      </c>
      <c r="K188" s="54" t="s">
        <v>551</v>
      </c>
      <c r="L188" s="54" t="s">
        <v>552</v>
      </c>
    </row>
    <row r="189" ht="39.75" customHeight="1">
      <c r="A189" s="36" t="s">
        <v>615</v>
      </c>
      <c r="B189" s="37" t="s">
        <v>51</v>
      </c>
      <c r="C189" s="49" t="s">
        <v>63</v>
      </c>
      <c r="D189" s="86" t="s">
        <v>164</v>
      </c>
      <c r="E189" s="42" t="s">
        <v>65</v>
      </c>
      <c r="F189" s="42" t="s">
        <v>165</v>
      </c>
      <c r="G189" s="43" t="s">
        <v>55</v>
      </c>
      <c r="H189" s="59" t="s">
        <v>68</v>
      </c>
      <c r="I189" s="44" t="s">
        <v>549</v>
      </c>
      <c r="J189" s="45" t="s">
        <v>550</v>
      </c>
      <c r="K189" s="44" t="s">
        <v>551</v>
      </c>
      <c r="L189" s="44" t="s">
        <v>552</v>
      </c>
    </row>
    <row r="190" ht="39.75" customHeight="1">
      <c r="A190" s="46" t="s">
        <v>616</v>
      </c>
      <c r="B190" s="47" t="s">
        <v>51</v>
      </c>
      <c r="C190" s="62" t="s">
        <v>92</v>
      </c>
      <c r="D190" s="144" t="s">
        <v>192</v>
      </c>
      <c r="E190" s="52" t="s">
        <v>97</v>
      </c>
      <c r="F190" s="52" t="s">
        <v>193</v>
      </c>
      <c r="G190" s="43" t="s">
        <v>55</v>
      </c>
      <c r="H190" s="46" t="s">
        <v>56</v>
      </c>
      <c r="I190" s="54" t="s">
        <v>617</v>
      </c>
      <c r="J190" s="55" t="s">
        <v>618</v>
      </c>
      <c r="K190" s="54"/>
      <c r="L190" s="54" t="s">
        <v>619</v>
      </c>
    </row>
    <row r="191" ht="34.5" customHeight="1">
      <c r="A191" s="36" t="s">
        <v>620</v>
      </c>
      <c r="B191" s="37" t="s">
        <v>51</v>
      </c>
      <c r="C191" s="50" t="s">
        <v>64</v>
      </c>
      <c r="D191" s="49" t="s">
        <v>63</v>
      </c>
      <c r="E191" s="42" t="s">
        <v>67</v>
      </c>
      <c r="F191" s="42" t="s">
        <v>65</v>
      </c>
      <c r="G191" s="43" t="s">
        <v>55</v>
      </c>
      <c r="H191" s="36" t="s">
        <v>56</v>
      </c>
      <c r="I191" s="44" t="s">
        <v>621</v>
      </c>
      <c r="J191" s="45" t="s">
        <v>622</v>
      </c>
      <c r="K191" s="44"/>
      <c r="L191" s="44"/>
    </row>
    <row r="192" ht="34.5" customHeight="1">
      <c r="A192" s="46" t="s">
        <v>623</v>
      </c>
      <c r="B192" s="47" t="s">
        <v>51</v>
      </c>
      <c r="C192" s="41" t="s">
        <v>52</v>
      </c>
      <c r="D192" s="62" t="s">
        <v>92</v>
      </c>
      <c r="E192" s="52" t="s">
        <v>54</v>
      </c>
      <c r="F192" s="52" t="s">
        <v>97</v>
      </c>
      <c r="G192" s="43" t="s">
        <v>55</v>
      </c>
      <c r="H192" s="46" t="s">
        <v>56</v>
      </c>
      <c r="I192" s="54" t="s">
        <v>624</v>
      </c>
      <c r="J192" s="55" t="s">
        <v>625</v>
      </c>
      <c r="K192" s="54"/>
      <c r="L192" s="54"/>
    </row>
    <row r="193" ht="39.75" customHeight="1">
      <c r="A193" s="36" t="s">
        <v>626</v>
      </c>
      <c r="B193" s="37" t="s">
        <v>51</v>
      </c>
      <c r="C193" s="49" t="s">
        <v>63</v>
      </c>
      <c r="D193" s="62" t="s">
        <v>92</v>
      </c>
      <c r="E193" s="42" t="s">
        <v>65</v>
      </c>
      <c r="F193" s="42" t="s">
        <v>97</v>
      </c>
      <c r="G193" s="43" t="s">
        <v>55</v>
      </c>
      <c r="H193" s="59" t="s">
        <v>68</v>
      </c>
      <c r="I193" s="44" t="s">
        <v>549</v>
      </c>
      <c r="J193" s="45" t="s">
        <v>550</v>
      </c>
      <c r="K193" s="44" t="s">
        <v>551</v>
      </c>
      <c r="L193" s="44" t="s">
        <v>552</v>
      </c>
    </row>
    <row r="194" ht="34.5" customHeight="1">
      <c r="A194" s="46" t="s">
        <v>628</v>
      </c>
      <c r="B194" s="47" t="s">
        <v>51</v>
      </c>
      <c r="C194" s="50" t="s">
        <v>64</v>
      </c>
      <c r="D194" s="62" t="s">
        <v>92</v>
      </c>
      <c r="E194" s="52" t="s">
        <v>67</v>
      </c>
      <c r="F194" s="52" t="s">
        <v>97</v>
      </c>
      <c r="G194" s="43" t="s">
        <v>55</v>
      </c>
      <c r="H194" s="46" t="s">
        <v>56</v>
      </c>
      <c r="I194" s="54" t="s">
        <v>629</v>
      </c>
      <c r="J194" s="55" t="s">
        <v>630</v>
      </c>
      <c r="K194" s="54"/>
      <c r="L194" s="54" t="s">
        <v>632</v>
      </c>
    </row>
    <row r="195" ht="34.5" customHeight="1">
      <c r="A195" s="36" t="s">
        <v>633</v>
      </c>
      <c r="B195" s="37" t="s">
        <v>51</v>
      </c>
      <c r="C195" s="41" t="s">
        <v>52</v>
      </c>
      <c r="D195" s="62" t="s">
        <v>92</v>
      </c>
      <c r="E195" s="42" t="s">
        <v>54</v>
      </c>
      <c r="F195" s="42" t="s">
        <v>97</v>
      </c>
      <c r="G195" s="43" t="s">
        <v>55</v>
      </c>
      <c r="H195" s="36" t="s">
        <v>56</v>
      </c>
      <c r="I195" s="44" t="s">
        <v>634</v>
      </c>
      <c r="J195" s="45" t="s">
        <v>635</v>
      </c>
      <c r="K195" s="44"/>
      <c r="L195" s="44"/>
    </row>
    <row r="196" ht="34.5" customHeight="1">
      <c r="A196" s="46" t="s">
        <v>637</v>
      </c>
      <c r="B196" s="47" t="s">
        <v>51</v>
      </c>
      <c r="C196" s="50" t="s">
        <v>64</v>
      </c>
      <c r="D196" s="49" t="s">
        <v>63</v>
      </c>
      <c r="E196" s="52" t="s">
        <v>67</v>
      </c>
      <c r="F196" s="52" t="s">
        <v>65</v>
      </c>
      <c r="G196" s="43" t="s">
        <v>55</v>
      </c>
      <c r="H196" s="46" t="s">
        <v>56</v>
      </c>
      <c r="I196" s="54" t="s">
        <v>638</v>
      </c>
      <c r="J196" s="55" t="s">
        <v>639</v>
      </c>
      <c r="K196" s="54"/>
      <c r="L196" s="54"/>
    </row>
    <row r="197" ht="34.5" customHeight="1">
      <c r="A197" s="36" t="s">
        <v>640</v>
      </c>
      <c r="B197" s="37" t="s">
        <v>51</v>
      </c>
      <c r="C197" s="49" t="s">
        <v>63</v>
      </c>
      <c r="D197" s="62" t="s">
        <v>92</v>
      </c>
      <c r="E197" s="42" t="s">
        <v>65</v>
      </c>
      <c r="F197" s="42" t="s">
        <v>97</v>
      </c>
      <c r="G197" s="43" t="s">
        <v>55</v>
      </c>
      <c r="H197" s="36" t="s">
        <v>56</v>
      </c>
      <c r="I197" s="44" t="s">
        <v>642</v>
      </c>
      <c r="J197" s="45" t="s">
        <v>643</v>
      </c>
      <c r="K197" s="44"/>
      <c r="L197" s="44"/>
    </row>
    <row r="198" ht="34.5" customHeight="1">
      <c r="A198" s="46" t="s">
        <v>644</v>
      </c>
      <c r="B198" s="47" t="s">
        <v>51</v>
      </c>
      <c r="C198" s="62" t="s">
        <v>92</v>
      </c>
      <c r="D198" s="49" t="s">
        <v>63</v>
      </c>
      <c r="E198" s="52" t="s">
        <v>97</v>
      </c>
      <c r="F198" s="52" t="s">
        <v>65</v>
      </c>
      <c r="G198" s="43" t="s">
        <v>55</v>
      </c>
      <c r="H198" s="46" t="s">
        <v>56</v>
      </c>
      <c r="I198" s="54" t="s">
        <v>645</v>
      </c>
      <c r="J198" s="55" t="s">
        <v>646</v>
      </c>
      <c r="K198" s="54"/>
      <c r="L198" s="54" t="s">
        <v>648</v>
      </c>
    </row>
    <row r="199" ht="39.75" customHeight="1">
      <c r="A199" s="36" t="s">
        <v>649</v>
      </c>
      <c r="B199" s="37" t="s">
        <v>51</v>
      </c>
      <c r="C199" s="62" t="s">
        <v>92</v>
      </c>
      <c r="D199" s="41" t="s">
        <v>52</v>
      </c>
      <c r="E199" s="42" t="s">
        <v>97</v>
      </c>
      <c r="F199" s="42" t="s">
        <v>54</v>
      </c>
      <c r="G199" s="43" t="s">
        <v>55</v>
      </c>
      <c r="H199" s="59" t="s">
        <v>68</v>
      </c>
      <c r="I199" s="44" t="s">
        <v>549</v>
      </c>
      <c r="J199" s="45" t="s">
        <v>550</v>
      </c>
      <c r="K199" s="44" t="s">
        <v>551</v>
      </c>
      <c r="L199" s="44" t="s">
        <v>552</v>
      </c>
    </row>
    <row r="200" ht="39.75" customHeight="1">
      <c r="A200" s="46" t="s">
        <v>627</v>
      </c>
      <c r="B200" s="47" t="s">
        <v>51</v>
      </c>
      <c r="C200" s="62" t="s">
        <v>92</v>
      </c>
      <c r="D200" s="86" t="s">
        <v>164</v>
      </c>
      <c r="E200" s="52" t="s">
        <v>97</v>
      </c>
      <c r="F200" s="52" t="s">
        <v>165</v>
      </c>
      <c r="G200" s="43" t="s">
        <v>55</v>
      </c>
      <c r="H200" s="53" t="s">
        <v>68</v>
      </c>
      <c r="I200" s="54" t="s">
        <v>549</v>
      </c>
      <c r="J200" s="55" t="s">
        <v>550</v>
      </c>
      <c r="K200" s="54" t="s">
        <v>551</v>
      </c>
      <c r="L200" s="54" t="s">
        <v>552</v>
      </c>
    </row>
    <row r="201" ht="39.75" customHeight="1">
      <c r="A201" s="36" t="s">
        <v>651</v>
      </c>
      <c r="B201" s="37" t="s">
        <v>51</v>
      </c>
      <c r="C201" s="62" t="s">
        <v>92</v>
      </c>
      <c r="D201" s="86" t="s">
        <v>164</v>
      </c>
      <c r="E201" s="42" t="s">
        <v>97</v>
      </c>
      <c r="F201" s="42" t="s">
        <v>165</v>
      </c>
      <c r="G201" s="43" t="s">
        <v>55</v>
      </c>
      <c r="H201" s="59" t="s">
        <v>187</v>
      </c>
      <c r="I201" s="44" t="s">
        <v>549</v>
      </c>
      <c r="J201" s="45" t="s">
        <v>550</v>
      </c>
      <c r="K201" s="44" t="s">
        <v>551</v>
      </c>
      <c r="L201" s="44" t="s">
        <v>653</v>
      </c>
    </row>
    <row r="202" ht="34.5" customHeight="1">
      <c r="A202" s="46" t="s">
        <v>654</v>
      </c>
      <c r="B202" s="47" t="s">
        <v>51</v>
      </c>
      <c r="C202" s="41" t="s">
        <v>52</v>
      </c>
      <c r="D202" s="62" t="s">
        <v>92</v>
      </c>
      <c r="E202" s="52" t="s">
        <v>54</v>
      </c>
      <c r="F202" s="52" t="s">
        <v>97</v>
      </c>
      <c r="G202" s="43" t="s">
        <v>55</v>
      </c>
      <c r="H202" s="46" t="s">
        <v>56</v>
      </c>
      <c r="I202" s="54" t="s">
        <v>656</v>
      </c>
      <c r="J202" s="55" t="s">
        <v>657</v>
      </c>
      <c r="K202" s="54"/>
      <c r="L202" s="54"/>
    </row>
    <row r="203" ht="39.75" customHeight="1">
      <c r="A203" s="36" t="s">
        <v>631</v>
      </c>
      <c r="B203" s="37" t="s">
        <v>51</v>
      </c>
      <c r="C203" s="86" t="s">
        <v>164</v>
      </c>
      <c r="D203" s="50" t="s">
        <v>64</v>
      </c>
      <c r="E203" s="42" t="s">
        <v>165</v>
      </c>
      <c r="F203" s="42" t="s">
        <v>67</v>
      </c>
      <c r="G203" s="43" t="s">
        <v>55</v>
      </c>
      <c r="H203" s="59" t="s">
        <v>68</v>
      </c>
      <c r="I203" s="44" t="s">
        <v>549</v>
      </c>
      <c r="J203" s="45" t="s">
        <v>550</v>
      </c>
      <c r="K203" s="44" t="s">
        <v>551</v>
      </c>
      <c r="L203" s="44" t="s">
        <v>552</v>
      </c>
    </row>
    <row r="204" ht="39.75" customHeight="1">
      <c r="A204" s="46" t="s">
        <v>660</v>
      </c>
      <c r="B204" s="47" t="s">
        <v>51</v>
      </c>
      <c r="C204" s="86" t="s">
        <v>164</v>
      </c>
      <c r="D204" s="50" t="s">
        <v>64</v>
      </c>
      <c r="E204" s="52" t="s">
        <v>165</v>
      </c>
      <c r="F204" s="52" t="s">
        <v>67</v>
      </c>
      <c r="G204" s="43" t="s">
        <v>55</v>
      </c>
      <c r="H204" s="53" t="s">
        <v>187</v>
      </c>
      <c r="I204" s="54" t="s">
        <v>549</v>
      </c>
      <c r="J204" s="55" t="s">
        <v>550</v>
      </c>
      <c r="K204" s="54" t="s">
        <v>551</v>
      </c>
      <c r="L204" s="54" t="s">
        <v>662</v>
      </c>
    </row>
    <row r="205" ht="34.5" customHeight="1">
      <c r="A205" s="36" t="s">
        <v>663</v>
      </c>
      <c r="B205" s="37" t="s">
        <v>51</v>
      </c>
      <c r="C205" s="86" t="s">
        <v>164</v>
      </c>
      <c r="D205" s="62" t="s">
        <v>92</v>
      </c>
      <c r="E205" s="42" t="s">
        <v>165</v>
      </c>
      <c r="F205" s="42" t="s">
        <v>97</v>
      </c>
      <c r="G205" s="43" t="s">
        <v>55</v>
      </c>
      <c r="H205" s="36" t="s">
        <v>56</v>
      </c>
      <c r="I205" s="44" t="s">
        <v>664</v>
      </c>
      <c r="J205" s="45" t="s">
        <v>666</v>
      </c>
      <c r="K205" s="44"/>
      <c r="L205" s="44"/>
    </row>
    <row r="206" ht="39.75" customHeight="1">
      <c r="A206" s="46" t="s">
        <v>636</v>
      </c>
      <c r="B206" s="47" t="s">
        <v>51</v>
      </c>
      <c r="C206" s="57" t="s">
        <v>78</v>
      </c>
      <c r="D206" s="50" t="s">
        <v>64</v>
      </c>
      <c r="E206" s="52" t="s">
        <v>81</v>
      </c>
      <c r="F206" s="52" t="s">
        <v>67</v>
      </c>
      <c r="G206" s="43" t="s">
        <v>55</v>
      </c>
      <c r="H206" s="53" t="s">
        <v>68</v>
      </c>
      <c r="I206" s="54" t="s">
        <v>549</v>
      </c>
      <c r="J206" s="55" t="s">
        <v>550</v>
      </c>
      <c r="K206" s="54" t="s">
        <v>551</v>
      </c>
      <c r="L206" s="54" t="s">
        <v>552</v>
      </c>
    </row>
    <row r="207" ht="39.75" customHeight="1">
      <c r="A207" s="36" t="s">
        <v>641</v>
      </c>
      <c r="B207" s="37" t="s">
        <v>51</v>
      </c>
      <c r="C207" s="41" t="s">
        <v>52</v>
      </c>
      <c r="D207" s="49" t="s">
        <v>63</v>
      </c>
      <c r="E207" s="42" t="s">
        <v>54</v>
      </c>
      <c r="F207" s="42" t="s">
        <v>65</v>
      </c>
      <c r="G207" s="43" t="s">
        <v>55</v>
      </c>
      <c r="H207" s="59" t="s">
        <v>68</v>
      </c>
      <c r="I207" s="44" t="s">
        <v>549</v>
      </c>
      <c r="J207" s="45" t="s">
        <v>550</v>
      </c>
      <c r="K207" s="44" t="s">
        <v>551</v>
      </c>
      <c r="L207" s="44" t="s">
        <v>552</v>
      </c>
    </row>
    <row r="208" ht="34.5" customHeight="1">
      <c r="A208" s="46" t="s">
        <v>668</v>
      </c>
      <c r="B208" s="47" t="s">
        <v>51</v>
      </c>
      <c r="C208" s="62" t="s">
        <v>92</v>
      </c>
      <c r="D208" s="57" t="s">
        <v>78</v>
      </c>
      <c r="E208" s="52" t="s">
        <v>97</v>
      </c>
      <c r="F208" s="52" t="s">
        <v>81</v>
      </c>
      <c r="G208" s="43" t="s">
        <v>55</v>
      </c>
      <c r="H208" s="46" t="s">
        <v>56</v>
      </c>
      <c r="I208" s="54" t="s">
        <v>671</v>
      </c>
      <c r="J208" s="55" t="s">
        <v>672</v>
      </c>
      <c r="K208" s="54"/>
      <c r="L208" s="54"/>
    </row>
    <row r="209" ht="39.75" customHeight="1">
      <c r="A209" s="36" t="s">
        <v>673</v>
      </c>
      <c r="B209" s="37" t="s">
        <v>51</v>
      </c>
      <c r="C209" s="160" t="s">
        <v>154</v>
      </c>
      <c r="D209" s="50" t="s">
        <v>64</v>
      </c>
      <c r="E209" s="42" t="s">
        <v>158</v>
      </c>
      <c r="F209" s="42" t="s">
        <v>67</v>
      </c>
      <c r="G209" s="43" t="s">
        <v>55</v>
      </c>
      <c r="H209" s="59" t="s">
        <v>68</v>
      </c>
      <c r="I209" s="44" t="s">
        <v>549</v>
      </c>
      <c r="J209" s="45" t="s">
        <v>550</v>
      </c>
      <c r="K209" s="44" t="s">
        <v>551</v>
      </c>
      <c r="L209" s="44" t="s">
        <v>669</v>
      </c>
    </row>
    <row r="210" ht="34.5" customHeight="1">
      <c r="A210" s="46" t="s">
        <v>675</v>
      </c>
      <c r="B210" s="47" t="s">
        <v>51</v>
      </c>
      <c r="C210" s="49" t="s">
        <v>63</v>
      </c>
      <c r="D210" s="62" t="s">
        <v>92</v>
      </c>
      <c r="E210" s="52" t="s">
        <v>65</v>
      </c>
      <c r="F210" s="52" t="s">
        <v>97</v>
      </c>
      <c r="G210" s="43" t="s">
        <v>55</v>
      </c>
      <c r="H210" s="46" t="s">
        <v>56</v>
      </c>
      <c r="I210" s="54" t="s">
        <v>676</v>
      </c>
      <c r="J210" s="55" t="s">
        <v>677</v>
      </c>
      <c r="K210" s="54"/>
      <c r="L210" s="54"/>
    </row>
    <row r="211" ht="34.5" customHeight="1">
      <c r="A211" s="36" t="s">
        <v>679</v>
      </c>
      <c r="B211" s="37" t="s">
        <v>51</v>
      </c>
      <c r="C211" s="50" t="s">
        <v>64</v>
      </c>
      <c r="D211" s="49" t="s">
        <v>63</v>
      </c>
      <c r="E211" s="42" t="s">
        <v>67</v>
      </c>
      <c r="F211" s="42" t="s">
        <v>65</v>
      </c>
      <c r="G211" s="43" t="s">
        <v>55</v>
      </c>
      <c r="H211" s="36" t="s">
        <v>56</v>
      </c>
      <c r="I211" s="44" t="s">
        <v>680</v>
      </c>
      <c r="J211" s="45" t="s">
        <v>681</v>
      </c>
      <c r="K211" s="44"/>
      <c r="L211" s="44"/>
    </row>
    <row r="212" ht="39.75" customHeight="1">
      <c r="A212" s="46" t="s">
        <v>647</v>
      </c>
      <c r="B212" s="47" t="s">
        <v>51</v>
      </c>
      <c r="C212" s="49" t="s">
        <v>63</v>
      </c>
      <c r="D212" s="86" t="s">
        <v>164</v>
      </c>
      <c r="E212" s="52" t="s">
        <v>65</v>
      </c>
      <c r="F212" s="52" t="s">
        <v>165</v>
      </c>
      <c r="G212" s="43" t="s">
        <v>55</v>
      </c>
      <c r="H212" s="53" t="s">
        <v>68</v>
      </c>
      <c r="I212" s="54" t="s">
        <v>549</v>
      </c>
      <c r="J212" s="55" t="s">
        <v>550</v>
      </c>
      <c r="K212" s="54" t="s">
        <v>551</v>
      </c>
      <c r="L212" s="54" t="s">
        <v>552</v>
      </c>
    </row>
    <row r="213" ht="39.75" customHeight="1">
      <c r="A213" s="36" t="s">
        <v>682</v>
      </c>
      <c r="B213" s="37" t="s">
        <v>51</v>
      </c>
      <c r="C213" s="41" t="s">
        <v>52</v>
      </c>
      <c r="D213" s="62" t="s">
        <v>92</v>
      </c>
      <c r="E213" s="42" t="s">
        <v>54</v>
      </c>
      <c r="F213" s="42" t="s">
        <v>97</v>
      </c>
      <c r="G213" s="43" t="s">
        <v>55</v>
      </c>
      <c r="H213" s="59" t="s">
        <v>68</v>
      </c>
      <c r="I213" s="44" t="s">
        <v>549</v>
      </c>
      <c r="J213" s="45" t="s">
        <v>550</v>
      </c>
      <c r="K213" s="44" t="s">
        <v>551</v>
      </c>
      <c r="L213" s="44" t="s">
        <v>552</v>
      </c>
    </row>
    <row r="214" ht="34.5" customHeight="1">
      <c r="A214" s="46" t="s">
        <v>683</v>
      </c>
      <c r="B214" s="47" t="s">
        <v>51</v>
      </c>
      <c r="C214" s="50" t="s">
        <v>64</v>
      </c>
      <c r="D214" s="138" t="s">
        <v>199</v>
      </c>
      <c r="E214" s="52" t="s">
        <v>67</v>
      </c>
      <c r="F214" s="52" t="s">
        <v>200</v>
      </c>
      <c r="G214" s="43" t="s">
        <v>55</v>
      </c>
      <c r="H214" s="46" t="s">
        <v>56</v>
      </c>
      <c r="I214" s="54" t="s">
        <v>684</v>
      </c>
      <c r="J214" s="55" t="s">
        <v>685</v>
      </c>
      <c r="K214" s="54"/>
      <c r="L214" s="54"/>
    </row>
    <row r="215" ht="39.75" customHeight="1">
      <c r="A215" s="36" t="s">
        <v>650</v>
      </c>
      <c r="B215" s="37" t="s">
        <v>51</v>
      </c>
      <c r="C215" s="49" t="s">
        <v>63</v>
      </c>
      <c r="D215" s="50" t="s">
        <v>64</v>
      </c>
      <c r="E215" s="42" t="s">
        <v>65</v>
      </c>
      <c r="F215" s="42" t="s">
        <v>67</v>
      </c>
      <c r="G215" s="43" t="s">
        <v>55</v>
      </c>
      <c r="H215" s="59" t="s">
        <v>68</v>
      </c>
      <c r="I215" s="44" t="s">
        <v>549</v>
      </c>
      <c r="J215" s="45" t="s">
        <v>550</v>
      </c>
      <c r="K215" s="44" t="s">
        <v>551</v>
      </c>
      <c r="L215" s="44" t="s">
        <v>552</v>
      </c>
    </row>
    <row r="216" ht="39.75" customHeight="1">
      <c r="A216" s="46" t="s">
        <v>652</v>
      </c>
      <c r="B216" s="47" t="s">
        <v>51</v>
      </c>
      <c r="C216" s="57" t="s">
        <v>78</v>
      </c>
      <c r="D216" s="50" t="s">
        <v>64</v>
      </c>
      <c r="E216" s="52" t="s">
        <v>81</v>
      </c>
      <c r="F216" s="52" t="s">
        <v>67</v>
      </c>
      <c r="G216" s="43" t="s">
        <v>55</v>
      </c>
      <c r="H216" s="53" t="s">
        <v>68</v>
      </c>
      <c r="I216" s="54" t="s">
        <v>549</v>
      </c>
      <c r="J216" s="55" t="s">
        <v>550</v>
      </c>
      <c r="K216" s="54" t="s">
        <v>551</v>
      </c>
      <c r="L216" s="54" t="s">
        <v>552</v>
      </c>
    </row>
    <row r="217" ht="34.5" customHeight="1">
      <c r="A217" s="36" t="s">
        <v>686</v>
      </c>
      <c r="B217" s="37" t="s">
        <v>51</v>
      </c>
      <c r="C217" s="62" t="s">
        <v>92</v>
      </c>
      <c r="D217" s="50" t="s">
        <v>64</v>
      </c>
      <c r="E217" s="42" t="s">
        <v>97</v>
      </c>
      <c r="F217" s="42" t="s">
        <v>67</v>
      </c>
      <c r="G217" s="43" t="s">
        <v>55</v>
      </c>
      <c r="H217" s="36" t="s">
        <v>56</v>
      </c>
      <c r="I217" s="44" t="s">
        <v>687</v>
      </c>
      <c r="J217" s="45" t="s">
        <v>688</v>
      </c>
      <c r="K217" s="44"/>
      <c r="L217" s="44" t="s">
        <v>689</v>
      </c>
    </row>
    <row r="218" ht="34.5" customHeight="1">
      <c r="A218" s="46" t="s">
        <v>690</v>
      </c>
      <c r="B218" s="47" t="s">
        <v>51</v>
      </c>
      <c r="C218" s="136" t="s">
        <v>210</v>
      </c>
      <c r="D218" s="62" t="s">
        <v>92</v>
      </c>
      <c r="E218" s="52" t="s">
        <v>211</v>
      </c>
      <c r="F218" s="52" t="s">
        <v>97</v>
      </c>
      <c r="G218" s="43" t="s">
        <v>55</v>
      </c>
      <c r="H218" s="46" t="s">
        <v>56</v>
      </c>
      <c r="I218" s="54" t="s">
        <v>691</v>
      </c>
      <c r="J218" s="55" t="s">
        <v>692</v>
      </c>
      <c r="K218" s="54"/>
      <c r="L218" s="54"/>
    </row>
    <row r="219" ht="34.5" customHeight="1">
      <c r="A219" s="36" t="s">
        <v>693</v>
      </c>
      <c r="B219" s="37" t="s">
        <v>51</v>
      </c>
      <c r="C219" s="152" t="s">
        <v>218</v>
      </c>
      <c r="D219" s="50" t="s">
        <v>64</v>
      </c>
      <c r="E219" s="42" t="s">
        <v>219</v>
      </c>
      <c r="F219" s="42" t="s">
        <v>67</v>
      </c>
      <c r="G219" s="43" t="s">
        <v>55</v>
      </c>
      <c r="H219" s="36" t="s">
        <v>56</v>
      </c>
      <c r="I219" s="44" t="s">
        <v>695</v>
      </c>
      <c r="J219" s="45" t="s">
        <v>696</v>
      </c>
      <c r="K219" s="44"/>
      <c r="L219" s="44"/>
    </row>
    <row r="220" ht="39.75" customHeight="1">
      <c r="A220" s="46" t="s">
        <v>697</v>
      </c>
      <c r="B220" s="47" t="s">
        <v>51</v>
      </c>
      <c r="C220" s="50" t="s">
        <v>64</v>
      </c>
      <c r="D220" s="49" t="s">
        <v>63</v>
      </c>
      <c r="E220" s="52" t="s">
        <v>67</v>
      </c>
      <c r="F220" s="52" t="s">
        <v>65</v>
      </c>
      <c r="G220" s="43" t="s">
        <v>55</v>
      </c>
      <c r="H220" s="53" t="s">
        <v>68</v>
      </c>
      <c r="I220" s="54" t="s">
        <v>549</v>
      </c>
      <c r="J220" s="55" t="s">
        <v>550</v>
      </c>
      <c r="K220" s="54" t="s">
        <v>551</v>
      </c>
      <c r="L220" s="54" t="s">
        <v>552</v>
      </c>
    </row>
    <row r="221" ht="39.75" customHeight="1">
      <c r="A221" s="36" t="s">
        <v>698</v>
      </c>
      <c r="B221" s="37" t="s">
        <v>51</v>
      </c>
      <c r="C221" s="162" t="s">
        <v>212</v>
      </c>
      <c r="D221" s="86" t="s">
        <v>164</v>
      </c>
      <c r="E221" s="42" t="s">
        <v>213</v>
      </c>
      <c r="F221" s="42" t="s">
        <v>165</v>
      </c>
      <c r="G221" s="43" t="s">
        <v>55</v>
      </c>
      <c r="H221" s="59" t="s">
        <v>68</v>
      </c>
      <c r="I221" s="44" t="s">
        <v>549</v>
      </c>
      <c r="J221" s="45" t="s">
        <v>550</v>
      </c>
      <c r="K221" s="44" t="s">
        <v>551</v>
      </c>
      <c r="L221" s="44" t="s">
        <v>552</v>
      </c>
    </row>
    <row r="222" ht="39.75" customHeight="1">
      <c r="A222" s="46" t="s">
        <v>655</v>
      </c>
      <c r="B222" s="47" t="s">
        <v>51</v>
      </c>
      <c r="C222" s="41" t="s">
        <v>52</v>
      </c>
      <c r="D222" s="62" t="s">
        <v>92</v>
      </c>
      <c r="E222" s="52" t="s">
        <v>54</v>
      </c>
      <c r="F222" s="52" t="s">
        <v>97</v>
      </c>
      <c r="G222" s="43" t="s">
        <v>55</v>
      </c>
      <c r="H222" s="53" t="s">
        <v>68</v>
      </c>
      <c r="I222" s="54" t="s">
        <v>549</v>
      </c>
      <c r="J222" s="55" t="s">
        <v>550</v>
      </c>
      <c r="K222" s="54" t="s">
        <v>551</v>
      </c>
      <c r="L222" s="54" t="s">
        <v>658</v>
      </c>
    </row>
    <row r="223" ht="34.5" customHeight="1">
      <c r="A223" s="36" t="s">
        <v>699</v>
      </c>
      <c r="B223" s="37" t="s">
        <v>51</v>
      </c>
      <c r="C223" s="41" t="s">
        <v>52</v>
      </c>
      <c r="D223" s="62" t="s">
        <v>92</v>
      </c>
      <c r="E223" s="42" t="s">
        <v>54</v>
      </c>
      <c r="F223" s="42" t="s">
        <v>97</v>
      </c>
      <c r="G223" s="43" t="s">
        <v>55</v>
      </c>
      <c r="H223" s="36" t="s">
        <v>56</v>
      </c>
      <c r="I223" s="44" t="s">
        <v>701</v>
      </c>
      <c r="J223" s="45" t="s">
        <v>702</v>
      </c>
      <c r="K223" s="44"/>
      <c r="L223" s="44"/>
    </row>
    <row r="224" ht="39.75" customHeight="1">
      <c r="A224" s="46" t="s">
        <v>703</v>
      </c>
      <c r="B224" s="47" t="s">
        <v>51</v>
      </c>
      <c r="C224" s="49" t="s">
        <v>63</v>
      </c>
      <c r="D224" s="50" t="s">
        <v>64</v>
      </c>
      <c r="E224" s="52" t="s">
        <v>65</v>
      </c>
      <c r="F224" s="52" t="s">
        <v>67</v>
      </c>
      <c r="G224" s="43" t="s">
        <v>55</v>
      </c>
      <c r="H224" s="53" t="s">
        <v>68</v>
      </c>
      <c r="I224" s="54" t="s">
        <v>549</v>
      </c>
      <c r="J224" s="55" t="s">
        <v>550</v>
      </c>
      <c r="K224" s="54" t="s">
        <v>551</v>
      </c>
      <c r="L224" s="54" t="s">
        <v>552</v>
      </c>
    </row>
    <row r="225" ht="39.75" customHeight="1">
      <c r="A225" s="36" t="s">
        <v>704</v>
      </c>
      <c r="B225" s="37" t="s">
        <v>51</v>
      </c>
      <c r="C225" s="62" t="s">
        <v>92</v>
      </c>
      <c r="D225" s="50" t="s">
        <v>64</v>
      </c>
      <c r="E225" s="42" t="s">
        <v>97</v>
      </c>
      <c r="F225" s="42" t="s">
        <v>67</v>
      </c>
      <c r="G225" s="43" t="s">
        <v>55</v>
      </c>
      <c r="H225" s="59" t="s">
        <v>68</v>
      </c>
      <c r="I225" s="44" t="s">
        <v>549</v>
      </c>
      <c r="J225" s="45" t="s">
        <v>550</v>
      </c>
      <c r="K225" s="44" t="s">
        <v>551</v>
      </c>
      <c r="L225" s="44" t="s">
        <v>552</v>
      </c>
    </row>
    <row r="226" ht="34.5" customHeight="1">
      <c r="A226" s="46" t="s">
        <v>705</v>
      </c>
      <c r="B226" s="47" t="s">
        <v>51</v>
      </c>
      <c r="C226" s="50" t="s">
        <v>64</v>
      </c>
      <c r="D226" s="86" t="s">
        <v>164</v>
      </c>
      <c r="E226" s="52" t="s">
        <v>67</v>
      </c>
      <c r="F226" s="52" t="s">
        <v>165</v>
      </c>
      <c r="G226" s="43" t="s">
        <v>55</v>
      </c>
      <c r="H226" s="46" t="s">
        <v>56</v>
      </c>
      <c r="I226" s="54" t="s">
        <v>707</v>
      </c>
      <c r="J226" s="55" t="s">
        <v>708</v>
      </c>
      <c r="K226" s="54"/>
      <c r="L226" s="54"/>
    </row>
    <row r="227" ht="34.5" customHeight="1">
      <c r="A227" s="36" t="s">
        <v>711</v>
      </c>
      <c r="B227" s="37" t="s">
        <v>51</v>
      </c>
      <c r="C227" s="49" t="s">
        <v>63</v>
      </c>
      <c r="D227" s="62" t="s">
        <v>92</v>
      </c>
      <c r="E227" s="42" t="s">
        <v>65</v>
      </c>
      <c r="F227" s="42" t="s">
        <v>97</v>
      </c>
      <c r="G227" s="43" t="s">
        <v>55</v>
      </c>
      <c r="H227" s="36" t="s">
        <v>56</v>
      </c>
      <c r="I227" s="44" t="s">
        <v>712</v>
      </c>
      <c r="J227" s="45" t="s">
        <v>713</v>
      </c>
      <c r="K227" s="44"/>
      <c r="L227" s="44"/>
    </row>
    <row r="228" ht="34.5" customHeight="1">
      <c r="A228" s="46" t="s">
        <v>714</v>
      </c>
      <c r="B228" s="47" t="s">
        <v>51</v>
      </c>
      <c r="C228" s="50" t="s">
        <v>64</v>
      </c>
      <c r="D228" s="62" t="s">
        <v>92</v>
      </c>
      <c r="E228" s="52" t="s">
        <v>67</v>
      </c>
      <c r="F228" s="52" t="s">
        <v>97</v>
      </c>
      <c r="G228" s="43" t="s">
        <v>55</v>
      </c>
      <c r="H228" s="46" t="s">
        <v>56</v>
      </c>
      <c r="I228" s="54" t="s">
        <v>715</v>
      </c>
      <c r="J228" s="55" t="s">
        <v>716</v>
      </c>
      <c r="K228" s="54"/>
      <c r="L228" s="54"/>
    </row>
    <row r="229" ht="39.75" customHeight="1">
      <c r="A229" s="36" t="s">
        <v>718</v>
      </c>
      <c r="B229" s="37" t="s">
        <v>51</v>
      </c>
      <c r="C229" s="86" t="s">
        <v>164</v>
      </c>
      <c r="D229" s="62" t="s">
        <v>92</v>
      </c>
      <c r="E229" s="42" t="s">
        <v>165</v>
      </c>
      <c r="F229" s="42" t="s">
        <v>97</v>
      </c>
      <c r="G229" s="43" t="s">
        <v>55</v>
      </c>
      <c r="H229" s="59" t="s">
        <v>68</v>
      </c>
      <c r="I229" s="44" t="s">
        <v>549</v>
      </c>
      <c r="J229" s="45" t="s">
        <v>550</v>
      </c>
      <c r="K229" s="44" t="s">
        <v>551</v>
      </c>
      <c r="L229" s="44" t="s">
        <v>552</v>
      </c>
    </row>
    <row r="230" ht="34.5" customHeight="1">
      <c r="A230" s="46" t="s">
        <v>719</v>
      </c>
      <c r="B230" s="47" t="s">
        <v>51</v>
      </c>
      <c r="C230" s="49" t="s">
        <v>63</v>
      </c>
      <c r="D230" s="62" t="s">
        <v>92</v>
      </c>
      <c r="E230" s="52" t="s">
        <v>65</v>
      </c>
      <c r="F230" s="52" t="s">
        <v>97</v>
      </c>
      <c r="G230" s="43" t="s">
        <v>55</v>
      </c>
      <c r="H230" s="46" t="s">
        <v>56</v>
      </c>
      <c r="I230" s="54" t="s">
        <v>721</v>
      </c>
      <c r="J230" s="55" t="s">
        <v>722</v>
      </c>
      <c r="K230" s="54"/>
      <c r="L230" s="54"/>
    </row>
    <row r="231" ht="34.5" customHeight="1">
      <c r="A231" s="36" t="s">
        <v>723</v>
      </c>
      <c r="B231" s="37" t="s">
        <v>51</v>
      </c>
      <c r="C231" s="50" t="s">
        <v>64</v>
      </c>
      <c r="D231" s="86" t="s">
        <v>164</v>
      </c>
      <c r="E231" s="42" t="s">
        <v>67</v>
      </c>
      <c r="F231" s="42" t="s">
        <v>165</v>
      </c>
      <c r="G231" s="43" t="s">
        <v>55</v>
      </c>
      <c r="H231" s="36" t="s">
        <v>144</v>
      </c>
      <c r="I231" s="44" t="s">
        <v>724</v>
      </c>
      <c r="J231" s="45" t="s">
        <v>725</v>
      </c>
      <c r="K231" s="44"/>
      <c r="L231" s="44" t="s">
        <v>726</v>
      </c>
    </row>
    <row r="232" ht="39.75" customHeight="1">
      <c r="A232" s="46" t="s">
        <v>728</v>
      </c>
      <c r="B232" s="47" t="s">
        <v>51</v>
      </c>
      <c r="C232" s="41" t="s">
        <v>52</v>
      </c>
      <c r="D232" s="49" t="s">
        <v>63</v>
      </c>
      <c r="E232" s="52" t="s">
        <v>54</v>
      </c>
      <c r="F232" s="52" t="s">
        <v>65</v>
      </c>
      <c r="G232" s="43" t="s">
        <v>55</v>
      </c>
      <c r="H232" s="53" t="s">
        <v>68</v>
      </c>
      <c r="I232" s="54" t="s">
        <v>549</v>
      </c>
      <c r="J232" s="55" t="s">
        <v>550</v>
      </c>
      <c r="K232" s="54" t="s">
        <v>551</v>
      </c>
      <c r="L232" s="54" t="s">
        <v>552</v>
      </c>
    </row>
    <row r="233" ht="39.75" customHeight="1">
      <c r="A233" s="36" t="s">
        <v>729</v>
      </c>
      <c r="B233" s="37" t="s">
        <v>51</v>
      </c>
      <c r="C233" s="144" t="s">
        <v>192</v>
      </c>
      <c r="D233" s="62" t="s">
        <v>92</v>
      </c>
      <c r="E233" s="42" t="s">
        <v>193</v>
      </c>
      <c r="F233" s="42" t="s">
        <v>97</v>
      </c>
      <c r="G233" s="43" t="s">
        <v>55</v>
      </c>
      <c r="H233" s="59" t="s">
        <v>68</v>
      </c>
      <c r="I233" s="44" t="s">
        <v>549</v>
      </c>
      <c r="J233" s="45" t="s">
        <v>550</v>
      </c>
      <c r="K233" s="44" t="s">
        <v>551</v>
      </c>
      <c r="L233" s="44" t="s">
        <v>552</v>
      </c>
    </row>
    <row r="234" ht="34.5" customHeight="1">
      <c r="A234" s="46" t="s">
        <v>731</v>
      </c>
      <c r="B234" s="47" t="s">
        <v>51</v>
      </c>
      <c r="C234" s="86" t="s">
        <v>164</v>
      </c>
      <c r="D234" s="62" t="s">
        <v>92</v>
      </c>
      <c r="E234" s="52" t="s">
        <v>165</v>
      </c>
      <c r="F234" s="52" t="s">
        <v>97</v>
      </c>
      <c r="G234" s="43" t="s">
        <v>55</v>
      </c>
      <c r="H234" s="46" t="s">
        <v>56</v>
      </c>
      <c r="I234" s="54" t="s">
        <v>735</v>
      </c>
      <c r="J234" s="55" t="s">
        <v>736</v>
      </c>
      <c r="K234" s="54"/>
      <c r="L234" s="54"/>
    </row>
    <row r="235" ht="39.75" customHeight="1">
      <c r="A235" s="36" t="s">
        <v>659</v>
      </c>
      <c r="B235" s="37" t="s">
        <v>51</v>
      </c>
      <c r="C235" s="169" t="s">
        <v>176</v>
      </c>
      <c r="D235" s="164" t="s">
        <v>196</v>
      </c>
      <c r="E235" s="42" t="s">
        <v>178</v>
      </c>
      <c r="F235" s="42" t="s">
        <v>197</v>
      </c>
      <c r="G235" s="43" t="s">
        <v>55</v>
      </c>
      <c r="H235" s="59" t="s">
        <v>68</v>
      </c>
      <c r="I235" s="44" t="s">
        <v>549</v>
      </c>
      <c r="J235" s="45" t="s">
        <v>550</v>
      </c>
      <c r="K235" s="44" t="s">
        <v>551</v>
      </c>
      <c r="L235" s="44" t="s">
        <v>552</v>
      </c>
    </row>
    <row r="236" ht="34.5" customHeight="1">
      <c r="A236" s="46" t="s">
        <v>740</v>
      </c>
      <c r="B236" s="47" t="s">
        <v>51</v>
      </c>
      <c r="C236" s="144" t="s">
        <v>192</v>
      </c>
      <c r="D236" s="149" t="s">
        <v>503</v>
      </c>
      <c r="E236" s="52" t="s">
        <v>193</v>
      </c>
      <c r="F236" s="52"/>
      <c r="G236" s="150" t="s">
        <v>35</v>
      </c>
      <c r="H236" s="46" t="s">
        <v>56</v>
      </c>
      <c r="I236" s="54" t="s">
        <v>741</v>
      </c>
      <c r="J236" s="55" t="s">
        <v>742</v>
      </c>
      <c r="K236" s="54"/>
      <c r="L236" s="54" t="s">
        <v>743</v>
      </c>
    </row>
    <row r="237" ht="34.5" customHeight="1">
      <c r="A237" s="36" t="s">
        <v>744</v>
      </c>
      <c r="B237" s="37" t="s">
        <v>51</v>
      </c>
      <c r="C237" s="49" t="s">
        <v>63</v>
      </c>
      <c r="D237" s="62" t="s">
        <v>92</v>
      </c>
      <c r="E237" s="42" t="s">
        <v>65</v>
      </c>
      <c r="F237" s="42" t="s">
        <v>97</v>
      </c>
      <c r="G237" s="43" t="s">
        <v>55</v>
      </c>
      <c r="H237" s="36" t="s">
        <v>184</v>
      </c>
      <c r="I237" s="44" t="s">
        <v>746</v>
      </c>
      <c r="J237" s="45" t="s">
        <v>747</v>
      </c>
      <c r="K237" s="44"/>
      <c r="L237" s="44"/>
    </row>
    <row r="238" ht="39.75" customHeight="1">
      <c r="A238" s="46" t="s">
        <v>732</v>
      </c>
      <c r="B238" s="47" t="s">
        <v>51</v>
      </c>
      <c r="C238" s="62" t="s">
        <v>92</v>
      </c>
      <c r="D238" s="50" t="s">
        <v>64</v>
      </c>
      <c r="E238" s="52" t="s">
        <v>97</v>
      </c>
      <c r="F238" s="52" t="s">
        <v>67</v>
      </c>
      <c r="G238" s="43" t="s">
        <v>55</v>
      </c>
      <c r="H238" s="53" t="s">
        <v>68</v>
      </c>
      <c r="I238" s="54" t="s">
        <v>549</v>
      </c>
      <c r="J238" s="55" t="s">
        <v>550</v>
      </c>
      <c r="K238" s="54" t="s">
        <v>551</v>
      </c>
      <c r="L238" s="54" t="s">
        <v>737</v>
      </c>
    </row>
    <row r="239" ht="34.5" customHeight="1">
      <c r="A239" s="36" t="s">
        <v>661</v>
      </c>
      <c r="B239" s="37" t="s">
        <v>51</v>
      </c>
      <c r="C239" s="86" t="s">
        <v>164</v>
      </c>
      <c r="D239" s="138" t="s">
        <v>199</v>
      </c>
      <c r="E239" s="42" t="s">
        <v>165</v>
      </c>
      <c r="F239" s="42" t="s">
        <v>200</v>
      </c>
      <c r="G239" s="43" t="s">
        <v>55</v>
      </c>
      <c r="H239" s="36" t="s">
        <v>56</v>
      </c>
      <c r="I239" s="44" t="s">
        <v>749</v>
      </c>
      <c r="J239" s="45" t="s">
        <v>665</v>
      </c>
      <c r="K239" s="44"/>
      <c r="L239" s="44"/>
    </row>
    <row r="240" ht="34.5" customHeight="1">
      <c r="A240" s="46" t="s">
        <v>751</v>
      </c>
      <c r="B240" s="47" t="s">
        <v>51</v>
      </c>
      <c r="C240" s="50" t="s">
        <v>64</v>
      </c>
      <c r="D240" s="86" t="s">
        <v>164</v>
      </c>
      <c r="E240" s="52" t="s">
        <v>67</v>
      </c>
      <c r="F240" s="52" t="s">
        <v>165</v>
      </c>
      <c r="G240" s="43" t="s">
        <v>55</v>
      </c>
      <c r="H240" s="46" t="s">
        <v>144</v>
      </c>
      <c r="I240" s="54" t="s">
        <v>754</v>
      </c>
      <c r="J240" s="55" t="s">
        <v>755</v>
      </c>
      <c r="K240" s="54"/>
      <c r="L240" s="54" t="s">
        <v>756</v>
      </c>
    </row>
    <row r="241" ht="34.5" customHeight="1">
      <c r="A241" s="36" t="s">
        <v>757</v>
      </c>
      <c r="B241" s="37" t="s">
        <v>51</v>
      </c>
      <c r="C241" s="41" t="s">
        <v>52</v>
      </c>
      <c r="D241" s="62" t="s">
        <v>92</v>
      </c>
      <c r="E241" s="42" t="s">
        <v>54</v>
      </c>
      <c r="F241" s="42" t="s">
        <v>97</v>
      </c>
      <c r="G241" s="43" t="s">
        <v>55</v>
      </c>
      <c r="H241" s="36" t="s">
        <v>56</v>
      </c>
      <c r="I241" s="44" t="s">
        <v>758</v>
      </c>
      <c r="J241" s="45" t="s">
        <v>759</v>
      </c>
      <c r="K241" s="44"/>
      <c r="L241" s="44"/>
    </row>
    <row r="242" ht="34.5" customHeight="1">
      <c r="A242" s="46" t="s">
        <v>761</v>
      </c>
      <c r="B242" s="47" t="s">
        <v>51</v>
      </c>
      <c r="C242" s="49" t="s">
        <v>63</v>
      </c>
      <c r="D242" s="86" t="s">
        <v>164</v>
      </c>
      <c r="E242" s="52" t="s">
        <v>65</v>
      </c>
      <c r="F242" s="52" t="s">
        <v>165</v>
      </c>
      <c r="G242" s="43" t="s">
        <v>55</v>
      </c>
      <c r="H242" s="46" t="s">
        <v>56</v>
      </c>
      <c r="I242" s="54" t="s">
        <v>762</v>
      </c>
      <c r="J242" s="55" t="s">
        <v>764</v>
      </c>
      <c r="K242" s="54"/>
      <c r="L242" s="54"/>
    </row>
    <row r="243" ht="34.5" customHeight="1">
      <c r="A243" s="36" t="s">
        <v>765</v>
      </c>
      <c r="B243" s="37" t="s">
        <v>51</v>
      </c>
      <c r="C243" s="50" t="s">
        <v>64</v>
      </c>
      <c r="D243" s="86" t="s">
        <v>164</v>
      </c>
      <c r="E243" s="42" t="s">
        <v>67</v>
      </c>
      <c r="F243" s="42" t="s">
        <v>165</v>
      </c>
      <c r="G243" s="43" t="s">
        <v>55</v>
      </c>
      <c r="H243" s="36" t="s">
        <v>56</v>
      </c>
      <c r="I243" s="44" t="s">
        <v>766</v>
      </c>
      <c r="J243" s="45" t="s">
        <v>767</v>
      </c>
      <c r="K243" s="44"/>
      <c r="L243" s="44"/>
    </row>
    <row r="244" ht="34.5" customHeight="1">
      <c r="A244" s="46" t="s">
        <v>738</v>
      </c>
      <c r="B244" s="47" t="s">
        <v>51</v>
      </c>
      <c r="C244" s="50" t="s">
        <v>64</v>
      </c>
      <c r="D244" s="49" t="s">
        <v>63</v>
      </c>
      <c r="E244" s="52" t="s">
        <v>67</v>
      </c>
      <c r="F244" s="52" t="s">
        <v>65</v>
      </c>
      <c r="G244" s="43" t="s">
        <v>55</v>
      </c>
      <c r="H244" s="46" t="s">
        <v>56</v>
      </c>
      <c r="I244" s="54" t="s">
        <v>771</v>
      </c>
      <c r="J244" s="55" t="s">
        <v>770</v>
      </c>
      <c r="K244" s="54"/>
      <c r="L244" s="54"/>
    </row>
    <row r="245" ht="34.5" customHeight="1">
      <c r="A245" s="36" t="s">
        <v>772</v>
      </c>
      <c r="B245" s="37" t="s">
        <v>51</v>
      </c>
      <c r="C245" s="50" t="s">
        <v>64</v>
      </c>
      <c r="D245" s="49" t="s">
        <v>63</v>
      </c>
      <c r="E245" s="42" t="s">
        <v>67</v>
      </c>
      <c r="F245" s="42" t="s">
        <v>65</v>
      </c>
      <c r="G245" s="43" t="s">
        <v>55</v>
      </c>
      <c r="H245" s="36" t="s">
        <v>56</v>
      </c>
      <c r="I245" s="44" t="s">
        <v>773</v>
      </c>
      <c r="J245" s="45" t="s">
        <v>774</v>
      </c>
      <c r="K245" s="44"/>
      <c r="L245" s="44"/>
    </row>
    <row r="246" ht="39.75" customHeight="1">
      <c r="A246" s="46" t="s">
        <v>667</v>
      </c>
      <c r="B246" s="47" t="s">
        <v>51</v>
      </c>
      <c r="C246" s="144" t="s">
        <v>192</v>
      </c>
      <c r="D246" s="50" t="s">
        <v>64</v>
      </c>
      <c r="E246" s="52" t="s">
        <v>193</v>
      </c>
      <c r="F246" s="52" t="s">
        <v>67</v>
      </c>
      <c r="G246" s="43" t="s">
        <v>55</v>
      </c>
      <c r="H246" s="53" t="s">
        <v>68</v>
      </c>
      <c r="I246" s="54" t="s">
        <v>549</v>
      </c>
      <c r="J246" s="55" t="s">
        <v>550</v>
      </c>
      <c r="K246" s="54" t="s">
        <v>551</v>
      </c>
      <c r="L246" s="54" t="s">
        <v>669</v>
      </c>
    </row>
    <row r="247" ht="34.5" customHeight="1">
      <c r="A247" s="36" t="s">
        <v>778</v>
      </c>
      <c r="B247" s="37" t="s">
        <v>51</v>
      </c>
      <c r="C247" s="49" t="s">
        <v>63</v>
      </c>
      <c r="D247" s="62" t="s">
        <v>92</v>
      </c>
      <c r="E247" s="42" t="s">
        <v>65</v>
      </c>
      <c r="F247" s="42" t="s">
        <v>97</v>
      </c>
      <c r="G247" s="43" t="s">
        <v>55</v>
      </c>
      <c r="H247" s="36" t="s">
        <v>56</v>
      </c>
      <c r="I247" s="44" t="s">
        <v>779</v>
      </c>
      <c r="J247" s="45" t="s">
        <v>780</v>
      </c>
      <c r="K247" s="44"/>
      <c r="L247" s="44"/>
    </row>
    <row r="248" ht="34.5" customHeight="1">
      <c r="A248" s="46" t="s">
        <v>782</v>
      </c>
      <c r="B248" s="47" t="s">
        <v>51</v>
      </c>
      <c r="C248" s="41" t="s">
        <v>52</v>
      </c>
      <c r="D248" s="62" t="s">
        <v>92</v>
      </c>
      <c r="E248" s="52" t="s">
        <v>54</v>
      </c>
      <c r="F248" s="52" t="s">
        <v>97</v>
      </c>
      <c r="G248" s="43" t="s">
        <v>55</v>
      </c>
      <c r="H248" s="46" t="s">
        <v>56</v>
      </c>
      <c r="I248" s="54" t="s">
        <v>783</v>
      </c>
      <c r="J248" s="55" t="s">
        <v>785</v>
      </c>
      <c r="K248" s="54"/>
      <c r="L248" s="54"/>
    </row>
    <row r="249" ht="39.75" customHeight="1">
      <c r="A249" s="36" t="s">
        <v>787</v>
      </c>
      <c r="B249" s="37" t="s">
        <v>51</v>
      </c>
      <c r="C249" s="57" t="s">
        <v>78</v>
      </c>
      <c r="D249" s="50" t="s">
        <v>64</v>
      </c>
      <c r="E249" s="42" t="s">
        <v>81</v>
      </c>
      <c r="F249" s="42" t="s">
        <v>67</v>
      </c>
      <c r="G249" s="43" t="s">
        <v>55</v>
      </c>
      <c r="H249" s="59" t="s">
        <v>68</v>
      </c>
      <c r="I249" s="44" t="s">
        <v>549</v>
      </c>
      <c r="J249" s="45" t="s">
        <v>550</v>
      </c>
      <c r="K249" s="44" t="s">
        <v>551</v>
      </c>
      <c r="L249" s="44" t="s">
        <v>552</v>
      </c>
    </row>
    <row r="250" ht="39.75" customHeight="1">
      <c r="A250" s="46" t="s">
        <v>670</v>
      </c>
      <c r="B250" s="47" t="s">
        <v>51</v>
      </c>
      <c r="C250" s="86" t="s">
        <v>164</v>
      </c>
      <c r="D250" s="50" t="s">
        <v>64</v>
      </c>
      <c r="E250" s="52" t="s">
        <v>165</v>
      </c>
      <c r="F250" s="52" t="s">
        <v>67</v>
      </c>
      <c r="G250" s="43" t="s">
        <v>55</v>
      </c>
      <c r="H250" s="53" t="s">
        <v>68</v>
      </c>
      <c r="I250" s="54" t="s">
        <v>549</v>
      </c>
      <c r="J250" s="55" t="s">
        <v>550</v>
      </c>
      <c r="K250" s="54" t="s">
        <v>551</v>
      </c>
      <c r="L250" s="54" t="s">
        <v>552</v>
      </c>
    </row>
    <row r="251" ht="34.5" customHeight="1">
      <c r="A251" s="36" t="s">
        <v>789</v>
      </c>
      <c r="B251" s="37" t="s">
        <v>51</v>
      </c>
      <c r="C251" s="79" t="s">
        <v>150</v>
      </c>
      <c r="D251" s="50" t="s">
        <v>64</v>
      </c>
      <c r="E251" s="42" t="s">
        <v>153</v>
      </c>
      <c r="F251" s="42" t="s">
        <v>67</v>
      </c>
      <c r="G251" s="43" t="s">
        <v>55</v>
      </c>
      <c r="H251" s="36" t="s">
        <v>56</v>
      </c>
      <c r="I251" s="44" t="s">
        <v>790</v>
      </c>
      <c r="J251" s="45" t="s">
        <v>791</v>
      </c>
      <c r="K251" s="44"/>
      <c r="L251" s="44" t="s">
        <v>792</v>
      </c>
    </row>
    <row r="252" ht="34.5" customHeight="1">
      <c r="A252" s="46" t="s">
        <v>794</v>
      </c>
      <c r="B252" s="47" t="s">
        <v>51</v>
      </c>
      <c r="C252" s="49" t="s">
        <v>63</v>
      </c>
      <c r="D252" s="62" t="s">
        <v>92</v>
      </c>
      <c r="E252" s="52" t="s">
        <v>65</v>
      </c>
      <c r="F252" s="52" t="s">
        <v>97</v>
      </c>
      <c r="G252" s="43" t="s">
        <v>55</v>
      </c>
      <c r="H252" s="46" t="s">
        <v>56</v>
      </c>
      <c r="I252" s="54" t="s">
        <v>795</v>
      </c>
      <c r="J252" s="55" t="s">
        <v>796</v>
      </c>
      <c r="K252" s="54"/>
      <c r="L252" s="54"/>
    </row>
    <row r="253" ht="39.75" customHeight="1">
      <c r="A253" s="36" t="s">
        <v>674</v>
      </c>
      <c r="B253" s="37" t="s">
        <v>51</v>
      </c>
      <c r="C253" s="136" t="s">
        <v>210</v>
      </c>
      <c r="D253" s="138" t="s">
        <v>199</v>
      </c>
      <c r="E253" s="42" t="s">
        <v>211</v>
      </c>
      <c r="F253" s="42" t="s">
        <v>200</v>
      </c>
      <c r="G253" s="43" t="s">
        <v>55</v>
      </c>
      <c r="H253" s="59" t="s">
        <v>68</v>
      </c>
      <c r="I253" s="44" t="s">
        <v>549</v>
      </c>
      <c r="J253" s="45" t="s">
        <v>550</v>
      </c>
      <c r="K253" s="44" t="s">
        <v>551</v>
      </c>
      <c r="L253" s="44" t="s">
        <v>678</v>
      </c>
    </row>
    <row r="254" ht="39.75" customHeight="1">
      <c r="A254" s="46" t="s">
        <v>777</v>
      </c>
      <c r="B254" s="47" t="s">
        <v>51</v>
      </c>
      <c r="C254" s="49" t="s">
        <v>63</v>
      </c>
      <c r="D254" s="50" t="s">
        <v>64</v>
      </c>
      <c r="E254" s="52" t="s">
        <v>65</v>
      </c>
      <c r="F254" s="52" t="s">
        <v>67</v>
      </c>
      <c r="G254" s="43" t="s">
        <v>55</v>
      </c>
      <c r="H254" s="53" t="s">
        <v>68</v>
      </c>
      <c r="I254" s="54" t="s">
        <v>549</v>
      </c>
      <c r="J254" s="55" t="s">
        <v>550</v>
      </c>
      <c r="K254" s="54" t="s">
        <v>551</v>
      </c>
      <c r="L254" s="54" t="s">
        <v>552</v>
      </c>
    </row>
    <row r="255" ht="34.5" customHeight="1">
      <c r="A255" s="36" t="s">
        <v>786</v>
      </c>
      <c r="B255" s="37" t="s">
        <v>51</v>
      </c>
      <c r="C255" s="50" t="s">
        <v>64</v>
      </c>
      <c r="D255" s="57" t="s">
        <v>78</v>
      </c>
      <c r="E255" s="42" t="s">
        <v>67</v>
      </c>
      <c r="F255" s="42" t="s">
        <v>81</v>
      </c>
      <c r="G255" s="43" t="s">
        <v>55</v>
      </c>
      <c r="H255" s="36" t="s">
        <v>56</v>
      </c>
      <c r="I255" s="44" t="s">
        <v>800</v>
      </c>
      <c r="J255" s="45" t="s">
        <v>793</v>
      </c>
      <c r="K255" s="44"/>
      <c r="L255" s="44"/>
    </row>
    <row r="256" ht="34.5" customHeight="1">
      <c r="A256" s="46" t="s">
        <v>802</v>
      </c>
      <c r="B256" s="47" t="s">
        <v>51</v>
      </c>
      <c r="C256" s="50" t="s">
        <v>64</v>
      </c>
      <c r="D256" s="49" t="s">
        <v>63</v>
      </c>
      <c r="E256" s="52" t="s">
        <v>67</v>
      </c>
      <c r="F256" s="52" t="s">
        <v>65</v>
      </c>
      <c r="G256" s="43" t="s">
        <v>55</v>
      </c>
      <c r="H256" s="46" t="s">
        <v>56</v>
      </c>
      <c r="I256" s="54" t="s">
        <v>804</v>
      </c>
      <c r="J256" s="55" t="s">
        <v>805</v>
      </c>
      <c r="K256" s="54"/>
      <c r="L256" s="54"/>
    </row>
    <row r="257" ht="34.5" customHeight="1">
      <c r="A257" s="36" t="s">
        <v>806</v>
      </c>
      <c r="B257" s="37" t="s">
        <v>60</v>
      </c>
      <c r="C257" s="62" t="s">
        <v>92</v>
      </c>
      <c r="D257" s="49" t="s">
        <v>63</v>
      </c>
      <c r="E257" s="42" t="s">
        <v>97</v>
      </c>
      <c r="F257" s="42" t="s">
        <v>65</v>
      </c>
      <c r="G257" s="43" t="s">
        <v>55</v>
      </c>
      <c r="H257" s="36" t="s">
        <v>56</v>
      </c>
      <c r="I257" s="44" t="s">
        <v>807</v>
      </c>
      <c r="J257" s="45" t="s">
        <v>808</v>
      </c>
      <c r="K257" s="44"/>
      <c r="L257" s="44" t="s">
        <v>269</v>
      </c>
    </row>
    <row r="258" ht="39.75" customHeight="1">
      <c r="A258" s="46" t="s">
        <v>809</v>
      </c>
      <c r="B258" s="47" t="s">
        <v>60</v>
      </c>
      <c r="C258" s="49" t="s">
        <v>63</v>
      </c>
      <c r="D258" s="50" t="s">
        <v>64</v>
      </c>
      <c r="E258" s="52" t="s">
        <v>65</v>
      </c>
      <c r="F258" s="52" t="s">
        <v>67</v>
      </c>
      <c r="G258" s="43" t="s">
        <v>55</v>
      </c>
      <c r="H258" s="53" t="s">
        <v>68</v>
      </c>
      <c r="I258" s="54" t="s">
        <v>811</v>
      </c>
      <c r="J258" s="55" t="s">
        <v>706</v>
      </c>
      <c r="K258" s="54" t="s">
        <v>812</v>
      </c>
      <c r="L258" s="54" t="s">
        <v>709</v>
      </c>
    </row>
    <row r="259" ht="39.75" customHeight="1">
      <c r="A259" s="36" t="s">
        <v>700</v>
      </c>
      <c r="B259" s="37" t="s">
        <v>60</v>
      </c>
      <c r="C259" s="49" t="s">
        <v>63</v>
      </c>
      <c r="D259" s="50" t="s">
        <v>64</v>
      </c>
      <c r="E259" s="42" t="s">
        <v>65</v>
      </c>
      <c r="F259" s="42" t="s">
        <v>67</v>
      </c>
      <c r="G259" s="43" t="s">
        <v>55</v>
      </c>
      <c r="H259" s="59" t="s">
        <v>68</v>
      </c>
      <c r="I259" s="44" t="s">
        <v>811</v>
      </c>
      <c r="J259" s="45" t="s">
        <v>706</v>
      </c>
      <c r="K259" s="44" t="s">
        <v>812</v>
      </c>
      <c r="L259" s="44" t="s">
        <v>709</v>
      </c>
    </row>
    <row r="260" ht="39.75" customHeight="1">
      <c r="A260" s="46" t="s">
        <v>813</v>
      </c>
      <c r="B260" s="47" t="s">
        <v>60</v>
      </c>
      <c r="C260" s="62" t="s">
        <v>92</v>
      </c>
      <c r="D260" s="50" t="s">
        <v>64</v>
      </c>
      <c r="E260" s="52" t="s">
        <v>97</v>
      </c>
      <c r="F260" s="52" t="s">
        <v>67</v>
      </c>
      <c r="G260" s="43" t="s">
        <v>55</v>
      </c>
      <c r="H260" s="53" t="s">
        <v>68</v>
      </c>
      <c r="I260" s="54" t="s">
        <v>811</v>
      </c>
      <c r="J260" s="55" t="s">
        <v>706</v>
      </c>
      <c r="K260" s="54" t="s">
        <v>812</v>
      </c>
      <c r="L260" s="54" t="s">
        <v>709</v>
      </c>
    </row>
    <row r="261" ht="39.75" customHeight="1">
      <c r="A261" s="36" t="s">
        <v>815</v>
      </c>
      <c r="B261" s="37" t="s">
        <v>60</v>
      </c>
      <c r="C261" s="49" t="s">
        <v>63</v>
      </c>
      <c r="D261" s="86" t="s">
        <v>164</v>
      </c>
      <c r="E261" s="42" t="s">
        <v>65</v>
      </c>
      <c r="F261" s="42" t="s">
        <v>165</v>
      </c>
      <c r="G261" s="43" t="s">
        <v>55</v>
      </c>
      <c r="H261" s="59" t="s">
        <v>68</v>
      </c>
      <c r="I261" s="44" t="s">
        <v>811</v>
      </c>
      <c r="J261" s="45" t="s">
        <v>706</v>
      </c>
      <c r="K261" s="44" t="s">
        <v>812</v>
      </c>
      <c r="L261" s="44" t="s">
        <v>709</v>
      </c>
    </row>
    <row r="262" ht="39.75" customHeight="1">
      <c r="A262" s="46" t="s">
        <v>816</v>
      </c>
      <c r="B262" s="47" t="s">
        <v>60</v>
      </c>
      <c r="C262" s="62" t="s">
        <v>92</v>
      </c>
      <c r="D262" s="86" t="s">
        <v>164</v>
      </c>
      <c r="E262" s="52" t="s">
        <v>97</v>
      </c>
      <c r="F262" s="52" t="s">
        <v>165</v>
      </c>
      <c r="G262" s="43" t="s">
        <v>55</v>
      </c>
      <c r="H262" s="53" t="s">
        <v>68</v>
      </c>
      <c r="I262" s="54" t="s">
        <v>811</v>
      </c>
      <c r="J262" s="55" t="s">
        <v>706</v>
      </c>
      <c r="K262" s="54" t="s">
        <v>812</v>
      </c>
      <c r="L262" s="54" t="s">
        <v>709</v>
      </c>
    </row>
    <row r="263" ht="39.75" customHeight="1">
      <c r="A263" s="36" t="s">
        <v>817</v>
      </c>
      <c r="B263" s="37" t="s">
        <v>60</v>
      </c>
      <c r="C263" s="41" t="s">
        <v>52</v>
      </c>
      <c r="D263" s="86" t="s">
        <v>164</v>
      </c>
      <c r="E263" s="42" t="s">
        <v>54</v>
      </c>
      <c r="F263" s="42" t="s">
        <v>165</v>
      </c>
      <c r="G263" s="43" t="s">
        <v>55</v>
      </c>
      <c r="H263" s="59" t="s">
        <v>68</v>
      </c>
      <c r="I263" s="44" t="s">
        <v>811</v>
      </c>
      <c r="J263" s="45" t="s">
        <v>706</v>
      </c>
      <c r="K263" s="44" t="s">
        <v>812</v>
      </c>
      <c r="L263" s="44" t="s">
        <v>709</v>
      </c>
    </row>
    <row r="264" ht="39.75" customHeight="1">
      <c r="A264" s="46" t="s">
        <v>818</v>
      </c>
      <c r="B264" s="47" t="s">
        <v>60</v>
      </c>
      <c r="C264" s="62" t="s">
        <v>92</v>
      </c>
      <c r="D264" s="50" t="s">
        <v>64</v>
      </c>
      <c r="E264" s="52" t="s">
        <v>97</v>
      </c>
      <c r="F264" s="52" t="s">
        <v>67</v>
      </c>
      <c r="G264" s="43" t="s">
        <v>55</v>
      </c>
      <c r="H264" s="53" t="s">
        <v>68</v>
      </c>
      <c r="I264" s="54" t="s">
        <v>811</v>
      </c>
      <c r="J264" s="55" t="s">
        <v>706</v>
      </c>
      <c r="K264" s="54" t="s">
        <v>812</v>
      </c>
      <c r="L264" s="54" t="s">
        <v>775</v>
      </c>
    </row>
    <row r="265" ht="39.75" customHeight="1">
      <c r="A265" s="36" t="s">
        <v>710</v>
      </c>
      <c r="B265" s="37" t="s">
        <v>60</v>
      </c>
      <c r="C265" s="49" t="s">
        <v>63</v>
      </c>
      <c r="D265" s="86" t="s">
        <v>164</v>
      </c>
      <c r="E265" s="42" t="s">
        <v>65</v>
      </c>
      <c r="F265" s="42" t="s">
        <v>165</v>
      </c>
      <c r="G265" s="43" t="s">
        <v>55</v>
      </c>
      <c r="H265" s="59" t="s">
        <v>68</v>
      </c>
      <c r="I265" s="44" t="s">
        <v>811</v>
      </c>
      <c r="J265" s="45" t="s">
        <v>706</v>
      </c>
      <c r="K265" s="44" t="s">
        <v>812</v>
      </c>
      <c r="L265" s="44" t="s">
        <v>709</v>
      </c>
    </row>
    <row r="266" ht="39.75" customHeight="1">
      <c r="A266" s="46" t="s">
        <v>717</v>
      </c>
      <c r="B266" s="47" t="s">
        <v>60</v>
      </c>
      <c r="C266" s="49" t="s">
        <v>63</v>
      </c>
      <c r="D266" s="50" t="s">
        <v>64</v>
      </c>
      <c r="E266" s="52" t="s">
        <v>65</v>
      </c>
      <c r="F266" s="52" t="s">
        <v>67</v>
      </c>
      <c r="G266" s="43" t="s">
        <v>55</v>
      </c>
      <c r="H266" s="53" t="s">
        <v>68</v>
      </c>
      <c r="I266" s="54" t="s">
        <v>811</v>
      </c>
      <c r="J266" s="55" t="s">
        <v>706</v>
      </c>
      <c r="K266" s="54" t="s">
        <v>812</v>
      </c>
      <c r="L266" s="54" t="s">
        <v>709</v>
      </c>
    </row>
    <row r="267" ht="39.75" customHeight="1">
      <c r="A267" s="36" t="s">
        <v>720</v>
      </c>
      <c r="B267" s="37" t="s">
        <v>60</v>
      </c>
      <c r="C267" s="41" t="s">
        <v>52</v>
      </c>
      <c r="D267" s="86" t="s">
        <v>164</v>
      </c>
      <c r="E267" s="42" t="s">
        <v>54</v>
      </c>
      <c r="F267" s="42" t="s">
        <v>165</v>
      </c>
      <c r="G267" s="43" t="s">
        <v>55</v>
      </c>
      <c r="H267" s="59" t="s">
        <v>68</v>
      </c>
      <c r="I267" s="44" t="s">
        <v>811</v>
      </c>
      <c r="J267" s="45" t="s">
        <v>706</v>
      </c>
      <c r="K267" s="44" t="s">
        <v>812</v>
      </c>
      <c r="L267" s="44" t="s">
        <v>709</v>
      </c>
    </row>
    <row r="268" ht="34.5" customHeight="1">
      <c r="A268" s="46" t="s">
        <v>727</v>
      </c>
      <c r="B268" s="47" t="s">
        <v>60</v>
      </c>
      <c r="C268" s="86" t="s">
        <v>164</v>
      </c>
      <c r="D268" s="50" t="s">
        <v>64</v>
      </c>
      <c r="E268" s="52" t="s">
        <v>165</v>
      </c>
      <c r="F268" s="52" t="s">
        <v>67</v>
      </c>
      <c r="G268" s="43" t="s">
        <v>55</v>
      </c>
      <c r="H268" s="46" t="s">
        <v>56</v>
      </c>
      <c r="I268" s="54" t="s">
        <v>819</v>
      </c>
      <c r="J268" s="55" t="s">
        <v>730</v>
      </c>
      <c r="K268" s="54"/>
      <c r="L268" s="54" t="s">
        <v>733</v>
      </c>
    </row>
    <row r="269" ht="39.75" customHeight="1">
      <c r="A269" s="36" t="s">
        <v>820</v>
      </c>
      <c r="B269" s="37" t="s">
        <v>60</v>
      </c>
      <c r="C269" s="62" t="s">
        <v>92</v>
      </c>
      <c r="D269" s="50" t="s">
        <v>64</v>
      </c>
      <c r="E269" s="42" t="s">
        <v>97</v>
      </c>
      <c r="F269" s="42" t="s">
        <v>67</v>
      </c>
      <c r="G269" s="43" t="s">
        <v>55</v>
      </c>
      <c r="H269" s="59" t="s">
        <v>68</v>
      </c>
      <c r="I269" s="44" t="s">
        <v>811</v>
      </c>
      <c r="J269" s="45" t="s">
        <v>706</v>
      </c>
      <c r="K269" s="44" t="s">
        <v>812</v>
      </c>
      <c r="L269" s="44" t="s">
        <v>709</v>
      </c>
    </row>
    <row r="270" ht="39.75" customHeight="1">
      <c r="A270" s="46" t="s">
        <v>821</v>
      </c>
      <c r="B270" s="47" t="s">
        <v>60</v>
      </c>
      <c r="C270" s="41" t="s">
        <v>52</v>
      </c>
      <c r="D270" s="86" t="s">
        <v>164</v>
      </c>
      <c r="E270" s="52" t="s">
        <v>54</v>
      </c>
      <c r="F270" s="52" t="s">
        <v>165</v>
      </c>
      <c r="G270" s="43" t="s">
        <v>55</v>
      </c>
      <c r="H270" s="53" t="s">
        <v>68</v>
      </c>
      <c r="I270" s="54" t="s">
        <v>811</v>
      </c>
      <c r="J270" s="55" t="s">
        <v>706</v>
      </c>
      <c r="K270" s="54" t="s">
        <v>812</v>
      </c>
      <c r="L270" s="54" t="s">
        <v>709</v>
      </c>
    </row>
    <row r="271" ht="39.75" customHeight="1">
      <c r="A271" s="36" t="s">
        <v>822</v>
      </c>
      <c r="B271" s="37" t="s">
        <v>60</v>
      </c>
      <c r="C271" s="41" t="s">
        <v>52</v>
      </c>
      <c r="D271" s="62" t="s">
        <v>92</v>
      </c>
      <c r="E271" s="42" t="s">
        <v>54</v>
      </c>
      <c r="F271" s="42" t="s">
        <v>97</v>
      </c>
      <c r="G271" s="43" t="s">
        <v>55</v>
      </c>
      <c r="H271" s="59" t="s">
        <v>68</v>
      </c>
      <c r="I271" s="44" t="s">
        <v>811</v>
      </c>
      <c r="J271" s="45" t="s">
        <v>706</v>
      </c>
      <c r="K271" s="44" t="s">
        <v>812</v>
      </c>
      <c r="L271" s="44" t="s">
        <v>709</v>
      </c>
    </row>
    <row r="272" ht="39.75" customHeight="1">
      <c r="A272" s="46" t="s">
        <v>734</v>
      </c>
      <c r="B272" s="47" t="s">
        <v>60</v>
      </c>
      <c r="C272" s="49" t="s">
        <v>63</v>
      </c>
      <c r="D272" s="86" t="s">
        <v>164</v>
      </c>
      <c r="E272" s="52" t="s">
        <v>65</v>
      </c>
      <c r="F272" s="52" t="s">
        <v>165</v>
      </c>
      <c r="G272" s="43" t="s">
        <v>55</v>
      </c>
      <c r="H272" s="53" t="s">
        <v>68</v>
      </c>
      <c r="I272" s="54" t="s">
        <v>811</v>
      </c>
      <c r="J272" s="55" t="s">
        <v>706</v>
      </c>
      <c r="K272" s="54" t="s">
        <v>812</v>
      </c>
      <c r="L272" s="54" t="s">
        <v>709</v>
      </c>
    </row>
    <row r="273" ht="34.5" customHeight="1">
      <c r="A273" s="36" t="s">
        <v>823</v>
      </c>
      <c r="B273" s="37" t="s">
        <v>60</v>
      </c>
      <c r="C273" s="49" t="s">
        <v>63</v>
      </c>
      <c r="D273" s="50" t="s">
        <v>64</v>
      </c>
      <c r="E273" s="42" t="s">
        <v>65</v>
      </c>
      <c r="F273" s="42" t="s">
        <v>67</v>
      </c>
      <c r="G273" s="43" t="s">
        <v>55</v>
      </c>
      <c r="H273" s="36" t="s">
        <v>56</v>
      </c>
      <c r="I273" s="44" t="s">
        <v>824</v>
      </c>
      <c r="J273" s="45" t="s">
        <v>825</v>
      </c>
      <c r="K273" s="44"/>
      <c r="L273" s="44"/>
    </row>
    <row r="274" ht="34.5" customHeight="1">
      <c r="A274" s="46" t="s">
        <v>739</v>
      </c>
      <c r="B274" s="47" t="s">
        <v>60</v>
      </c>
      <c r="C274" s="49" t="s">
        <v>63</v>
      </c>
      <c r="D274" s="138" t="s">
        <v>199</v>
      </c>
      <c r="E274" s="52" t="s">
        <v>65</v>
      </c>
      <c r="F274" s="52" t="s">
        <v>200</v>
      </c>
      <c r="G274" s="43" t="s">
        <v>55</v>
      </c>
      <c r="H274" s="46" t="s">
        <v>56</v>
      </c>
      <c r="I274" s="54" t="s">
        <v>826</v>
      </c>
      <c r="J274" s="55" t="s">
        <v>745</v>
      </c>
      <c r="K274" s="54"/>
      <c r="L274" s="54" t="s">
        <v>269</v>
      </c>
    </row>
    <row r="275" ht="34.5" customHeight="1">
      <c r="A275" s="36" t="s">
        <v>827</v>
      </c>
      <c r="B275" s="37" t="s">
        <v>60</v>
      </c>
      <c r="C275" s="86" t="s">
        <v>164</v>
      </c>
      <c r="D275" s="49" t="s">
        <v>63</v>
      </c>
      <c r="E275" s="42" t="s">
        <v>165</v>
      </c>
      <c r="F275" s="42" t="s">
        <v>65</v>
      </c>
      <c r="G275" s="43" t="s">
        <v>55</v>
      </c>
      <c r="H275" s="36" t="s">
        <v>56</v>
      </c>
      <c r="I275" s="44" t="s">
        <v>828</v>
      </c>
      <c r="J275" s="45" t="s">
        <v>829</v>
      </c>
      <c r="K275" s="44"/>
      <c r="L275" s="44" t="s">
        <v>269</v>
      </c>
    </row>
    <row r="276" ht="39.75" customHeight="1">
      <c r="A276" s="46" t="s">
        <v>830</v>
      </c>
      <c r="B276" s="47" t="s">
        <v>60</v>
      </c>
      <c r="C276" s="170" t="s">
        <v>170</v>
      </c>
      <c r="D276" s="50" t="s">
        <v>64</v>
      </c>
      <c r="E276" s="52" t="s">
        <v>172</v>
      </c>
      <c r="F276" s="52" t="s">
        <v>67</v>
      </c>
      <c r="G276" s="43" t="s">
        <v>55</v>
      </c>
      <c r="H276" s="53" t="s">
        <v>68</v>
      </c>
      <c r="I276" s="54" t="s">
        <v>811</v>
      </c>
      <c r="J276" s="55" t="s">
        <v>706</v>
      </c>
      <c r="K276" s="54" t="s">
        <v>812</v>
      </c>
      <c r="L276" s="54" t="s">
        <v>709</v>
      </c>
    </row>
    <row r="277" ht="39.75" customHeight="1">
      <c r="A277" s="36" t="s">
        <v>831</v>
      </c>
      <c r="B277" s="37" t="s">
        <v>60</v>
      </c>
      <c r="C277" s="49" t="s">
        <v>63</v>
      </c>
      <c r="D277" s="50" t="s">
        <v>64</v>
      </c>
      <c r="E277" s="42" t="s">
        <v>65</v>
      </c>
      <c r="F277" s="42" t="s">
        <v>67</v>
      </c>
      <c r="G277" s="43" t="s">
        <v>55</v>
      </c>
      <c r="H277" s="59" t="s">
        <v>68</v>
      </c>
      <c r="I277" s="44" t="s">
        <v>811</v>
      </c>
      <c r="J277" s="45" t="s">
        <v>706</v>
      </c>
      <c r="K277" s="44" t="s">
        <v>812</v>
      </c>
      <c r="L277" s="44" t="s">
        <v>709</v>
      </c>
    </row>
    <row r="278" ht="39.75" customHeight="1">
      <c r="A278" s="46" t="s">
        <v>832</v>
      </c>
      <c r="B278" s="47" t="s">
        <v>60</v>
      </c>
      <c r="C278" s="49" t="s">
        <v>63</v>
      </c>
      <c r="D278" s="50" t="s">
        <v>64</v>
      </c>
      <c r="E278" s="52" t="s">
        <v>65</v>
      </c>
      <c r="F278" s="52" t="s">
        <v>67</v>
      </c>
      <c r="G278" s="43" t="s">
        <v>55</v>
      </c>
      <c r="H278" s="53" t="s">
        <v>68</v>
      </c>
      <c r="I278" s="54" t="s">
        <v>811</v>
      </c>
      <c r="J278" s="55" t="s">
        <v>706</v>
      </c>
      <c r="K278" s="54" t="s">
        <v>812</v>
      </c>
      <c r="L278" s="54" t="s">
        <v>709</v>
      </c>
    </row>
    <row r="279" ht="39.75" customHeight="1">
      <c r="A279" s="36" t="s">
        <v>833</v>
      </c>
      <c r="B279" s="37" t="s">
        <v>60</v>
      </c>
      <c r="C279" s="138" t="s">
        <v>199</v>
      </c>
      <c r="D279" s="50" t="s">
        <v>64</v>
      </c>
      <c r="E279" s="42" t="s">
        <v>200</v>
      </c>
      <c r="F279" s="42" t="s">
        <v>67</v>
      </c>
      <c r="G279" s="43" t="s">
        <v>55</v>
      </c>
      <c r="H279" s="59" t="s">
        <v>68</v>
      </c>
      <c r="I279" s="44" t="s">
        <v>811</v>
      </c>
      <c r="J279" s="45" t="s">
        <v>706</v>
      </c>
      <c r="K279" s="44" t="s">
        <v>812</v>
      </c>
      <c r="L279" s="44" t="s">
        <v>709</v>
      </c>
    </row>
    <row r="280" ht="39.75" customHeight="1">
      <c r="A280" s="46" t="s">
        <v>748</v>
      </c>
      <c r="B280" s="47" t="s">
        <v>60</v>
      </c>
      <c r="C280" s="62" t="s">
        <v>92</v>
      </c>
      <c r="D280" s="50" t="s">
        <v>64</v>
      </c>
      <c r="E280" s="52" t="s">
        <v>97</v>
      </c>
      <c r="F280" s="52" t="s">
        <v>67</v>
      </c>
      <c r="G280" s="43" t="s">
        <v>55</v>
      </c>
      <c r="H280" s="46" t="s">
        <v>56</v>
      </c>
      <c r="I280" s="54" t="s">
        <v>834</v>
      </c>
      <c r="J280" s="55" t="s">
        <v>750</v>
      </c>
      <c r="K280" s="54"/>
      <c r="L280" s="54" t="s">
        <v>752</v>
      </c>
    </row>
    <row r="281" ht="34.5" customHeight="1">
      <c r="A281" s="36" t="s">
        <v>835</v>
      </c>
      <c r="B281" s="37" t="s">
        <v>60</v>
      </c>
      <c r="C281" s="86" t="s">
        <v>164</v>
      </c>
      <c r="D281" s="50" t="s">
        <v>64</v>
      </c>
      <c r="E281" s="42" t="s">
        <v>165</v>
      </c>
      <c r="F281" s="42" t="s">
        <v>67</v>
      </c>
      <c r="G281" s="43" t="s">
        <v>55</v>
      </c>
      <c r="H281" s="36" t="s">
        <v>56</v>
      </c>
      <c r="I281" s="44" t="s">
        <v>836</v>
      </c>
      <c r="J281" s="45" t="s">
        <v>837</v>
      </c>
      <c r="K281" s="44"/>
      <c r="L281" s="44" t="s">
        <v>838</v>
      </c>
    </row>
    <row r="282" ht="34.5" customHeight="1">
      <c r="A282" s="46" t="s">
        <v>839</v>
      </c>
      <c r="B282" s="47" t="s">
        <v>60</v>
      </c>
      <c r="C282" s="50" t="s">
        <v>64</v>
      </c>
      <c r="D282" s="62" t="s">
        <v>92</v>
      </c>
      <c r="E282" s="52" t="s">
        <v>67</v>
      </c>
      <c r="F282" s="52" t="s">
        <v>97</v>
      </c>
      <c r="G282" s="43" t="s">
        <v>55</v>
      </c>
      <c r="H282" s="46" t="s">
        <v>56</v>
      </c>
      <c r="I282" s="54" t="s">
        <v>840</v>
      </c>
      <c r="J282" s="55" t="s">
        <v>841</v>
      </c>
      <c r="K282" s="54"/>
      <c r="L282" s="54"/>
    </row>
    <row r="283" ht="39.75" customHeight="1">
      <c r="A283" s="36" t="s">
        <v>842</v>
      </c>
      <c r="B283" s="37" t="s">
        <v>60</v>
      </c>
      <c r="C283" s="62" t="s">
        <v>92</v>
      </c>
      <c r="D283" s="50" t="s">
        <v>64</v>
      </c>
      <c r="E283" s="42" t="s">
        <v>97</v>
      </c>
      <c r="F283" s="42" t="s">
        <v>67</v>
      </c>
      <c r="G283" s="43" t="s">
        <v>55</v>
      </c>
      <c r="H283" s="59" t="s">
        <v>68</v>
      </c>
      <c r="I283" s="44" t="s">
        <v>811</v>
      </c>
      <c r="J283" s="45" t="s">
        <v>706</v>
      </c>
      <c r="K283" s="44" t="s">
        <v>812</v>
      </c>
      <c r="L283" s="44" t="s">
        <v>709</v>
      </c>
    </row>
    <row r="284" ht="39.75" customHeight="1">
      <c r="A284" s="46" t="s">
        <v>843</v>
      </c>
      <c r="B284" s="47" t="s">
        <v>60</v>
      </c>
      <c r="C284" s="62" t="s">
        <v>92</v>
      </c>
      <c r="D284" s="50" t="s">
        <v>64</v>
      </c>
      <c r="E284" s="52" t="s">
        <v>97</v>
      </c>
      <c r="F284" s="52" t="s">
        <v>67</v>
      </c>
      <c r="G284" s="43" t="s">
        <v>55</v>
      </c>
      <c r="H284" s="53" t="s">
        <v>68</v>
      </c>
      <c r="I284" s="54" t="s">
        <v>811</v>
      </c>
      <c r="J284" s="55" t="s">
        <v>706</v>
      </c>
      <c r="K284" s="54" t="s">
        <v>812</v>
      </c>
      <c r="L284" s="54" t="s">
        <v>844</v>
      </c>
    </row>
    <row r="285" ht="34.5" customHeight="1">
      <c r="A285" s="36" t="s">
        <v>845</v>
      </c>
      <c r="B285" s="37" t="s">
        <v>60</v>
      </c>
      <c r="C285" s="50" t="s">
        <v>64</v>
      </c>
      <c r="D285" s="49" t="s">
        <v>63</v>
      </c>
      <c r="E285" s="42" t="s">
        <v>67</v>
      </c>
      <c r="F285" s="42" t="s">
        <v>65</v>
      </c>
      <c r="G285" s="43" t="s">
        <v>55</v>
      </c>
      <c r="H285" s="36" t="s">
        <v>56</v>
      </c>
      <c r="I285" s="44" t="s">
        <v>846</v>
      </c>
      <c r="J285" s="45" t="s">
        <v>847</v>
      </c>
      <c r="K285" s="44"/>
      <c r="L285" s="44"/>
    </row>
    <row r="286" ht="39.75" customHeight="1">
      <c r="A286" s="46" t="s">
        <v>848</v>
      </c>
      <c r="B286" s="47" t="s">
        <v>60</v>
      </c>
      <c r="C286" s="62" t="s">
        <v>92</v>
      </c>
      <c r="D286" s="50" t="s">
        <v>64</v>
      </c>
      <c r="E286" s="52" t="s">
        <v>97</v>
      </c>
      <c r="F286" s="52" t="s">
        <v>67</v>
      </c>
      <c r="G286" s="43" t="s">
        <v>55</v>
      </c>
      <c r="H286" s="53" t="s">
        <v>68</v>
      </c>
      <c r="I286" s="54" t="s">
        <v>811</v>
      </c>
      <c r="J286" s="55" t="s">
        <v>706</v>
      </c>
      <c r="K286" s="54" t="s">
        <v>812</v>
      </c>
      <c r="L286" s="54" t="s">
        <v>709</v>
      </c>
    </row>
    <row r="287" ht="34.5" customHeight="1">
      <c r="A287" s="36" t="s">
        <v>753</v>
      </c>
      <c r="B287" s="37" t="s">
        <v>60</v>
      </c>
      <c r="C287" s="49" t="s">
        <v>63</v>
      </c>
      <c r="D287" s="50" t="s">
        <v>64</v>
      </c>
      <c r="E287" s="42" t="s">
        <v>65</v>
      </c>
      <c r="F287" s="42" t="s">
        <v>67</v>
      </c>
      <c r="G287" s="43" t="s">
        <v>55</v>
      </c>
      <c r="H287" s="36" t="s">
        <v>56</v>
      </c>
      <c r="I287" s="44" t="s">
        <v>849</v>
      </c>
      <c r="J287" s="45" t="s">
        <v>760</v>
      </c>
      <c r="K287" s="44"/>
      <c r="L287" s="44"/>
    </row>
    <row r="288" ht="39.75" customHeight="1">
      <c r="A288" s="46" t="s">
        <v>850</v>
      </c>
      <c r="B288" s="47" t="s">
        <v>60</v>
      </c>
      <c r="C288" s="62" t="s">
        <v>92</v>
      </c>
      <c r="D288" s="50" t="s">
        <v>64</v>
      </c>
      <c r="E288" s="52" t="s">
        <v>97</v>
      </c>
      <c r="F288" s="52" t="s">
        <v>67</v>
      </c>
      <c r="G288" s="43" t="s">
        <v>55</v>
      </c>
      <c r="H288" s="53" t="s">
        <v>68</v>
      </c>
      <c r="I288" s="54" t="s">
        <v>811</v>
      </c>
      <c r="J288" s="55" t="s">
        <v>706</v>
      </c>
      <c r="K288" s="54" t="s">
        <v>812</v>
      </c>
      <c r="L288" s="54" t="s">
        <v>709</v>
      </c>
    </row>
    <row r="289" ht="34.5" customHeight="1">
      <c r="A289" s="36" t="s">
        <v>851</v>
      </c>
      <c r="B289" s="37" t="s">
        <v>60</v>
      </c>
      <c r="C289" s="86" t="s">
        <v>164</v>
      </c>
      <c r="D289" s="50" t="s">
        <v>64</v>
      </c>
      <c r="E289" s="42" t="s">
        <v>165</v>
      </c>
      <c r="F289" s="42" t="s">
        <v>67</v>
      </c>
      <c r="G289" s="43" t="s">
        <v>55</v>
      </c>
      <c r="H289" s="36" t="s">
        <v>56</v>
      </c>
      <c r="I289" s="44" t="s">
        <v>852</v>
      </c>
      <c r="J289" s="45" t="s">
        <v>854</v>
      </c>
      <c r="K289" s="44"/>
      <c r="L289" s="44" t="s">
        <v>733</v>
      </c>
    </row>
    <row r="290" ht="34.5" customHeight="1">
      <c r="A290" s="46" t="s">
        <v>763</v>
      </c>
      <c r="B290" s="47" t="s">
        <v>60</v>
      </c>
      <c r="C290" s="49" t="s">
        <v>63</v>
      </c>
      <c r="D290" s="50" t="s">
        <v>64</v>
      </c>
      <c r="E290" s="52" t="s">
        <v>65</v>
      </c>
      <c r="F290" s="52" t="s">
        <v>67</v>
      </c>
      <c r="G290" s="43" t="s">
        <v>55</v>
      </c>
      <c r="H290" s="46" t="s">
        <v>56</v>
      </c>
      <c r="I290" s="54" t="s">
        <v>856</v>
      </c>
      <c r="J290" s="55" t="s">
        <v>768</v>
      </c>
      <c r="K290" s="54"/>
      <c r="L290" s="54"/>
    </row>
    <row r="291" ht="39.75" customHeight="1">
      <c r="A291" s="36" t="s">
        <v>858</v>
      </c>
      <c r="B291" s="37" t="s">
        <v>60</v>
      </c>
      <c r="C291" s="49" t="s">
        <v>63</v>
      </c>
      <c r="D291" s="50" t="s">
        <v>64</v>
      </c>
      <c r="E291" s="42" t="s">
        <v>65</v>
      </c>
      <c r="F291" s="42" t="s">
        <v>67</v>
      </c>
      <c r="G291" s="43" t="s">
        <v>55</v>
      </c>
      <c r="H291" s="59" t="s">
        <v>68</v>
      </c>
      <c r="I291" s="44" t="s">
        <v>811</v>
      </c>
      <c r="J291" s="45" t="s">
        <v>706</v>
      </c>
      <c r="K291" s="44" t="s">
        <v>812</v>
      </c>
      <c r="L291" s="44" t="s">
        <v>709</v>
      </c>
    </row>
    <row r="292" ht="39.75" customHeight="1">
      <c r="A292" s="46" t="s">
        <v>769</v>
      </c>
      <c r="B292" s="47" t="s">
        <v>60</v>
      </c>
      <c r="C292" s="49" t="s">
        <v>63</v>
      </c>
      <c r="D292" s="50" t="s">
        <v>64</v>
      </c>
      <c r="E292" s="52" t="s">
        <v>65</v>
      </c>
      <c r="F292" s="52" t="s">
        <v>67</v>
      </c>
      <c r="G292" s="43" t="s">
        <v>55</v>
      </c>
      <c r="H292" s="53" t="s">
        <v>68</v>
      </c>
      <c r="I292" s="54" t="s">
        <v>811</v>
      </c>
      <c r="J292" s="55" t="s">
        <v>706</v>
      </c>
      <c r="K292" s="54" t="s">
        <v>812</v>
      </c>
      <c r="L292" s="54" t="s">
        <v>775</v>
      </c>
    </row>
    <row r="293" ht="34.5" customHeight="1">
      <c r="A293" s="36" t="s">
        <v>776</v>
      </c>
      <c r="B293" s="37" t="s">
        <v>60</v>
      </c>
      <c r="C293" s="62" t="s">
        <v>92</v>
      </c>
      <c r="D293" s="86" t="s">
        <v>164</v>
      </c>
      <c r="E293" s="42" t="s">
        <v>97</v>
      </c>
      <c r="F293" s="42" t="s">
        <v>165</v>
      </c>
      <c r="G293" s="43" t="s">
        <v>55</v>
      </c>
      <c r="H293" s="36" t="s">
        <v>56</v>
      </c>
      <c r="I293" s="44" t="s">
        <v>859</v>
      </c>
      <c r="J293" s="45" t="s">
        <v>781</v>
      </c>
      <c r="K293" s="44"/>
      <c r="L293" s="44"/>
    </row>
    <row r="294" ht="39.75" customHeight="1">
      <c r="A294" s="46" t="s">
        <v>860</v>
      </c>
      <c r="B294" s="47" t="s">
        <v>60</v>
      </c>
      <c r="C294" s="86" t="s">
        <v>164</v>
      </c>
      <c r="D294" s="50" t="s">
        <v>64</v>
      </c>
      <c r="E294" s="52" t="s">
        <v>165</v>
      </c>
      <c r="F294" s="52" t="s">
        <v>67</v>
      </c>
      <c r="G294" s="43" t="s">
        <v>55</v>
      </c>
      <c r="H294" s="53" t="s">
        <v>68</v>
      </c>
      <c r="I294" s="54" t="s">
        <v>811</v>
      </c>
      <c r="J294" s="55" t="s">
        <v>706</v>
      </c>
      <c r="K294" s="54" t="s">
        <v>812</v>
      </c>
      <c r="L294" s="54" t="s">
        <v>709</v>
      </c>
    </row>
    <row r="295" ht="39.75" customHeight="1">
      <c r="A295" s="36" t="s">
        <v>784</v>
      </c>
      <c r="B295" s="37" t="s">
        <v>60</v>
      </c>
      <c r="C295" s="62" t="s">
        <v>92</v>
      </c>
      <c r="D295" s="50" t="s">
        <v>64</v>
      </c>
      <c r="E295" s="42" t="s">
        <v>97</v>
      </c>
      <c r="F295" s="42" t="s">
        <v>67</v>
      </c>
      <c r="G295" s="43" t="s">
        <v>55</v>
      </c>
      <c r="H295" s="59" t="s">
        <v>68</v>
      </c>
      <c r="I295" s="44" t="s">
        <v>811</v>
      </c>
      <c r="J295" s="45" t="s">
        <v>706</v>
      </c>
      <c r="K295" s="44" t="s">
        <v>812</v>
      </c>
      <c r="L295" s="44" t="s">
        <v>709</v>
      </c>
    </row>
    <row r="296" ht="34.5" customHeight="1">
      <c r="A296" s="46" t="s">
        <v>861</v>
      </c>
      <c r="B296" s="47" t="s">
        <v>60</v>
      </c>
      <c r="C296" s="49" t="s">
        <v>63</v>
      </c>
      <c r="D296" s="86" t="s">
        <v>164</v>
      </c>
      <c r="E296" s="52" t="s">
        <v>65</v>
      </c>
      <c r="F296" s="52" t="s">
        <v>165</v>
      </c>
      <c r="G296" s="43" t="s">
        <v>55</v>
      </c>
      <c r="H296" s="46" t="s">
        <v>56</v>
      </c>
      <c r="I296" s="54" t="s">
        <v>862</v>
      </c>
      <c r="J296" s="55" t="s">
        <v>863</v>
      </c>
      <c r="K296" s="54"/>
      <c r="L296" s="54"/>
    </row>
    <row r="297" ht="34.5" customHeight="1">
      <c r="A297" s="36" t="s">
        <v>788</v>
      </c>
      <c r="B297" s="37" t="s">
        <v>60</v>
      </c>
      <c r="C297" s="86" t="s">
        <v>164</v>
      </c>
      <c r="D297" s="50" t="s">
        <v>64</v>
      </c>
      <c r="E297" s="42" t="s">
        <v>165</v>
      </c>
      <c r="F297" s="42" t="s">
        <v>67</v>
      </c>
      <c r="G297" s="43" t="s">
        <v>55</v>
      </c>
      <c r="H297" s="36" t="s">
        <v>56</v>
      </c>
      <c r="I297" s="44" t="s">
        <v>864</v>
      </c>
      <c r="J297" s="45" t="s">
        <v>797</v>
      </c>
      <c r="K297" s="44"/>
      <c r="L297" s="44"/>
    </row>
    <row r="298" ht="39.75" customHeight="1">
      <c r="A298" s="46" t="s">
        <v>865</v>
      </c>
      <c r="B298" s="47" t="s">
        <v>60</v>
      </c>
      <c r="C298" s="62" t="s">
        <v>92</v>
      </c>
      <c r="D298" s="50" t="s">
        <v>64</v>
      </c>
      <c r="E298" s="52" t="s">
        <v>97</v>
      </c>
      <c r="F298" s="52" t="s">
        <v>67</v>
      </c>
      <c r="G298" s="43" t="s">
        <v>55</v>
      </c>
      <c r="H298" s="53" t="s">
        <v>68</v>
      </c>
      <c r="I298" s="54" t="s">
        <v>811</v>
      </c>
      <c r="J298" s="55" t="s">
        <v>706</v>
      </c>
      <c r="K298" s="54" t="s">
        <v>812</v>
      </c>
      <c r="L298" s="54" t="s">
        <v>709</v>
      </c>
    </row>
    <row r="299" ht="34.5" customHeight="1">
      <c r="A299" s="36" t="s">
        <v>867</v>
      </c>
      <c r="B299" s="37" t="s">
        <v>60</v>
      </c>
      <c r="C299" s="49" t="s">
        <v>63</v>
      </c>
      <c r="D299" s="86" t="s">
        <v>164</v>
      </c>
      <c r="E299" s="42" t="s">
        <v>65</v>
      </c>
      <c r="F299" s="42" t="s">
        <v>165</v>
      </c>
      <c r="G299" s="43" t="s">
        <v>55</v>
      </c>
      <c r="H299" s="36" t="s">
        <v>56</v>
      </c>
      <c r="I299" s="44" t="s">
        <v>868</v>
      </c>
      <c r="J299" s="45" t="s">
        <v>869</v>
      </c>
      <c r="K299" s="44"/>
      <c r="L299" s="44"/>
    </row>
    <row r="300" ht="34.5" customHeight="1">
      <c r="A300" s="46" t="s">
        <v>799</v>
      </c>
      <c r="B300" s="47" t="s">
        <v>60</v>
      </c>
      <c r="C300" s="62" t="s">
        <v>92</v>
      </c>
      <c r="D300" s="50" t="s">
        <v>64</v>
      </c>
      <c r="E300" s="52" t="s">
        <v>97</v>
      </c>
      <c r="F300" s="52" t="s">
        <v>67</v>
      </c>
      <c r="G300" s="43" t="s">
        <v>55</v>
      </c>
      <c r="H300" s="46" t="s">
        <v>56</v>
      </c>
      <c r="I300" s="54" t="s">
        <v>870</v>
      </c>
      <c r="J300" s="55" t="s">
        <v>801</v>
      </c>
      <c r="K300" s="54"/>
      <c r="L300" s="54"/>
    </row>
    <row r="301" ht="39.75" customHeight="1">
      <c r="A301" s="36" t="s">
        <v>871</v>
      </c>
      <c r="B301" s="37" t="s">
        <v>60</v>
      </c>
      <c r="C301" s="62" t="s">
        <v>92</v>
      </c>
      <c r="D301" s="50" t="s">
        <v>64</v>
      </c>
      <c r="E301" s="42" t="s">
        <v>97</v>
      </c>
      <c r="F301" s="42" t="s">
        <v>67</v>
      </c>
      <c r="G301" s="43" t="s">
        <v>55</v>
      </c>
      <c r="H301" s="59" t="s">
        <v>187</v>
      </c>
      <c r="I301" s="44" t="s">
        <v>870</v>
      </c>
      <c r="J301" s="45" t="s">
        <v>801</v>
      </c>
      <c r="K301" s="44"/>
      <c r="L301" s="44" t="s">
        <v>872</v>
      </c>
    </row>
    <row r="302" ht="34.5" customHeight="1">
      <c r="A302" s="46" t="s">
        <v>873</v>
      </c>
      <c r="B302" s="47" t="s">
        <v>60</v>
      </c>
      <c r="C302" s="49" t="s">
        <v>63</v>
      </c>
      <c r="D302" s="50" t="s">
        <v>64</v>
      </c>
      <c r="E302" s="52" t="s">
        <v>65</v>
      </c>
      <c r="F302" s="52" t="s">
        <v>67</v>
      </c>
      <c r="G302" s="43" t="s">
        <v>55</v>
      </c>
      <c r="H302" s="46" t="s">
        <v>56</v>
      </c>
      <c r="I302" s="54" t="s">
        <v>874</v>
      </c>
      <c r="J302" s="55" t="s">
        <v>875</v>
      </c>
      <c r="K302" s="54"/>
      <c r="L302" s="54"/>
    </row>
    <row r="303" ht="39.75" customHeight="1">
      <c r="A303" s="36" t="s">
        <v>803</v>
      </c>
      <c r="B303" s="37" t="s">
        <v>60</v>
      </c>
      <c r="C303" s="49" t="s">
        <v>63</v>
      </c>
      <c r="D303" s="50" t="s">
        <v>64</v>
      </c>
      <c r="E303" s="42" t="s">
        <v>65</v>
      </c>
      <c r="F303" s="42" t="s">
        <v>67</v>
      </c>
      <c r="G303" s="43" t="s">
        <v>55</v>
      </c>
      <c r="H303" s="59" t="s">
        <v>68</v>
      </c>
      <c r="I303" s="44" t="s">
        <v>811</v>
      </c>
      <c r="J303" s="45" t="s">
        <v>706</v>
      </c>
      <c r="K303" s="44" t="s">
        <v>812</v>
      </c>
      <c r="L303" s="44" t="s">
        <v>709</v>
      </c>
    </row>
    <row r="304" ht="39.75" customHeight="1">
      <c r="A304" s="46" t="s">
        <v>810</v>
      </c>
      <c r="B304" s="47" t="s">
        <v>60</v>
      </c>
      <c r="C304" s="50" t="s">
        <v>64</v>
      </c>
      <c r="D304" s="49" t="s">
        <v>63</v>
      </c>
      <c r="E304" s="52" t="s">
        <v>67</v>
      </c>
      <c r="F304" s="52" t="s">
        <v>65</v>
      </c>
      <c r="G304" s="43" t="s">
        <v>55</v>
      </c>
      <c r="H304" s="53" t="s">
        <v>68</v>
      </c>
      <c r="I304" s="54" t="s">
        <v>811</v>
      </c>
      <c r="J304" s="55" t="s">
        <v>706</v>
      </c>
      <c r="K304" s="54" t="s">
        <v>812</v>
      </c>
      <c r="L304" s="54" t="s">
        <v>709</v>
      </c>
    </row>
    <row r="305" ht="39.75" customHeight="1">
      <c r="A305" s="36" t="s">
        <v>876</v>
      </c>
      <c r="B305" s="37" t="s">
        <v>60</v>
      </c>
      <c r="C305" s="50" t="s">
        <v>64</v>
      </c>
      <c r="D305" s="49" t="s">
        <v>63</v>
      </c>
      <c r="E305" s="42" t="s">
        <v>67</v>
      </c>
      <c r="F305" s="42" t="s">
        <v>65</v>
      </c>
      <c r="G305" s="43" t="s">
        <v>55</v>
      </c>
      <c r="H305" s="59" t="s">
        <v>187</v>
      </c>
      <c r="I305" s="44" t="s">
        <v>811</v>
      </c>
      <c r="J305" s="45" t="s">
        <v>706</v>
      </c>
      <c r="K305" s="44" t="s">
        <v>812</v>
      </c>
      <c r="L305" s="44" t="s">
        <v>877</v>
      </c>
    </row>
    <row r="306" ht="39.75" customHeight="1">
      <c r="A306" s="46" t="s">
        <v>853</v>
      </c>
      <c r="B306" s="47" t="s">
        <v>60</v>
      </c>
      <c r="C306" s="62" t="s">
        <v>92</v>
      </c>
      <c r="D306" s="50" t="s">
        <v>64</v>
      </c>
      <c r="E306" s="52" t="s">
        <v>97</v>
      </c>
      <c r="F306" s="52" t="s">
        <v>67</v>
      </c>
      <c r="G306" s="43" t="s">
        <v>55</v>
      </c>
      <c r="H306" s="53" t="s">
        <v>68</v>
      </c>
      <c r="I306" s="54" t="s">
        <v>811</v>
      </c>
      <c r="J306" s="55" t="s">
        <v>706</v>
      </c>
      <c r="K306" s="54" t="s">
        <v>812</v>
      </c>
      <c r="L306" s="54" t="s">
        <v>709</v>
      </c>
    </row>
    <row r="307" ht="39.75" customHeight="1">
      <c r="A307" s="36" t="s">
        <v>855</v>
      </c>
      <c r="B307" s="37" t="s">
        <v>60</v>
      </c>
      <c r="C307" s="152" t="s">
        <v>218</v>
      </c>
      <c r="D307" s="50" t="s">
        <v>64</v>
      </c>
      <c r="E307" s="42" t="s">
        <v>219</v>
      </c>
      <c r="F307" s="42" t="s">
        <v>67</v>
      </c>
      <c r="G307" s="43" t="s">
        <v>55</v>
      </c>
      <c r="H307" s="59" t="s">
        <v>68</v>
      </c>
      <c r="I307" s="44" t="s">
        <v>811</v>
      </c>
      <c r="J307" s="45" t="s">
        <v>706</v>
      </c>
      <c r="K307" s="44" t="s">
        <v>812</v>
      </c>
      <c r="L307" s="44" t="s">
        <v>709</v>
      </c>
    </row>
    <row r="308" ht="39.75" customHeight="1">
      <c r="A308" s="46" t="s">
        <v>857</v>
      </c>
      <c r="B308" s="47" t="s">
        <v>60</v>
      </c>
      <c r="C308" s="138" t="s">
        <v>199</v>
      </c>
      <c r="D308" s="50" t="s">
        <v>64</v>
      </c>
      <c r="E308" s="52" t="s">
        <v>200</v>
      </c>
      <c r="F308" s="52" t="s">
        <v>67</v>
      </c>
      <c r="G308" s="43" t="s">
        <v>55</v>
      </c>
      <c r="H308" s="53" t="s">
        <v>68</v>
      </c>
      <c r="I308" s="54" t="s">
        <v>811</v>
      </c>
      <c r="J308" s="55" t="s">
        <v>706</v>
      </c>
      <c r="K308" s="54" t="s">
        <v>812</v>
      </c>
      <c r="L308" s="54" t="s">
        <v>709</v>
      </c>
    </row>
    <row r="309" ht="34.5" customHeight="1">
      <c r="A309" s="36" t="s">
        <v>878</v>
      </c>
      <c r="B309" s="37" t="s">
        <v>60</v>
      </c>
      <c r="C309" s="86" t="s">
        <v>164</v>
      </c>
      <c r="D309" s="50" t="s">
        <v>64</v>
      </c>
      <c r="E309" s="42" t="s">
        <v>165</v>
      </c>
      <c r="F309" s="42" t="s">
        <v>67</v>
      </c>
      <c r="G309" s="43" t="s">
        <v>55</v>
      </c>
      <c r="H309" s="36" t="s">
        <v>56</v>
      </c>
      <c r="I309" s="44" t="s">
        <v>879</v>
      </c>
      <c r="J309" s="45" t="s">
        <v>880</v>
      </c>
      <c r="K309" s="44"/>
      <c r="L309" s="44" t="s">
        <v>881</v>
      </c>
    </row>
    <row r="310" ht="39.75" customHeight="1">
      <c r="A310" s="46" t="s">
        <v>882</v>
      </c>
      <c r="B310" s="47" t="s">
        <v>60</v>
      </c>
      <c r="C310" s="62" t="s">
        <v>92</v>
      </c>
      <c r="D310" s="86" t="s">
        <v>164</v>
      </c>
      <c r="E310" s="52" t="s">
        <v>97</v>
      </c>
      <c r="F310" s="52" t="s">
        <v>165</v>
      </c>
      <c r="G310" s="43" t="s">
        <v>55</v>
      </c>
      <c r="H310" s="53" t="s">
        <v>68</v>
      </c>
      <c r="I310" s="54" t="s">
        <v>811</v>
      </c>
      <c r="J310" s="55" t="s">
        <v>706</v>
      </c>
      <c r="K310" s="54" t="s">
        <v>812</v>
      </c>
      <c r="L310" s="54" t="s">
        <v>709</v>
      </c>
    </row>
    <row r="311" ht="39.75" customHeight="1">
      <c r="A311" s="36" t="s">
        <v>814</v>
      </c>
      <c r="B311" s="37" t="s">
        <v>60</v>
      </c>
      <c r="C311" s="138" t="s">
        <v>199</v>
      </c>
      <c r="D311" s="50" t="s">
        <v>64</v>
      </c>
      <c r="E311" s="42" t="s">
        <v>200</v>
      </c>
      <c r="F311" s="42" t="s">
        <v>67</v>
      </c>
      <c r="G311" s="43" t="s">
        <v>55</v>
      </c>
      <c r="H311" s="59" t="s">
        <v>68</v>
      </c>
      <c r="I311" s="44" t="s">
        <v>811</v>
      </c>
      <c r="J311" s="45" t="s">
        <v>706</v>
      </c>
      <c r="K311" s="44" t="s">
        <v>812</v>
      </c>
      <c r="L311" s="44" t="s">
        <v>709</v>
      </c>
    </row>
    <row r="312" ht="34.5" customHeight="1">
      <c r="A312" s="46" t="s">
        <v>883</v>
      </c>
      <c r="B312" s="47" t="s">
        <v>60</v>
      </c>
      <c r="C312" s="50" t="s">
        <v>64</v>
      </c>
      <c r="D312" s="49" t="s">
        <v>63</v>
      </c>
      <c r="E312" s="52" t="s">
        <v>67</v>
      </c>
      <c r="F312" s="52" t="s">
        <v>65</v>
      </c>
      <c r="G312" s="43" t="s">
        <v>55</v>
      </c>
      <c r="H312" s="46" t="s">
        <v>56</v>
      </c>
      <c r="I312" s="54" t="s">
        <v>884</v>
      </c>
      <c r="J312" s="55" t="s">
        <v>885</v>
      </c>
      <c r="K312" s="54"/>
      <c r="L312" s="54"/>
    </row>
    <row r="313" ht="34.5" customHeight="1">
      <c r="A313" s="36" t="s">
        <v>886</v>
      </c>
      <c r="B313" s="37" t="s">
        <v>66</v>
      </c>
      <c r="C313" s="50" t="s">
        <v>64</v>
      </c>
      <c r="D313" s="86" t="s">
        <v>164</v>
      </c>
      <c r="E313" s="42" t="s">
        <v>67</v>
      </c>
      <c r="F313" s="42" t="s">
        <v>165</v>
      </c>
      <c r="G313" s="43" t="s">
        <v>55</v>
      </c>
      <c r="H313" s="36" t="s">
        <v>56</v>
      </c>
      <c r="I313" s="44" t="s">
        <v>887</v>
      </c>
      <c r="J313" s="45" t="s">
        <v>888</v>
      </c>
      <c r="K313" s="44"/>
      <c r="L313" s="44"/>
    </row>
    <row r="314" ht="39.75" customHeight="1">
      <c r="A314" s="46" t="s">
        <v>889</v>
      </c>
      <c r="B314" s="47" t="s">
        <v>66</v>
      </c>
      <c r="C314" s="50" t="s">
        <v>64</v>
      </c>
      <c r="D314" s="86" t="s">
        <v>164</v>
      </c>
      <c r="E314" s="52" t="s">
        <v>67</v>
      </c>
      <c r="F314" s="52" t="s">
        <v>165</v>
      </c>
      <c r="G314" s="43" t="s">
        <v>55</v>
      </c>
      <c r="H314" s="53" t="s">
        <v>68</v>
      </c>
      <c r="I314" s="54" t="s">
        <v>890</v>
      </c>
      <c r="J314" s="55" t="s">
        <v>891</v>
      </c>
      <c r="K314" s="54" t="s">
        <v>892</v>
      </c>
      <c r="L314" s="54" t="s">
        <v>893</v>
      </c>
    </row>
    <row r="315" ht="39.75" customHeight="1">
      <c r="A315" s="36" t="s">
        <v>894</v>
      </c>
      <c r="B315" s="37" t="s">
        <v>66</v>
      </c>
      <c r="C315" s="49" t="s">
        <v>63</v>
      </c>
      <c r="D315" s="50" t="s">
        <v>64</v>
      </c>
      <c r="E315" s="42" t="s">
        <v>65</v>
      </c>
      <c r="F315" s="42" t="s">
        <v>67</v>
      </c>
      <c r="G315" s="43" t="s">
        <v>55</v>
      </c>
      <c r="H315" s="59" t="s">
        <v>68</v>
      </c>
      <c r="I315" s="44" t="s">
        <v>890</v>
      </c>
      <c r="J315" s="45" t="s">
        <v>891</v>
      </c>
      <c r="K315" s="44" t="s">
        <v>892</v>
      </c>
      <c r="L315" s="44" t="s">
        <v>893</v>
      </c>
    </row>
    <row r="316" ht="34.5" customHeight="1">
      <c r="A316" s="46" t="s">
        <v>895</v>
      </c>
      <c r="B316" s="47" t="s">
        <v>66</v>
      </c>
      <c r="C316" s="79" t="s">
        <v>150</v>
      </c>
      <c r="D316" s="41" t="s">
        <v>52</v>
      </c>
      <c r="E316" s="52" t="s">
        <v>153</v>
      </c>
      <c r="F316" s="52" t="s">
        <v>54</v>
      </c>
      <c r="G316" s="43" t="s">
        <v>55</v>
      </c>
      <c r="H316" s="46" t="s">
        <v>56</v>
      </c>
      <c r="I316" s="54" t="s">
        <v>896</v>
      </c>
      <c r="J316" s="55" t="s">
        <v>897</v>
      </c>
      <c r="K316" s="54"/>
      <c r="L316" s="54"/>
    </row>
    <row r="317" ht="39.75" customHeight="1">
      <c r="A317" s="36" t="s">
        <v>898</v>
      </c>
      <c r="B317" s="37" t="s">
        <v>66</v>
      </c>
      <c r="C317" s="50" t="s">
        <v>64</v>
      </c>
      <c r="D317" s="62" t="s">
        <v>92</v>
      </c>
      <c r="E317" s="42" t="s">
        <v>67</v>
      </c>
      <c r="F317" s="42" t="s">
        <v>97</v>
      </c>
      <c r="G317" s="43" t="s">
        <v>55</v>
      </c>
      <c r="H317" s="59" t="s">
        <v>68</v>
      </c>
      <c r="I317" s="44" t="s">
        <v>890</v>
      </c>
      <c r="J317" s="45" t="s">
        <v>891</v>
      </c>
      <c r="K317" s="44" t="s">
        <v>892</v>
      </c>
      <c r="L317" s="44" t="s">
        <v>893</v>
      </c>
    </row>
    <row r="318" ht="39.75" customHeight="1">
      <c r="A318" s="46" t="s">
        <v>899</v>
      </c>
      <c r="B318" s="47" t="s">
        <v>66</v>
      </c>
      <c r="C318" s="62" t="s">
        <v>92</v>
      </c>
      <c r="D318" s="50" t="s">
        <v>64</v>
      </c>
      <c r="E318" s="52" t="s">
        <v>97</v>
      </c>
      <c r="F318" s="52" t="s">
        <v>67</v>
      </c>
      <c r="G318" s="43" t="s">
        <v>55</v>
      </c>
      <c r="H318" s="53" t="s">
        <v>68</v>
      </c>
      <c r="I318" s="54" t="s">
        <v>890</v>
      </c>
      <c r="J318" s="55" t="s">
        <v>891</v>
      </c>
      <c r="K318" s="54" t="s">
        <v>892</v>
      </c>
      <c r="L318" s="54" t="s">
        <v>893</v>
      </c>
    </row>
    <row r="319" ht="34.5" customHeight="1">
      <c r="A319" s="36" t="s">
        <v>900</v>
      </c>
      <c r="B319" s="37" t="s">
        <v>66</v>
      </c>
      <c r="C319" s="49" t="s">
        <v>63</v>
      </c>
      <c r="D319" s="86" t="s">
        <v>164</v>
      </c>
      <c r="E319" s="42" t="s">
        <v>65</v>
      </c>
      <c r="F319" s="42" t="s">
        <v>165</v>
      </c>
      <c r="G319" s="43" t="s">
        <v>55</v>
      </c>
      <c r="H319" s="36" t="s">
        <v>56</v>
      </c>
      <c r="I319" s="44" t="s">
        <v>901</v>
      </c>
      <c r="J319" s="45" t="s">
        <v>902</v>
      </c>
      <c r="K319" s="44"/>
      <c r="L319" s="44"/>
    </row>
    <row r="320" ht="34.5" customHeight="1">
      <c r="A320" s="46" t="s">
        <v>903</v>
      </c>
      <c r="B320" s="47" t="s">
        <v>66</v>
      </c>
      <c r="C320" s="62" t="s">
        <v>92</v>
      </c>
      <c r="D320" s="50" t="s">
        <v>64</v>
      </c>
      <c r="E320" s="52" t="s">
        <v>97</v>
      </c>
      <c r="F320" s="52" t="s">
        <v>67</v>
      </c>
      <c r="G320" s="43" t="s">
        <v>55</v>
      </c>
      <c r="H320" s="46" t="s">
        <v>56</v>
      </c>
      <c r="I320" s="54" t="s">
        <v>904</v>
      </c>
      <c r="J320" s="55" t="s">
        <v>905</v>
      </c>
      <c r="K320" s="54"/>
      <c r="L320" s="54"/>
    </row>
    <row r="321" ht="39.75" customHeight="1">
      <c r="A321" s="36" t="s">
        <v>906</v>
      </c>
      <c r="B321" s="37" t="s">
        <v>66</v>
      </c>
      <c r="C321" s="49" t="s">
        <v>63</v>
      </c>
      <c r="D321" s="50" t="s">
        <v>64</v>
      </c>
      <c r="E321" s="42" t="s">
        <v>65</v>
      </c>
      <c r="F321" s="42" t="s">
        <v>67</v>
      </c>
      <c r="G321" s="43" t="s">
        <v>55</v>
      </c>
      <c r="H321" s="59" t="s">
        <v>68</v>
      </c>
      <c r="I321" s="44" t="s">
        <v>890</v>
      </c>
      <c r="J321" s="45" t="s">
        <v>891</v>
      </c>
      <c r="K321" s="44" t="s">
        <v>892</v>
      </c>
      <c r="L321" s="44" t="s">
        <v>893</v>
      </c>
    </row>
    <row r="322" ht="39.75" customHeight="1">
      <c r="A322" s="46" t="s">
        <v>907</v>
      </c>
      <c r="B322" s="47" t="s">
        <v>66</v>
      </c>
      <c r="C322" s="62" t="s">
        <v>92</v>
      </c>
      <c r="D322" s="49" t="s">
        <v>63</v>
      </c>
      <c r="E322" s="52" t="s">
        <v>97</v>
      </c>
      <c r="F322" s="52" t="s">
        <v>65</v>
      </c>
      <c r="G322" s="43" t="s">
        <v>55</v>
      </c>
      <c r="H322" s="53" t="s">
        <v>68</v>
      </c>
      <c r="I322" s="54" t="s">
        <v>890</v>
      </c>
      <c r="J322" s="55" t="s">
        <v>891</v>
      </c>
      <c r="K322" s="54" t="s">
        <v>892</v>
      </c>
      <c r="L322" s="54" t="s">
        <v>893</v>
      </c>
    </row>
    <row r="323" ht="34.5" customHeight="1">
      <c r="A323" s="36" t="s">
        <v>908</v>
      </c>
      <c r="B323" s="37" t="s">
        <v>66</v>
      </c>
      <c r="C323" s="49" t="s">
        <v>63</v>
      </c>
      <c r="D323" s="50" t="s">
        <v>64</v>
      </c>
      <c r="E323" s="42" t="s">
        <v>65</v>
      </c>
      <c r="F323" s="42" t="s">
        <v>67</v>
      </c>
      <c r="G323" s="43" t="s">
        <v>55</v>
      </c>
      <c r="H323" s="36" t="s">
        <v>56</v>
      </c>
      <c r="I323" s="44" t="s">
        <v>909</v>
      </c>
      <c r="J323" s="45" t="s">
        <v>910</v>
      </c>
      <c r="K323" s="44"/>
      <c r="L323" s="44"/>
    </row>
    <row r="324" ht="34.5" customHeight="1">
      <c r="A324" s="46" t="s">
        <v>911</v>
      </c>
      <c r="B324" s="47" t="s">
        <v>66</v>
      </c>
      <c r="C324" s="49" t="s">
        <v>63</v>
      </c>
      <c r="D324" s="62" t="s">
        <v>92</v>
      </c>
      <c r="E324" s="52" t="s">
        <v>65</v>
      </c>
      <c r="F324" s="52" t="s">
        <v>97</v>
      </c>
      <c r="G324" s="43" t="s">
        <v>55</v>
      </c>
      <c r="H324" s="46" t="s">
        <v>56</v>
      </c>
      <c r="I324" s="54" t="s">
        <v>912</v>
      </c>
      <c r="J324" s="55" t="s">
        <v>913</v>
      </c>
      <c r="K324" s="54"/>
      <c r="L324" s="54"/>
    </row>
    <row r="325" ht="34.5" customHeight="1">
      <c r="A325" s="36" t="s">
        <v>914</v>
      </c>
      <c r="B325" s="37" t="s">
        <v>66</v>
      </c>
      <c r="C325" s="62" t="s">
        <v>92</v>
      </c>
      <c r="D325" s="50" t="s">
        <v>64</v>
      </c>
      <c r="E325" s="42" t="s">
        <v>97</v>
      </c>
      <c r="F325" s="42" t="s">
        <v>67</v>
      </c>
      <c r="G325" s="43" t="s">
        <v>55</v>
      </c>
      <c r="H325" s="36" t="s">
        <v>56</v>
      </c>
      <c r="I325" s="44" t="s">
        <v>915</v>
      </c>
      <c r="J325" s="45" t="s">
        <v>916</v>
      </c>
      <c r="K325" s="44"/>
      <c r="L325" s="44" t="s">
        <v>881</v>
      </c>
    </row>
    <row r="326" ht="34.5" customHeight="1">
      <c r="A326" s="46" t="s">
        <v>917</v>
      </c>
      <c r="B326" s="47" t="s">
        <v>66</v>
      </c>
      <c r="C326" s="49" t="s">
        <v>63</v>
      </c>
      <c r="D326" s="86" t="s">
        <v>164</v>
      </c>
      <c r="E326" s="52" t="s">
        <v>65</v>
      </c>
      <c r="F326" s="52" t="s">
        <v>165</v>
      </c>
      <c r="G326" s="43" t="s">
        <v>55</v>
      </c>
      <c r="H326" s="46" t="s">
        <v>56</v>
      </c>
      <c r="I326" s="54" t="s">
        <v>918</v>
      </c>
      <c r="J326" s="55" t="s">
        <v>919</v>
      </c>
      <c r="K326" s="54"/>
      <c r="L326" s="54" t="s">
        <v>920</v>
      </c>
    </row>
    <row r="327" ht="39.75" customHeight="1">
      <c r="A327" s="36" t="s">
        <v>921</v>
      </c>
      <c r="B327" s="37" t="s">
        <v>66</v>
      </c>
      <c r="C327" s="62" t="s">
        <v>92</v>
      </c>
      <c r="D327" s="50" t="s">
        <v>64</v>
      </c>
      <c r="E327" s="42" t="s">
        <v>97</v>
      </c>
      <c r="F327" s="42" t="s">
        <v>67</v>
      </c>
      <c r="G327" s="43" t="s">
        <v>55</v>
      </c>
      <c r="H327" s="59" t="s">
        <v>68</v>
      </c>
      <c r="I327" s="44" t="s">
        <v>890</v>
      </c>
      <c r="J327" s="45" t="s">
        <v>891</v>
      </c>
      <c r="K327" s="44" t="s">
        <v>892</v>
      </c>
      <c r="L327" s="44" t="s">
        <v>893</v>
      </c>
    </row>
    <row r="328" ht="34.5" customHeight="1">
      <c r="A328" s="46" t="s">
        <v>922</v>
      </c>
      <c r="B328" s="47" t="s">
        <v>66</v>
      </c>
      <c r="C328" s="49" t="s">
        <v>63</v>
      </c>
      <c r="D328" s="86" t="s">
        <v>164</v>
      </c>
      <c r="E328" s="52" t="s">
        <v>65</v>
      </c>
      <c r="F328" s="52" t="s">
        <v>165</v>
      </c>
      <c r="G328" s="43" t="s">
        <v>55</v>
      </c>
      <c r="H328" s="46" t="s">
        <v>56</v>
      </c>
      <c r="I328" s="54" t="s">
        <v>923</v>
      </c>
      <c r="J328" s="55" t="s">
        <v>924</v>
      </c>
      <c r="K328" s="54"/>
      <c r="L328" s="54" t="s">
        <v>269</v>
      </c>
    </row>
    <row r="329" ht="34.5" customHeight="1">
      <c r="A329" s="36" t="s">
        <v>925</v>
      </c>
      <c r="B329" s="37" t="s">
        <v>66</v>
      </c>
      <c r="C329" s="62" t="s">
        <v>92</v>
      </c>
      <c r="D329" s="50" t="s">
        <v>64</v>
      </c>
      <c r="E329" s="42" t="s">
        <v>97</v>
      </c>
      <c r="F329" s="42" t="s">
        <v>67</v>
      </c>
      <c r="G329" s="43" t="s">
        <v>55</v>
      </c>
      <c r="H329" s="36" t="s">
        <v>56</v>
      </c>
      <c r="I329" s="44" t="s">
        <v>926</v>
      </c>
      <c r="J329" s="45" t="s">
        <v>927</v>
      </c>
      <c r="K329" s="44"/>
      <c r="L329" s="44"/>
    </row>
    <row r="330" ht="39.75" customHeight="1">
      <c r="A330" s="46" t="s">
        <v>928</v>
      </c>
      <c r="B330" s="47" t="s">
        <v>66</v>
      </c>
      <c r="C330" s="49" t="s">
        <v>63</v>
      </c>
      <c r="D330" s="86" t="s">
        <v>164</v>
      </c>
      <c r="E330" s="52" t="s">
        <v>65</v>
      </c>
      <c r="F330" s="52" t="s">
        <v>165</v>
      </c>
      <c r="G330" s="43" t="s">
        <v>55</v>
      </c>
      <c r="H330" s="53" t="s">
        <v>68</v>
      </c>
      <c r="I330" s="54" t="s">
        <v>890</v>
      </c>
      <c r="J330" s="55" t="s">
        <v>891</v>
      </c>
      <c r="K330" s="54" t="s">
        <v>892</v>
      </c>
      <c r="L330" s="54" t="s">
        <v>893</v>
      </c>
    </row>
    <row r="331" ht="34.5" customHeight="1">
      <c r="A331" s="36" t="s">
        <v>929</v>
      </c>
      <c r="B331" s="37" t="s">
        <v>66</v>
      </c>
      <c r="C331" s="49" t="s">
        <v>63</v>
      </c>
      <c r="D331" s="50" t="s">
        <v>64</v>
      </c>
      <c r="E331" s="42" t="s">
        <v>65</v>
      </c>
      <c r="F331" s="42" t="s">
        <v>67</v>
      </c>
      <c r="G331" s="43" t="s">
        <v>55</v>
      </c>
      <c r="H331" s="36" t="s">
        <v>56</v>
      </c>
      <c r="I331" s="44" t="s">
        <v>930</v>
      </c>
      <c r="J331" s="45" t="s">
        <v>931</v>
      </c>
      <c r="K331" s="44"/>
      <c r="L331" s="44" t="s">
        <v>932</v>
      </c>
    </row>
    <row r="332" ht="39.75" customHeight="1">
      <c r="A332" s="46" t="s">
        <v>933</v>
      </c>
      <c r="B332" s="47" t="s">
        <v>66</v>
      </c>
      <c r="C332" s="136" t="s">
        <v>210</v>
      </c>
      <c r="D332" s="86" t="s">
        <v>164</v>
      </c>
      <c r="E332" s="52" t="s">
        <v>211</v>
      </c>
      <c r="F332" s="52" t="s">
        <v>165</v>
      </c>
      <c r="G332" s="43" t="s">
        <v>55</v>
      </c>
      <c r="H332" s="53" t="s">
        <v>68</v>
      </c>
      <c r="I332" s="54" t="s">
        <v>890</v>
      </c>
      <c r="J332" s="55" t="s">
        <v>891</v>
      </c>
      <c r="K332" s="54" t="s">
        <v>892</v>
      </c>
      <c r="L332" s="54" t="s">
        <v>893</v>
      </c>
    </row>
    <row r="333" ht="39.75" customHeight="1">
      <c r="A333" s="36" t="s">
        <v>934</v>
      </c>
      <c r="B333" s="37" t="s">
        <v>66</v>
      </c>
      <c r="C333" s="57" t="s">
        <v>78</v>
      </c>
      <c r="D333" s="79" t="s">
        <v>150</v>
      </c>
      <c r="E333" s="42" t="s">
        <v>81</v>
      </c>
      <c r="F333" s="42" t="s">
        <v>153</v>
      </c>
      <c r="G333" s="43" t="s">
        <v>55</v>
      </c>
      <c r="H333" s="59" t="s">
        <v>68</v>
      </c>
      <c r="I333" s="44" t="s">
        <v>890</v>
      </c>
      <c r="J333" s="45" t="s">
        <v>891</v>
      </c>
      <c r="K333" s="44" t="s">
        <v>892</v>
      </c>
      <c r="L333" s="44" t="s">
        <v>893</v>
      </c>
    </row>
    <row r="334" ht="39.75" customHeight="1">
      <c r="A334" s="46" t="s">
        <v>935</v>
      </c>
      <c r="B334" s="47" t="s">
        <v>66</v>
      </c>
      <c r="C334" s="41" t="s">
        <v>52</v>
      </c>
      <c r="D334" s="49" t="s">
        <v>63</v>
      </c>
      <c r="E334" s="52" t="s">
        <v>54</v>
      </c>
      <c r="F334" s="52" t="s">
        <v>65</v>
      </c>
      <c r="G334" s="43" t="s">
        <v>55</v>
      </c>
      <c r="H334" s="53" t="s">
        <v>68</v>
      </c>
      <c r="I334" s="54" t="s">
        <v>890</v>
      </c>
      <c r="J334" s="55" t="s">
        <v>891</v>
      </c>
      <c r="K334" s="54" t="s">
        <v>892</v>
      </c>
      <c r="L334" s="54" t="s">
        <v>893</v>
      </c>
    </row>
    <row r="335" ht="34.5" customHeight="1">
      <c r="A335" s="36" t="s">
        <v>936</v>
      </c>
      <c r="B335" s="37" t="s">
        <v>66</v>
      </c>
      <c r="C335" s="57" t="s">
        <v>78</v>
      </c>
      <c r="D335" s="50" t="s">
        <v>64</v>
      </c>
      <c r="E335" s="42" t="s">
        <v>81</v>
      </c>
      <c r="F335" s="42" t="s">
        <v>67</v>
      </c>
      <c r="G335" s="43" t="s">
        <v>55</v>
      </c>
      <c r="H335" s="36" t="s">
        <v>56</v>
      </c>
      <c r="I335" s="44" t="s">
        <v>937</v>
      </c>
      <c r="J335" s="45" t="s">
        <v>938</v>
      </c>
      <c r="K335" s="44"/>
      <c r="L335" s="44"/>
    </row>
    <row r="336" ht="39.75" customHeight="1">
      <c r="A336" s="46" t="s">
        <v>940</v>
      </c>
      <c r="B336" s="47" t="s">
        <v>66</v>
      </c>
      <c r="C336" s="49" t="s">
        <v>63</v>
      </c>
      <c r="D336" s="41" t="s">
        <v>52</v>
      </c>
      <c r="E336" s="52" t="s">
        <v>65</v>
      </c>
      <c r="F336" s="52" t="s">
        <v>54</v>
      </c>
      <c r="G336" s="43" t="s">
        <v>55</v>
      </c>
      <c r="H336" s="53" t="s">
        <v>68</v>
      </c>
      <c r="I336" s="54" t="s">
        <v>890</v>
      </c>
      <c r="J336" s="55" t="s">
        <v>891</v>
      </c>
      <c r="K336" s="54" t="s">
        <v>892</v>
      </c>
      <c r="L336" s="54" t="s">
        <v>893</v>
      </c>
    </row>
    <row r="337" ht="39.75" customHeight="1">
      <c r="A337" s="36" t="s">
        <v>941</v>
      </c>
      <c r="B337" s="37" t="s">
        <v>66</v>
      </c>
      <c r="C337" s="49" t="s">
        <v>63</v>
      </c>
      <c r="D337" s="50" t="s">
        <v>64</v>
      </c>
      <c r="E337" s="42" t="s">
        <v>65</v>
      </c>
      <c r="F337" s="42" t="s">
        <v>67</v>
      </c>
      <c r="G337" s="43" t="s">
        <v>55</v>
      </c>
      <c r="H337" s="59" t="s">
        <v>68</v>
      </c>
      <c r="I337" s="44" t="s">
        <v>890</v>
      </c>
      <c r="J337" s="45" t="s">
        <v>891</v>
      </c>
      <c r="K337" s="44" t="s">
        <v>892</v>
      </c>
      <c r="L337" s="44" t="s">
        <v>893</v>
      </c>
    </row>
    <row r="338" ht="34.5" customHeight="1">
      <c r="A338" s="46" t="s">
        <v>942</v>
      </c>
      <c r="B338" s="47" t="s">
        <v>66</v>
      </c>
      <c r="C338" s="136" t="s">
        <v>210</v>
      </c>
      <c r="D338" s="86" t="s">
        <v>164</v>
      </c>
      <c r="E338" s="52" t="s">
        <v>211</v>
      </c>
      <c r="F338" s="52" t="s">
        <v>165</v>
      </c>
      <c r="G338" s="43" t="s">
        <v>55</v>
      </c>
      <c r="H338" s="46" t="s">
        <v>56</v>
      </c>
      <c r="I338" s="54" t="s">
        <v>943</v>
      </c>
      <c r="J338" s="55" t="s">
        <v>944</v>
      </c>
      <c r="K338" s="54"/>
      <c r="L338" s="54"/>
    </row>
    <row r="339" ht="39.75" customHeight="1">
      <c r="A339" s="36" t="s">
        <v>945</v>
      </c>
      <c r="B339" s="37" t="s">
        <v>66</v>
      </c>
      <c r="C339" s="50" t="s">
        <v>64</v>
      </c>
      <c r="D339" s="62" t="s">
        <v>92</v>
      </c>
      <c r="E339" s="42" t="s">
        <v>67</v>
      </c>
      <c r="F339" s="42" t="s">
        <v>97</v>
      </c>
      <c r="G339" s="43" t="s">
        <v>55</v>
      </c>
      <c r="H339" s="59" t="s">
        <v>68</v>
      </c>
      <c r="I339" s="44" t="s">
        <v>890</v>
      </c>
      <c r="J339" s="45" t="s">
        <v>891</v>
      </c>
      <c r="K339" s="44" t="s">
        <v>892</v>
      </c>
      <c r="L339" s="44" t="s">
        <v>946</v>
      </c>
    </row>
    <row r="340" ht="39.75" customHeight="1">
      <c r="A340" s="46" t="s">
        <v>947</v>
      </c>
      <c r="B340" s="47" t="s">
        <v>66</v>
      </c>
      <c r="C340" s="50" t="s">
        <v>64</v>
      </c>
      <c r="D340" s="57" t="s">
        <v>78</v>
      </c>
      <c r="E340" s="52" t="s">
        <v>67</v>
      </c>
      <c r="F340" s="52" t="s">
        <v>81</v>
      </c>
      <c r="G340" s="43" t="s">
        <v>55</v>
      </c>
      <c r="H340" s="53" t="s">
        <v>68</v>
      </c>
      <c r="I340" s="54" t="s">
        <v>890</v>
      </c>
      <c r="J340" s="55" t="s">
        <v>891</v>
      </c>
      <c r="K340" s="54" t="s">
        <v>892</v>
      </c>
      <c r="L340" s="54" t="s">
        <v>893</v>
      </c>
    </row>
    <row r="341" ht="39.75" customHeight="1">
      <c r="A341" s="36" t="s">
        <v>948</v>
      </c>
      <c r="B341" s="37" t="s">
        <v>66</v>
      </c>
      <c r="C341" s="56" t="s">
        <v>76</v>
      </c>
      <c r="D341" s="50" t="s">
        <v>64</v>
      </c>
      <c r="E341" s="42" t="s">
        <v>79</v>
      </c>
      <c r="F341" s="42" t="s">
        <v>67</v>
      </c>
      <c r="G341" s="43" t="s">
        <v>55</v>
      </c>
      <c r="H341" s="59" t="s">
        <v>68</v>
      </c>
      <c r="I341" s="44" t="s">
        <v>890</v>
      </c>
      <c r="J341" s="45" t="s">
        <v>891</v>
      </c>
      <c r="K341" s="44" t="s">
        <v>892</v>
      </c>
      <c r="L341" s="44" t="s">
        <v>893</v>
      </c>
    </row>
    <row r="342" ht="39.75" customHeight="1">
      <c r="A342" s="46" t="s">
        <v>949</v>
      </c>
      <c r="B342" s="47" t="s">
        <v>66</v>
      </c>
      <c r="C342" s="49" t="s">
        <v>63</v>
      </c>
      <c r="D342" s="50" t="s">
        <v>64</v>
      </c>
      <c r="E342" s="52" t="s">
        <v>65</v>
      </c>
      <c r="F342" s="52" t="s">
        <v>67</v>
      </c>
      <c r="G342" s="43" t="s">
        <v>55</v>
      </c>
      <c r="H342" s="53" t="s">
        <v>68</v>
      </c>
      <c r="I342" s="54" t="s">
        <v>890</v>
      </c>
      <c r="J342" s="55" t="s">
        <v>891</v>
      </c>
      <c r="K342" s="54" t="s">
        <v>892</v>
      </c>
      <c r="L342" s="54" t="s">
        <v>893</v>
      </c>
    </row>
    <row r="343" ht="39.75" customHeight="1">
      <c r="A343" s="36" t="s">
        <v>950</v>
      </c>
      <c r="B343" s="37" t="s">
        <v>66</v>
      </c>
      <c r="C343" s="62" t="s">
        <v>92</v>
      </c>
      <c r="D343" s="136" t="s">
        <v>210</v>
      </c>
      <c r="E343" s="42" t="s">
        <v>97</v>
      </c>
      <c r="F343" s="42" t="s">
        <v>211</v>
      </c>
      <c r="G343" s="43" t="s">
        <v>55</v>
      </c>
      <c r="H343" s="59" t="s">
        <v>68</v>
      </c>
      <c r="I343" s="44" t="s">
        <v>890</v>
      </c>
      <c r="J343" s="45" t="s">
        <v>891</v>
      </c>
      <c r="K343" s="44" t="s">
        <v>892</v>
      </c>
      <c r="L343" s="44" t="s">
        <v>893</v>
      </c>
    </row>
    <row r="344" ht="39.75" customHeight="1">
      <c r="A344" s="46" t="s">
        <v>951</v>
      </c>
      <c r="B344" s="47" t="s">
        <v>66</v>
      </c>
      <c r="C344" s="49" t="s">
        <v>63</v>
      </c>
      <c r="D344" s="50" t="s">
        <v>64</v>
      </c>
      <c r="E344" s="52" t="s">
        <v>65</v>
      </c>
      <c r="F344" s="52" t="s">
        <v>67</v>
      </c>
      <c r="G344" s="43" t="s">
        <v>55</v>
      </c>
      <c r="H344" s="53" t="s">
        <v>68</v>
      </c>
      <c r="I344" s="54" t="s">
        <v>890</v>
      </c>
      <c r="J344" s="55" t="s">
        <v>891</v>
      </c>
      <c r="K344" s="54" t="s">
        <v>892</v>
      </c>
      <c r="L344" s="54" t="s">
        <v>893</v>
      </c>
    </row>
    <row r="345" ht="39.75" customHeight="1">
      <c r="A345" s="36" t="s">
        <v>952</v>
      </c>
      <c r="B345" s="37" t="s">
        <v>66</v>
      </c>
      <c r="C345" s="41" t="s">
        <v>52</v>
      </c>
      <c r="D345" s="138" t="s">
        <v>199</v>
      </c>
      <c r="E345" s="42" t="s">
        <v>54</v>
      </c>
      <c r="F345" s="42" t="s">
        <v>200</v>
      </c>
      <c r="G345" s="43" t="s">
        <v>55</v>
      </c>
      <c r="H345" s="59" t="s">
        <v>68</v>
      </c>
      <c r="I345" s="44" t="s">
        <v>890</v>
      </c>
      <c r="J345" s="45" t="s">
        <v>891</v>
      </c>
      <c r="K345" s="44" t="s">
        <v>892</v>
      </c>
      <c r="L345" s="44" t="s">
        <v>893</v>
      </c>
    </row>
    <row r="346" ht="34.5" customHeight="1">
      <c r="A346" s="46" t="s">
        <v>953</v>
      </c>
      <c r="B346" s="47" t="s">
        <v>66</v>
      </c>
      <c r="C346" s="49" t="s">
        <v>63</v>
      </c>
      <c r="D346" s="86" t="s">
        <v>164</v>
      </c>
      <c r="E346" s="52" t="s">
        <v>65</v>
      </c>
      <c r="F346" s="52" t="s">
        <v>165</v>
      </c>
      <c r="G346" s="43" t="s">
        <v>55</v>
      </c>
      <c r="H346" s="46" t="s">
        <v>173</v>
      </c>
      <c r="I346" s="54" t="s">
        <v>954</v>
      </c>
      <c r="J346" s="55" t="s">
        <v>955</v>
      </c>
      <c r="K346" s="54" t="s">
        <v>956</v>
      </c>
      <c r="L346" s="54"/>
    </row>
    <row r="347" ht="39.75" customHeight="1">
      <c r="A347" s="36" t="s">
        <v>957</v>
      </c>
      <c r="B347" s="37" t="s">
        <v>66</v>
      </c>
      <c r="C347" s="41" t="s">
        <v>52</v>
      </c>
      <c r="D347" s="49" t="s">
        <v>63</v>
      </c>
      <c r="E347" s="42" t="s">
        <v>54</v>
      </c>
      <c r="F347" s="42" t="s">
        <v>65</v>
      </c>
      <c r="G347" s="43" t="s">
        <v>55</v>
      </c>
      <c r="H347" s="59" t="s">
        <v>68</v>
      </c>
      <c r="I347" s="44" t="s">
        <v>890</v>
      </c>
      <c r="J347" s="45" t="s">
        <v>891</v>
      </c>
      <c r="K347" s="44" t="s">
        <v>892</v>
      </c>
      <c r="L347" s="44" t="s">
        <v>893</v>
      </c>
    </row>
    <row r="348" ht="34.5" customHeight="1">
      <c r="A348" s="46" t="s">
        <v>958</v>
      </c>
      <c r="B348" s="47" t="s">
        <v>66</v>
      </c>
      <c r="C348" s="138" t="s">
        <v>199</v>
      </c>
      <c r="D348" s="86" t="s">
        <v>164</v>
      </c>
      <c r="E348" s="52" t="s">
        <v>200</v>
      </c>
      <c r="F348" s="52" t="s">
        <v>165</v>
      </c>
      <c r="G348" s="43" t="s">
        <v>55</v>
      </c>
      <c r="H348" s="46" t="s">
        <v>56</v>
      </c>
      <c r="I348" s="54" t="s">
        <v>960</v>
      </c>
      <c r="J348" s="55" t="s">
        <v>961</v>
      </c>
      <c r="K348" s="54"/>
      <c r="L348" s="54"/>
    </row>
    <row r="349" ht="34.5" customHeight="1">
      <c r="A349" s="36" t="s">
        <v>962</v>
      </c>
      <c r="B349" s="37" t="s">
        <v>66</v>
      </c>
      <c r="C349" s="79" t="s">
        <v>150</v>
      </c>
      <c r="D349" s="57" t="s">
        <v>78</v>
      </c>
      <c r="E349" s="42" t="s">
        <v>153</v>
      </c>
      <c r="F349" s="42" t="s">
        <v>81</v>
      </c>
      <c r="G349" s="43" t="s">
        <v>55</v>
      </c>
      <c r="H349" s="36" t="s">
        <v>56</v>
      </c>
      <c r="I349" s="44" t="s">
        <v>963</v>
      </c>
      <c r="J349" s="45" t="s">
        <v>964</v>
      </c>
      <c r="K349" s="44"/>
      <c r="L349" s="44" t="s">
        <v>965</v>
      </c>
    </row>
    <row r="350" ht="39.75" customHeight="1">
      <c r="A350" s="46" t="s">
        <v>966</v>
      </c>
      <c r="B350" s="47" t="s">
        <v>66</v>
      </c>
      <c r="C350" s="62" t="s">
        <v>92</v>
      </c>
      <c r="D350" s="49" t="s">
        <v>63</v>
      </c>
      <c r="E350" s="52" t="s">
        <v>97</v>
      </c>
      <c r="F350" s="52" t="s">
        <v>65</v>
      </c>
      <c r="G350" s="43" t="s">
        <v>55</v>
      </c>
      <c r="H350" s="53" t="s">
        <v>68</v>
      </c>
      <c r="I350" s="54" t="s">
        <v>890</v>
      </c>
      <c r="J350" s="55" t="s">
        <v>891</v>
      </c>
      <c r="K350" s="54" t="s">
        <v>892</v>
      </c>
      <c r="L350" s="54" t="s">
        <v>967</v>
      </c>
    </row>
    <row r="351" ht="34.5" customHeight="1">
      <c r="A351" s="36" t="s">
        <v>968</v>
      </c>
      <c r="B351" s="37" t="s">
        <v>66</v>
      </c>
      <c r="C351" s="41" t="s">
        <v>52</v>
      </c>
      <c r="D351" s="62" t="s">
        <v>92</v>
      </c>
      <c r="E351" s="42" t="s">
        <v>54</v>
      </c>
      <c r="F351" s="42" t="s">
        <v>97</v>
      </c>
      <c r="G351" s="43" t="s">
        <v>55</v>
      </c>
      <c r="H351" s="36" t="s">
        <v>56</v>
      </c>
      <c r="I351" s="44" t="s">
        <v>969</v>
      </c>
      <c r="J351" s="45" t="s">
        <v>970</v>
      </c>
      <c r="K351" s="44"/>
      <c r="L351" s="44"/>
    </row>
    <row r="352" ht="34.5" customHeight="1">
      <c r="A352" s="46" t="s">
        <v>971</v>
      </c>
      <c r="B352" s="47" t="s">
        <v>66</v>
      </c>
      <c r="C352" s="41" t="s">
        <v>52</v>
      </c>
      <c r="D352" s="49" t="s">
        <v>63</v>
      </c>
      <c r="E352" s="52" t="s">
        <v>54</v>
      </c>
      <c r="F352" s="52" t="s">
        <v>65</v>
      </c>
      <c r="G352" s="43" t="s">
        <v>55</v>
      </c>
      <c r="H352" s="46" t="s">
        <v>56</v>
      </c>
      <c r="I352" s="54" t="s">
        <v>972</v>
      </c>
      <c r="J352" s="55" t="s">
        <v>973</v>
      </c>
      <c r="K352" s="54"/>
      <c r="L352" s="54"/>
    </row>
    <row r="353" ht="39.75" customHeight="1">
      <c r="A353" s="36" t="s">
        <v>974</v>
      </c>
      <c r="B353" s="37" t="s">
        <v>66</v>
      </c>
      <c r="C353" s="138" t="s">
        <v>199</v>
      </c>
      <c r="D353" s="50" t="s">
        <v>64</v>
      </c>
      <c r="E353" s="42" t="s">
        <v>200</v>
      </c>
      <c r="F353" s="42" t="s">
        <v>67</v>
      </c>
      <c r="G353" s="43" t="s">
        <v>55</v>
      </c>
      <c r="H353" s="59" t="s">
        <v>68</v>
      </c>
      <c r="I353" s="44" t="s">
        <v>890</v>
      </c>
      <c r="J353" s="45" t="s">
        <v>891</v>
      </c>
      <c r="K353" s="44" t="s">
        <v>892</v>
      </c>
      <c r="L353" s="44" t="s">
        <v>893</v>
      </c>
    </row>
    <row r="354" ht="39.75" customHeight="1">
      <c r="A354" s="46" t="s">
        <v>975</v>
      </c>
      <c r="B354" s="47" t="s">
        <v>66</v>
      </c>
      <c r="C354" s="49" t="s">
        <v>63</v>
      </c>
      <c r="D354" s="50" t="s">
        <v>64</v>
      </c>
      <c r="E354" s="52" t="s">
        <v>65</v>
      </c>
      <c r="F354" s="52" t="s">
        <v>67</v>
      </c>
      <c r="G354" s="43" t="s">
        <v>55</v>
      </c>
      <c r="H354" s="53" t="s">
        <v>68</v>
      </c>
      <c r="I354" s="54" t="s">
        <v>890</v>
      </c>
      <c r="J354" s="55" t="s">
        <v>891</v>
      </c>
      <c r="K354" s="54" t="s">
        <v>892</v>
      </c>
      <c r="L354" s="54" t="s">
        <v>893</v>
      </c>
    </row>
    <row r="355" ht="34.5" customHeight="1">
      <c r="A355" s="36" t="s">
        <v>976</v>
      </c>
      <c r="B355" s="37" t="s">
        <v>66</v>
      </c>
      <c r="C355" s="49" t="s">
        <v>63</v>
      </c>
      <c r="D355" s="86" t="s">
        <v>164</v>
      </c>
      <c r="E355" s="42" t="s">
        <v>65</v>
      </c>
      <c r="F355" s="42" t="s">
        <v>165</v>
      </c>
      <c r="G355" s="43" t="s">
        <v>55</v>
      </c>
      <c r="H355" s="36" t="s">
        <v>56</v>
      </c>
      <c r="I355" s="44" t="s">
        <v>977</v>
      </c>
      <c r="J355" s="45" t="s">
        <v>978</v>
      </c>
      <c r="K355" s="44"/>
      <c r="L355" s="44"/>
    </row>
    <row r="356" ht="39.75" customHeight="1">
      <c r="A356" s="46" t="s">
        <v>979</v>
      </c>
      <c r="B356" s="47" t="s">
        <v>66</v>
      </c>
      <c r="C356" s="49" t="s">
        <v>63</v>
      </c>
      <c r="D356" s="41" t="s">
        <v>52</v>
      </c>
      <c r="E356" s="52" t="s">
        <v>65</v>
      </c>
      <c r="F356" s="52" t="s">
        <v>54</v>
      </c>
      <c r="G356" s="43" t="s">
        <v>55</v>
      </c>
      <c r="H356" s="53" t="s">
        <v>68</v>
      </c>
      <c r="I356" s="54" t="s">
        <v>890</v>
      </c>
      <c r="J356" s="55" t="s">
        <v>891</v>
      </c>
      <c r="K356" s="54" t="s">
        <v>892</v>
      </c>
      <c r="L356" s="54" t="s">
        <v>893</v>
      </c>
    </row>
    <row r="357" ht="39.75" customHeight="1">
      <c r="A357" s="36" t="s">
        <v>980</v>
      </c>
      <c r="B357" s="37" t="s">
        <v>66</v>
      </c>
      <c r="C357" s="49" t="s">
        <v>63</v>
      </c>
      <c r="D357" s="50" t="s">
        <v>64</v>
      </c>
      <c r="E357" s="42" t="s">
        <v>65</v>
      </c>
      <c r="F357" s="42" t="s">
        <v>67</v>
      </c>
      <c r="G357" s="43" t="s">
        <v>55</v>
      </c>
      <c r="H357" s="59" t="s">
        <v>68</v>
      </c>
      <c r="I357" s="44" t="s">
        <v>890</v>
      </c>
      <c r="J357" s="45" t="s">
        <v>891</v>
      </c>
      <c r="K357" s="44" t="s">
        <v>892</v>
      </c>
      <c r="L357" s="44" t="s">
        <v>893</v>
      </c>
    </row>
    <row r="358" ht="39.75" customHeight="1">
      <c r="A358" s="46" t="s">
        <v>981</v>
      </c>
      <c r="B358" s="47" t="s">
        <v>66</v>
      </c>
      <c r="C358" s="138" t="s">
        <v>199</v>
      </c>
      <c r="D358" s="50" t="s">
        <v>64</v>
      </c>
      <c r="E358" s="52" t="s">
        <v>200</v>
      </c>
      <c r="F358" s="52" t="s">
        <v>67</v>
      </c>
      <c r="G358" s="43" t="s">
        <v>55</v>
      </c>
      <c r="H358" s="53" t="s">
        <v>68</v>
      </c>
      <c r="I358" s="54" t="s">
        <v>890</v>
      </c>
      <c r="J358" s="55" t="s">
        <v>891</v>
      </c>
      <c r="K358" s="54" t="s">
        <v>892</v>
      </c>
      <c r="L358" s="54" t="s">
        <v>893</v>
      </c>
    </row>
    <row r="359" ht="39.75" customHeight="1">
      <c r="A359" s="36" t="s">
        <v>982</v>
      </c>
      <c r="B359" s="37" t="s">
        <v>66</v>
      </c>
      <c r="C359" s="41" t="s">
        <v>52</v>
      </c>
      <c r="D359" s="62" t="s">
        <v>92</v>
      </c>
      <c r="E359" s="42" t="s">
        <v>54</v>
      </c>
      <c r="F359" s="42" t="s">
        <v>97</v>
      </c>
      <c r="G359" s="43" t="s">
        <v>55</v>
      </c>
      <c r="H359" s="59" t="s">
        <v>68</v>
      </c>
      <c r="I359" s="44" t="s">
        <v>890</v>
      </c>
      <c r="J359" s="45" t="s">
        <v>891</v>
      </c>
      <c r="K359" s="44" t="s">
        <v>892</v>
      </c>
      <c r="L359" s="44" t="s">
        <v>893</v>
      </c>
    </row>
    <row r="360" ht="39.75" customHeight="1">
      <c r="A360" s="46" t="s">
        <v>983</v>
      </c>
      <c r="B360" s="47" t="s">
        <v>66</v>
      </c>
      <c r="C360" s="62" t="s">
        <v>92</v>
      </c>
      <c r="D360" s="50" t="s">
        <v>64</v>
      </c>
      <c r="E360" s="52" t="s">
        <v>97</v>
      </c>
      <c r="F360" s="52" t="s">
        <v>67</v>
      </c>
      <c r="G360" s="43" t="s">
        <v>55</v>
      </c>
      <c r="H360" s="53" t="s">
        <v>68</v>
      </c>
      <c r="I360" s="54" t="s">
        <v>890</v>
      </c>
      <c r="J360" s="55" t="s">
        <v>891</v>
      </c>
      <c r="K360" s="54" t="s">
        <v>892</v>
      </c>
      <c r="L360" s="54" t="s">
        <v>893</v>
      </c>
    </row>
    <row r="361" ht="34.5" customHeight="1">
      <c r="A361" s="36" t="s">
        <v>984</v>
      </c>
      <c r="B361" s="37" t="s">
        <v>66</v>
      </c>
      <c r="C361" s="161" t="s">
        <v>201</v>
      </c>
      <c r="D361" s="57" t="s">
        <v>78</v>
      </c>
      <c r="E361" s="42" t="s">
        <v>202</v>
      </c>
      <c r="F361" s="42" t="s">
        <v>81</v>
      </c>
      <c r="G361" s="43" t="s">
        <v>55</v>
      </c>
      <c r="H361" s="36" t="s">
        <v>56</v>
      </c>
      <c r="I361" s="44" t="s">
        <v>985</v>
      </c>
      <c r="J361" s="45" t="s">
        <v>986</v>
      </c>
      <c r="K361" s="44"/>
      <c r="L361" s="44" t="s">
        <v>987</v>
      </c>
    </row>
    <row r="362" ht="39.75" customHeight="1">
      <c r="A362" s="46" t="s">
        <v>988</v>
      </c>
      <c r="B362" s="47" t="s">
        <v>66</v>
      </c>
      <c r="C362" s="152" t="s">
        <v>218</v>
      </c>
      <c r="D362" s="50" t="s">
        <v>64</v>
      </c>
      <c r="E362" s="52" t="s">
        <v>219</v>
      </c>
      <c r="F362" s="52" t="s">
        <v>67</v>
      </c>
      <c r="G362" s="43" t="s">
        <v>55</v>
      </c>
      <c r="H362" s="53" t="s">
        <v>68</v>
      </c>
      <c r="I362" s="54" t="s">
        <v>890</v>
      </c>
      <c r="J362" s="55" t="s">
        <v>891</v>
      </c>
      <c r="K362" s="54" t="s">
        <v>892</v>
      </c>
      <c r="L362" s="54" t="s">
        <v>893</v>
      </c>
    </row>
    <row r="363" ht="39.75" customHeight="1">
      <c r="A363" s="36" t="s">
        <v>989</v>
      </c>
      <c r="B363" s="37" t="s">
        <v>66</v>
      </c>
      <c r="C363" s="62" t="s">
        <v>92</v>
      </c>
      <c r="D363" s="50" t="s">
        <v>64</v>
      </c>
      <c r="E363" s="42" t="s">
        <v>97</v>
      </c>
      <c r="F363" s="42" t="s">
        <v>67</v>
      </c>
      <c r="G363" s="43" t="s">
        <v>55</v>
      </c>
      <c r="H363" s="59" t="s">
        <v>68</v>
      </c>
      <c r="I363" s="44" t="s">
        <v>890</v>
      </c>
      <c r="J363" s="45" t="s">
        <v>891</v>
      </c>
      <c r="K363" s="44" t="s">
        <v>892</v>
      </c>
      <c r="L363" s="44" t="s">
        <v>893</v>
      </c>
    </row>
    <row r="364" ht="39.75" customHeight="1">
      <c r="A364" s="46" t="s">
        <v>990</v>
      </c>
      <c r="B364" s="47" t="s">
        <v>66</v>
      </c>
      <c r="C364" s="49" t="s">
        <v>63</v>
      </c>
      <c r="D364" s="50" t="s">
        <v>64</v>
      </c>
      <c r="E364" s="52" t="s">
        <v>65</v>
      </c>
      <c r="F364" s="52" t="s">
        <v>67</v>
      </c>
      <c r="G364" s="43" t="s">
        <v>55</v>
      </c>
      <c r="H364" s="53" t="s">
        <v>68</v>
      </c>
      <c r="I364" s="54" t="s">
        <v>890</v>
      </c>
      <c r="J364" s="55" t="s">
        <v>891</v>
      </c>
      <c r="K364" s="54" t="s">
        <v>892</v>
      </c>
      <c r="L364" s="54" t="s">
        <v>893</v>
      </c>
    </row>
    <row r="365" ht="34.5" customHeight="1">
      <c r="A365" s="36" t="s">
        <v>991</v>
      </c>
      <c r="B365" s="37" t="s">
        <v>66</v>
      </c>
      <c r="C365" s="39" t="s">
        <v>50</v>
      </c>
      <c r="D365" s="50" t="s">
        <v>64</v>
      </c>
      <c r="E365" s="42" t="s">
        <v>53</v>
      </c>
      <c r="F365" s="42" t="s">
        <v>67</v>
      </c>
      <c r="G365" s="43" t="s">
        <v>55</v>
      </c>
      <c r="H365" s="36" t="s">
        <v>56</v>
      </c>
      <c r="I365" s="44" t="s">
        <v>992</v>
      </c>
      <c r="J365" s="45" t="s">
        <v>993</v>
      </c>
      <c r="K365" s="44"/>
      <c r="L365" s="44"/>
    </row>
    <row r="366" ht="34.5" customHeight="1">
      <c r="A366" s="46" t="s">
        <v>994</v>
      </c>
      <c r="B366" s="47" t="s">
        <v>66</v>
      </c>
      <c r="C366" s="79" t="s">
        <v>150</v>
      </c>
      <c r="D366" s="149" t="s">
        <v>503</v>
      </c>
      <c r="E366" s="52" t="s">
        <v>153</v>
      </c>
      <c r="F366" s="52"/>
      <c r="G366" s="150" t="s">
        <v>35</v>
      </c>
      <c r="H366" s="46" t="s">
        <v>56</v>
      </c>
      <c r="I366" s="54" t="s">
        <v>995</v>
      </c>
      <c r="J366" s="55" t="s">
        <v>996</v>
      </c>
      <c r="K366" s="54"/>
      <c r="L366" s="54" t="s">
        <v>997</v>
      </c>
    </row>
    <row r="367" ht="39.75" customHeight="1">
      <c r="A367" s="36" t="s">
        <v>998</v>
      </c>
      <c r="B367" s="37" t="s">
        <v>71</v>
      </c>
      <c r="C367" s="149"/>
      <c r="D367" s="149"/>
      <c r="E367" s="42"/>
      <c r="F367" s="42"/>
      <c r="G367" s="150" t="s">
        <v>447</v>
      </c>
      <c r="H367" s="36" t="s">
        <v>198</v>
      </c>
      <c r="I367" s="44"/>
      <c r="J367" s="151"/>
      <c r="K367" s="44"/>
      <c r="L367" s="44" t="s">
        <v>448</v>
      </c>
    </row>
    <row r="368" ht="39.75" customHeight="1">
      <c r="A368" s="46" t="s">
        <v>999</v>
      </c>
      <c r="B368" s="47" t="s">
        <v>71</v>
      </c>
      <c r="C368" s="149"/>
      <c r="D368" s="149"/>
      <c r="E368" s="52"/>
      <c r="F368" s="52"/>
      <c r="G368" s="150" t="s">
        <v>447</v>
      </c>
      <c r="H368" s="46" t="s">
        <v>198</v>
      </c>
      <c r="I368" s="54"/>
      <c r="J368" s="155"/>
      <c r="K368" s="54"/>
      <c r="L368" s="54" t="s">
        <v>448</v>
      </c>
    </row>
    <row r="369" ht="39.75" customHeight="1">
      <c r="A369" s="36" t="s">
        <v>1000</v>
      </c>
      <c r="B369" s="37" t="s">
        <v>71</v>
      </c>
      <c r="C369" s="149"/>
      <c r="D369" s="149"/>
      <c r="E369" s="42"/>
      <c r="F369" s="42"/>
      <c r="G369" s="150" t="s">
        <v>447</v>
      </c>
      <c r="H369" s="36" t="s">
        <v>198</v>
      </c>
      <c r="I369" s="44"/>
      <c r="J369" s="151"/>
      <c r="K369" s="44"/>
      <c r="L369" s="44" t="s">
        <v>448</v>
      </c>
    </row>
    <row r="370" ht="34.5" customHeight="1">
      <c r="A370" s="46" t="s">
        <v>1001</v>
      </c>
      <c r="B370" s="47" t="s">
        <v>71</v>
      </c>
      <c r="C370" s="50" t="s">
        <v>64</v>
      </c>
      <c r="D370" s="86" t="s">
        <v>164</v>
      </c>
      <c r="E370" s="52" t="s">
        <v>67</v>
      </c>
      <c r="F370" s="52" t="s">
        <v>165</v>
      </c>
      <c r="G370" s="43" t="s">
        <v>55</v>
      </c>
      <c r="H370" s="46" t="s">
        <v>163</v>
      </c>
      <c r="I370" s="54" t="s">
        <v>1002</v>
      </c>
      <c r="J370" s="55" t="s">
        <v>1003</v>
      </c>
      <c r="K370" s="54"/>
      <c r="L370" s="54"/>
    </row>
    <row r="371" ht="39.75" customHeight="1">
      <c r="A371" s="36" t="s">
        <v>1004</v>
      </c>
      <c r="B371" s="37" t="s">
        <v>71</v>
      </c>
      <c r="C371" s="149"/>
      <c r="D371" s="149"/>
      <c r="E371" s="42"/>
      <c r="F371" s="42"/>
      <c r="G371" s="150" t="s">
        <v>447</v>
      </c>
      <c r="H371" s="36" t="s">
        <v>198</v>
      </c>
      <c r="I371" s="44"/>
      <c r="J371" s="151"/>
      <c r="K371" s="44"/>
      <c r="L371" s="44" t="s">
        <v>448</v>
      </c>
    </row>
    <row r="372" ht="34.5" customHeight="1">
      <c r="A372" s="46" t="s">
        <v>1005</v>
      </c>
      <c r="B372" s="47" t="s">
        <v>71</v>
      </c>
      <c r="C372" s="50" t="s">
        <v>64</v>
      </c>
      <c r="D372" s="62" t="s">
        <v>92</v>
      </c>
      <c r="E372" s="52" t="s">
        <v>67</v>
      </c>
      <c r="F372" s="52" t="s">
        <v>97</v>
      </c>
      <c r="G372" s="43" t="s">
        <v>55</v>
      </c>
      <c r="H372" s="46" t="s">
        <v>163</v>
      </c>
      <c r="I372" s="54" t="s">
        <v>1007</v>
      </c>
      <c r="J372" s="55" t="s">
        <v>1008</v>
      </c>
      <c r="K372" s="54"/>
      <c r="L372" s="54" t="s">
        <v>1009</v>
      </c>
    </row>
    <row r="373" ht="34.5" customHeight="1">
      <c r="A373" s="36" t="s">
        <v>1010</v>
      </c>
      <c r="B373" s="37" t="s">
        <v>71</v>
      </c>
      <c r="C373" s="41" t="s">
        <v>52</v>
      </c>
      <c r="D373" s="62" t="s">
        <v>92</v>
      </c>
      <c r="E373" s="42" t="s">
        <v>54</v>
      </c>
      <c r="F373" s="42" t="s">
        <v>97</v>
      </c>
      <c r="G373" s="43" t="s">
        <v>55</v>
      </c>
      <c r="H373" s="36" t="s">
        <v>163</v>
      </c>
      <c r="I373" s="44" t="s">
        <v>1011</v>
      </c>
      <c r="J373" s="45" t="s">
        <v>1012</v>
      </c>
      <c r="K373" s="44"/>
      <c r="L373" s="44"/>
    </row>
    <row r="374" ht="39.75" customHeight="1">
      <c r="A374" s="46" t="s">
        <v>1013</v>
      </c>
      <c r="B374" s="47" t="s">
        <v>71</v>
      </c>
      <c r="C374" s="149"/>
      <c r="D374" s="149"/>
      <c r="E374" s="52"/>
      <c r="F374" s="52"/>
      <c r="G374" s="150" t="s">
        <v>447</v>
      </c>
      <c r="H374" s="46" t="s">
        <v>198</v>
      </c>
      <c r="I374" s="54"/>
      <c r="J374" s="155"/>
      <c r="K374" s="54"/>
      <c r="L374" s="54" t="s">
        <v>448</v>
      </c>
    </row>
    <row r="375" ht="39.75" customHeight="1">
      <c r="A375" s="36" t="s">
        <v>1014</v>
      </c>
      <c r="B375" s="37" t="s">
        <v>71</v>
      </c>
      <c r="C375" s="149"/>
      <c r="D375" s="149"/>
      <c r="E375" s="42"/>
      <c r="F375" s="42"/>
      <c r="G375" s="150" t="s">
        <v>447</v>
      </c>
      <c r="H375" s="36" t="s">
        <v>198</v>
      </c>
      <c r="I375" s="44"/>
      <c r="J375" s="151"/>
      <c r="K375" s="44"/>
      <c r="L375" s="44" t="s">
        <v>448</v>
      </c>
    </row>
    <row r="376" ht="39.75" customHeight="1">
      <c r="A376" s="46" t="s">
        <v>1015</v>
      </c>
      <c r="B376" s="47" t="s">
        <v>71</v>
      </c>
      <c r="C376" s="149"/>
      <c r="D376" s="149"/>
      <c r="E376" s="52"/>
      <c r="F376" s="52"/>
      <c r="G376" s="150" t="s">
        <v>447</v>
      </c>
      <c r="H376" s="46" t="s">
        <v>198</v>
      </c>
      <c r="I376" s="54"/>
      <c r="J376" s="155"/>
      <c r="K376" s="54"/>
      <c r="L376" s="54" t="s">
        <v>448</v>
      </c>
    </row>
    <row r="377" ht="39.75" customHeight="1">
      <c r="A377" s="36" t="s">
        <v>1016</v>
      </c>
      <c r="B377" s="37" t="s">
        <v>71</v>
      </c>
      <c r="C377" s="149"/>
      <c r="D377" s="149"/>
      <c r="E377" s="42"/>
      <c r="F377" s="42"/>
      <c r="G377" s="150" t="s">
        <v>447</v>
      </c>
      <c r="H377" s="36" t="s">
        <v>198</v>
      </c>
      <c r="I377" s="44"/>
      <c r="J377" s="151"/>
      <c r="K377" s="44"/>
      <c r="L377" s="44" t="s">
        <v>448</v>
      </c>
    </row>
    <row r="378" ht="39.75" customHeight="1">
      <c r="A378" s="46" t="s">
        <v>1017</v>
      </c>
      <c r="B378" s="47" t="s">
        <v>71</v>
      </c>
      <c r="C378" s="149"/>
      <c r="D378" s="149"/>
      <c r="E378" s="52"/>
      <c r="F378" s="52"/>
      <c r="G378" s="150" t="s">
        <v>447</v>
      </c>
      <c r="H378" s="46" t="s">
        <v>198</v>
      </c>
      <c r="I378" s="54"/>
      <c r="J378" s="155"/>
      <c r="K378" s="54"/>
      <c r="L378" s="54" t="s">
        <v>448</v>
      </c>
    </row>
    <row r="379" ht="39.75" customHeight="1">
      <c r="A379" s="36" t="s">
        <v>1018</v>
      </c>
      <c r="B379" s="37" t="s">
        <v>71</v>
      </c>
      <c r="C379" s="149"/>
      <c r="D379" s="149"/>
      <c r="E379" s="42"/>
      <c r="F379" s="42"/>
      <c r="G379" s="150" t="s">
        <v>447</v>
      </c>
      <c r="H379" s="36" t="s">
        <v>198</v>
      </c>
      <c r="I379" s="44"/>
      <c r="J379" s="151"/>
      <c r="K379" s="44"/>
      <c r="L379" s="44" t="s">
        <v>448</v>
      </c>
    </row>
    <row r="380" ht="39.75" customHeight="1">
      <c r="A380" s="46" t="s">
        <v>1019</v>
      </c>
      <c r="B380" s="47" t="s">
        <v>71</v>
      </c>
      <c r="C380" s="149"/>
      <c r="D380" s="149"/>
      <c r="E380" s="52"/>
      <c r="F380" s="52"/>
      <c r="G380" s="150" t="s">
        <v>447</v>
      </c>
      <c r="H380" s="46" t="s">
        <v>198</v>
      </c>
      <c r="I380" s="54"/>
      <c r="J380" s="155"/>
      <c r="K380" s="54"/>
      <c r="L380" s="54" t="s">
        <v>448</v>
      </c>
    </row>
    <row r="381" ht="34.5" customHeight="1">
      <c r="A381" s="36" t="s">
        <v>1020</v>
      </c>
      <c r="B381" s="37" t="s">
        <v>71</v>
      </c>
      <c r="C381" s="41" t="s">
        <v>52</v>
      </c>
      <c r="D381" s="86" t="s">
        <v>164</v>
      </c>
      <c r="E381" s="42" t="s">
        <v>54</v>
      </c>
      <c r="F381" s="42" t="s">
        <v>165</v>
      </c>
      <c r="G381" s="43" t="s">
        <v>55</v>
      </c>
      <c r="H381" s="36" t="s">
        <v>163</v>
      </c>
      <c r="I381" s="44" t="s">
        <v>1021</v>
      </c>
      <c r="J381" s="45" t="s">
        <v>1022</v>
      </c>
      <c r="K381" s="44"/>
      <c r="L381" s="44"/>
    </row>
    <row r="382" ht="39.75" customHeight="1">
      <c r="A382" s="46" t="s">
        <v>1023</v>
      </c>
      <c r="B382" s="47" t="s">
        <v>71</v>
      </c>
      <c r="C382" s="149"/>
      <c r="D382" s="149"/>
      <c r="E382" s="52"/>
      <c r="F382" s="52"/>
      <c r="G382" s="150" t="s">
        <v>447</v>
      </c>
      <c r="H382" s="46" t="s">
        <v>198</v>
      </c>
      <c r="I382" s="54"/>
      <c r="J382" s="155"/>
      <c r="K382" s="54"/>
      <c r="L382" s="54" t="s">
        <v>448</v>
      </c>
    </row>
    <row r="383" ht="39.75" customHeight="1">
      <c r="A383" s="36" t="s">
        <v>1024</v>
      </c>
      <c r="B383" s="37" t="s">
        <v>71</v>
      </c>
      <c r="C383" s="149"/>
      <c r="D383" s="149"/>
      <c r="E383" s="42"/>
      <c r="F383" s="42"/>
      <c r="G383" s="150" t="s">
        <v>447</v>
      </c>
      <c r="H383" s="36" t="s">
        <v>198</v>
      </c>
      <c r="I383" s="44"/>
      <c r="J383" s="151"/>
      <c r="K383" s="44"/>
      <c r="L383" s="44" t="s">
        <v>448</v>
      </c>
    </row>
    <row r="384" ht="34.5" customHeight="1">
      <c r="A384" s="46" t="s">
        <v>1025</v>
      </c>
      <c r="B384" s="47" t="s">
        <v>71</v>
      </c>
      <c r="C384" s="169" t="s">
        <v>176</v>
      </c>
      <c r="D384" s="50" t="s">
        <v>64</v>
      </c>
      <c r="E384" s="52" t="s">
        <v>178</v>
      </c>
      <c r="F384" s="52" t="s">
        <v>67</v>
      </c>
      <c r="G384" s="43" t="s">
        <v>55</v>
      </c>
      <c r="H384" s="46" t="s">
        <v>163</v>
      </c>
      <c r="I384" s="54" t="s">
        <v>1026</v>
      </c>
      <c r="J384" s="55" t="s">
        <v>1027</v>
      </c>
      <c r="K384" s="54"/>
      <c r="L384" s="54"/>
    </row>
    <row r="385" ht="34.5" customHeight="1">
      <c r="A385" s="36" t="s">
        <v>1028</v>
      </c>
      <c r="B385" s="37" t="s">
        <v>71</v>
      </c>
      <c r="C385" s="49" t="s">
        <v>63</v>
      </c>
      <c r="D385" s="62" t="s">
        <v>92</v>
      </c>
      <c r="E385" s="42" t="s">
        <v>65</v>
      </c>
      <c r="F385" s="42" t="s">
        <v>97</v>
      </c>
      <c r="G385" s="43" t="s">
        <v>55</v>
      </c>
      <c r="H385" s="36" t="s">
        <v>163</v>
      </c>
      <c r="I385" s="44" t="s">
        <v>1029</v>
      </c>
      <c r="J385" s="45" t="s">
        <v>1030</v>
      </c>
      <c r="K385" s="44"/>
      <c r="L385" s="44"/>
    </row>
    <row r="386" ht="39.75" customHeight="1">
      <c r="A386" s="46" t="s">
        <v>1031</v>
      </c>
      <c r="B386" s="47" t="s">
        <v>71</v>
      </c>
      <c r="C386" s="149"/>
      <c r="D386" s="149"/>
      <c r="E386" s="52"/>
      <c r="F386" s="52"/>
      <c r="G386" s="150" t="s">
        <v>447</v>
      </c>
      <c r="H386" s="46" t="s">
        <v>198</v>
      </c>
      <c r="I386" s="54"/>
      <c r="J386" s="155"/>
      <c r="K386" s="54"/>
      <c r="L386" s="54" t="s">
        <v>448</v>
      </c>
    </row>
    <row r="387" ht="34.5" customHeight="1">
      <c r="A387" s="36" t="s">
        <v>1032</v>
      </c>
      <c r="B387" s="37" t="s">
        <v>71</v>
      </c>
      <c r="C387" s="138" t="s">
        <v>199</v>
      </c>
      <c r="D387" s="149" t="s">
        <v>503</v>
      </c>
      <c r="E387" s="42" t="s">
        <v>200</v>
      </c>
      <c r="F387" s="42"/>
      <c r="G387" s="150" t="s">
        <v>35</v>
      </c>
      <c r="H387" s="36" t="s">
        <v>163</v>
      </c>
      <c r="I387" s="44" t="s">
        <v>1033</v>
      </c>
      <c r="J387" s="45" t="s">
        <v>1034</v>
      </c>
      <c r="K387" s="44"/>
      <c r="L387" s="44" t="s">
        <v>1035</v>
      </c>
    </row>
    <row r="388" ht="39.75" customHeight="1">
      <c r="A388" s="46" t="s">
        <v>1036</v>
      </c>
      <c r="B388" s="47" t="s">
        <v>71</v>
      </c>
      <c r="C388" s="149"/>
      <c r="D388" s="149"/>
      <c r="E388" s="52"/>
      <c r="F388" s="52"/>
      <c r="G388" s="150" t="s">
        <v>447</v>
      </c>
      <c r="H388" s="46" t="s">
        <v>198</v>
      </c>
      <c r="I388" s="54"/>
      <c r="J388" s="155"/>
      <c r="K388" s="54"/>
      <c r="L388" s="54" t="s">
        <v>448</v>
      </c>
    </row>
    <row r="389" ht="34.5" customHeight="1">
      <c r="A389" s="36" t="s">
        <v>1037</v>
      </c>
      <c r="B389" s="37" t="s">
        <v>71</v>
      </c>
      <c r="C389" s="50" t="s">
        <v>64</v>
      </c>
      <c r="D389" s="62" t="s">
        <v>92</v>
      </c>
      <c r="E389" s="42" t="s">
        <v>67</v>
      </c>
      <c r="F389" s="42" t="s">
        <v>97</v>
      </c>
      <c r="G389" s="43" t="s">
        <v>55</v>
      </c>
      <c r="H389" s="36" t="s">
        <v>163</v>
      </c>
      <c r="I389" s="44" t="s">
        <v>1038</v>
      </c>
      <c r="J389" s="45" t="s">
        <v>1039</v>
      </c>
      <c r="K389" s="44"/>
      <c r="L389" s="44"/>
    </row>
    <row r="390" ht="39.75" customHeight="1">
      <c r="A390" s="46" t="s">
        <v>1040</v>
      </c>
      <c r="B390" s="47" t="s">
        <v>71</v>
      </c>
      <c r="C390" s="149"/>
      <c r="D390" s="149"/>
      <c r="E390" s="52"/>
      <c r="F390" s="52"/>
      <c r="G390" s="150" t="s">
        <v>447</v>
      </c>
      <c r="H390" s="46" t="s">
        <v>198</v>
      </c>
      <c r="I390" s="54"/>
      <c r="J390" s="155"/>
      <c r="K390" s="54"/>
      <c r="L390" s="54" t="s">
        <v>448</v>
      </c>
    </row>
    <row r="391" ht="34.5" customHeight="1">
      <c r="A391" s="36" t="s">
        <v>1041</v>
      </c>
      <c r="B391" s="37" t="s">
        <v>71</v>
      </c>
      <c r="C391" s="41" t="s">
        <v>52</v>
      </c>
      <c r="D391" s="62" t="s">
        <v>92</v>
      </c>
      <c r="E391" s="42" t="s">
        <v>54</v>
      </c>
      <c r="F391" s="42" t="s">
        <v>97</v>
      </c>
      <c r="G391" s="43" t="s">
        <v>55</v>
      </c>
      <c r="H391" s="36" t="s">
        <v>163</v>
      </c>
      <c r="I391" s="44" t="s">
        <v>1042</v>
      </c>
      <c r="J391" s="45" t="s">
        <v>1043</v>
      </c>
      <c r="K391" s="44"/>
      <c r="L391" s="44"/>
    </row>
    <row r="392" ht="39.75" customHeight="1">
      <c r="A392" s="46" t="s">
        <v>1044</v>
      </c>
      <c r="B392" s="47" t="s">
        <v>71</v>
      </c>
      <c r="C392" s="149"/>
      <c r="D392" s="149"/>
      <c r="E392" s="52"/>
      <c r="F392" s="52"/>
      <c r="G392" s="150" t="s">
        <v>447</v>
      </c>
      <c r="H392" s="46" t="s">
        <v>198</v>
      </c>
      <c r="I392" s="54"/>
      <c r="J392" s="155"/>
      <c r="K392" s="54"/>
      <c r="L392" s="54" t="s">
        <v>448</v>
      </c>
    </row>
    <row r="393" ht="39.75" customHeight="1">
      <c r="A393" s="36" t="s">
        <v>1045</v>
      </c>
      <c r="B393" s="37" t="s">
        <v>71</v>
      </c>
      <c r="C393" s="149"/>
      <c r="D393" s="149"/>
      <c r="E393" s="42"/>
      <c r="F393" s="42"/>
      <c r="G393" s="150" t="s">
        <v>447</v>
      </c>
      <c r="H393" s="36" t="s">
        <v>198</v>
      </c>
      <c r="I393" s="44"/>
      <c r="J393" s="151"/>
      <c r="K393" s="44"/>
      <c r="L393" s="44" t="s">
        <v>448</v>
      </c>
    </row>
    <row r="394" ht="34.5" customHeight="1">
      <c r="A394" s="46" t="s">
        <v>1046</v>
      </c>
      <c r="B394" s="47" t="s">
        <v>71</v>
      </c>
      <c r="C394" s="50" t="s">
        <v>64</v>
      </c>
      <c r="D394" s="49" t="s">
        <v>63</v>
      </c>
      <c r="E394" s="52" t="s">
        <v>67</v>
      </c>
      <c r="F394" s="52" t="s">
        <v>65</v>
      </c>
      <c r="G394" s="43" t="s">
        <v>55</v>
      </c>
      <c r="H394" s="46" t="s">
        <v>163</v>
      </c>
      <c r="I394" s="54" t="s">
        <v>1047</v>
      </c>
      <c r="J394" s="55" t="s">
        <v>1048</v>
      </c>
      <c r="K394" s="54"/>
      <c r="L394" s="54" t="s">
        <v>1049</v>
      </c>
    </row>
    <row r="395" ht="39.75" customHeight="1">
      <c r="A395" s="36" t="s">
        <v>1050</v>
      </c>
      <c r="B395" s="37" t="s">
        <v>71</v>
      </c>
      <c r="C395" s="149"/>
      <c r="D395" s="149"/>
      <c r="E395" s="42"/>
      <c r="F395" s="42"/>
      <c r="G395" s="150" t="s">
        <v>447</v>
      </c>
      <c r="H395" s="36" t="s">
        <v>198</v>
      </c>
      <c r="I395" s="44"/>
      <c r="J395" s="151"/>
      <c r="K395" s="44"/>
      <c r="L395" s="44" t="s">
        <v>448</v>
      </c>
    </row>
    <row r="396" ht="39.75" customHeight="1">
      <c r="A396" s="46" t="s">
        <v>1051</v>
      </c>
      <c r="B396" s="47" t="s">
        <v>71</v>
      </c>
      <c r="C396" s="149"/>
      <c r="D396" s="149"/>
      <c r="E396" s="52"/>
      <c r="F396" s="52"/>
      <c r="G396" s="150" t="s">
        <v>447</v>
      </c>
      <c r="H396" s="46" t="s">
        <v>198</v>
      </c>
      <c r="I396" s="54"/>
      <c r="J396" s="155"/>
      <c r="K396" s="54"/>
      <c r="L396" s="54" t="s">
        <v>448</v>
      </c>
    </row>
    <row r="397" ht="39.75" customHeight="1">
      <c r="A397" s="36" t="s">
        <v>1052</v>
      </c>
      <c r="B397" s="37" t="s">
        <v>71</v>
      </c>
      <c r="C397" s="149"/>
      <c r="D397" s="149"/>
      <c r="E397" s="42"/>
      <c r="F397" s="42"/>
      <c r="G397" s="150" t="s">
        <v>447</v>
      </c>
      <c r="H397" s="36" t="s">
        <v>198</v>
      </c>
      <c r="I397" s="44"/>
      <c r="J397" s="151"/>
      <c r="K397" s="44"/>
      <c r="L397" s="44" t="s">
        <v>448</v>
      </c>
    </row>
    <row r="398" ht="39.75" customHeight="1">
      <c r="A398" s="46" t="s">
        <v>1053</v>
      </c>
      <c r="B398" s="47" t="s">
        <v>71</v>
      </c>
      <c r="C398" s="149"/>
      <c r="D398" s="149"/>
      <c r="E398" s="52"/>
      <c r="F398" s="52"/>
      <c r="G398" s="150" t="s">
        <v>447</v>
      </c>
      <c r="H398" s="46" t="s">
        <v>198</v>
      </c>
      <c r="I398" s="54"/>
      <c r="J398" s="155"/>
      <c r="K398" s="54"/>
      <c r="L398" s="54" t="s">
        <v>448</v>
      </c>
    </row>
    <row r="399" ht="34.5" customHeight="1">
      <c r="A399" s="36" t="s">
        <v>1054</v>
      </c>
      <c r="B399" s="37" t="s">
        <v>71</v>
      </c>
      <c r="C399" s="49" t="s">
        <v>63</v>
      </c>
      <c r="D399" s="149" t="s">
        <v>503</v>
      </c>
      <c r="E399" s="42" t="s">
        <v>65</v>
      </c>
      <c r="F399" s="42"/>
      <c r="G399" s="150" t="s">
        <v>35</v>
      </c>
      <c r="H399" s="36" t="s">
        <v>163</v>
      </c>
      <c r="I399" s="44" t="s">
        <v>1055</v>
      </c>
      <c r="J399" s="45" t="s">
        <v>1056</v>
      </c>
      <c r="K399" s="44"/>
      <c r="L399" s="44" t="s">
        <v>1057</v>
      </c>
    </row>
    <row r="400" ht="34.5" customHeight="1">
      <c r="A400" s="46" t="s">
        <v>1058</v>
      </c>
      <c r="B400" s="47" t="s">
        <v>71</v>
      </c>
      <c r="C400" s="50" t="s">
        <v>64</v>
      </c>
      <c r="D400" s="138" t="s">
        <v>199</v>
      </c>
      <c r="E400" s="52" t="s">
        <v>67</v>
      </c>
      <c r="F400" s="52" t="s">
        <v>200</v>
      </c>
      <c r="G400" s="43" t="s">
        <v>55</v>
      </c>
      <c r="H400" s="46" t="s">
        <v>163</v>
      </c>
      <c r="I400" s="54" t="s">
        <v>1059</v>
      </c>
      <c r="J400" s="55" t="s">
        <v>1060</v>
      </c>
      <c r="K400" s="54"/>
      <c r="L400" s="54"/>
    </row>
    <row r="401" ht="34.5" customHeight="1">
      <c r="A401" s="36" t="s">
        <v>1061</v>
      </c>
      <c r="B401" s="37" t="s">
        <v>71</v>
      </c>
      <c r="C401" s="49" t="s">
        <v>63</v>
      </c>
      <c r="D401" s="86" t="s">
        <v>164</v>
      </c>
      <c r="E401" s="42" t="s">
        <v>65</v>
      </c>
      <c r="F401" s="42" t="s">
        <v>165</v>
      </c>
      <c r="G401" s="43" t="s">
        <v>55</v>
      </c>
      <c r="H401" s="36" t="s">
        <v>163</v>
      </c>
      <c r="I401" s="44" t="s">
        <v>1062</v>
      </c>
      <c r="J401" s="45" t="s">
        <v>1063</v>
      </c>
      <c r="K401" s="44"/>
      <c r="L401" s="44"/>
    </row>
    <row r="402" ht="39.75" customHeight="1">
      <c r="A402" s="46" t="s">
        <v>1064</v>
      </c>
      <c r="B402" s="47" t="s">
        <v>71</v>
      </c>
      <c r="C402" s="149"/>
      <c r="D402" s="149"/>
      <c r="E402" s="52"/>
      <c r="F402" s="52"/>
      <c r="G402" s="150" t="s">
        <v>447</v>
      </c>
      <c r="H402" s="46" t="s">
        <v>198</v>
      </c>
      <c r="I402" s="54"/>
      <c r="J402" s="155"/>
      <c r="K402" s="54"/>
      <c r="L402" s="54" t="s">
        <v>448</v>
      </c>
    </row>
    <row r="403" ht="39.75" customHeight="1">
      <c r="A403" s="36" t="s">
        <v>1065</v>
      </c>
      <c r="B403" s="37" t="s">
        <v>71</v>
      </c>
      <c r="C403" s="149"/>
      <c r="D403" s="149"/>
      <c r="E403" s="42"/>
      <c r="F403" s="42"/>
      <c r="G403" s="150" t="s">
        <v>447</v>
      </c>
      <c r="H403" s="36" t="s">
        <v>198</v>
      </c>
      <c r="I403" s="44"/>
      <c r="J403" s="151"/>
      <c r="K403" s="44"/>
      <c r="L403" s="44" t="s">
        <v>448</v>
      </c>
    </row>
    <row r="404" ht="39.75" customHeight="1">
      <c r="A404" s="46" t="s">
        <v>1066</v>
      </c>
      <c r="B404" s="47" t="s">
        <v>71</v>
      </c>
      <c r="C404" s="149"/>
      <c r="D404" s="149"/>
      <c r="E404" s="52"/>
      <c r="F404" s="52"/>
      <c r="G404" s="150" t="s">
        <v>447</v>
      </c>
      <c r="H404" s="46" t="s">
        <v>198</v>
      </c>
      <c r="I404" s="54"/>
      <c r="J404" s="155"/>
      <c r="K404" s="54"/>
      <c r="L404" s="54" t="s">
        <v>448</v>
      </c>
    </row>
    <row r="405" ht="39.75" customHeight="1">
      <c r="A405" s="36" t="s">
        <v>1067</v>
      </c>
      <c r="B405" s="37" t="s">
        <v>71</v>
      </c>
      <c r="C405" s="149"/>
      <c r="D405" s="149"/>
      <c r="E405" s="42"/>
      <c r="F405" s="42"/>
      <c r="G405" s="150" t="s">
        <v>447</v>
      </c>
      <c r="H405" s="36" t="s">
        <v>198</v>
      </c>
      <c r="I405" s="44"/>
      <c r="J405" s="151"/>
      <c r="K405" s="44"/>
      <c r="L405" s="44" t="s">
        <v>448</v>
      </c>
    </row>
    <row r="406" ht="39.75" customHeight="1">
      <c r="A406" s="46" t="s">
        <v>1068</v>
      </c>
      <c r="B406" s="47" t="s">
        <v>71</v>
      </c>
      <c r="C406" s="149"/>
      <c r="D406" s="149"/>
      <c r="E406" s="52"/>
      <c r="F406" s="52"/>
      <c r="G406" s="150" t="s">
        <v>447</v>
      </c>
      <c r="H406" s="46" t="s">
        <v>198</v>
      </c>
      <c r="I406" s="54"/>
      <c r="J406" s="155"/>
      <c r="K406" s="54"/>
      <c r="L406" s="54" t="s">
        <v>448</v>
      </c>
    </row>
    <row r="407" ht="34.5" customHeight="1">
      <c r="A407" s="36" t="s">
        <v>1069</v>
      </c>
      <c r="B407" s="37" t="s">
        <v>71</v>
      </c>
      <c r="C407" s="49" t="s">
        <v>63</v>
      </c>
      <c r="D407" s="86" t="s">
        <v>164</v>
      </c>
      <c r="E407" s="42" t="s">
        <v>65</v>
      </c>
      <c r="F407" s="42" t="s">
        <v>165</v>
      </c>
      <c r="G407" s="43" t="s">
        <v>55</v>
      </c>
      <c r="H407" s="36" t="s">
        <v>163</v>
      </c>
      <c r="I407" s="44" t="s">
        <v>1070</v>
      </c>
      <c r="J407" s="45" t="s">
        <v>1071</v>
      </c>
      <c r="K407" s="44"/>
      <c r="L407" s="44"/>
    </row>
    <row r="408" ht="39.75" customHeight="1">
      <c r="A408" s="46" t="s">
        <v>1072</v>
      </c>
      <c r="B408" s="47" t="s">
        <v>71</v>
      </c>
      <c r="C408" s="149"/>
      <c r="D408" s="149"/>
      <c r="E408" s="52"/>
      <c r="F408" s="52"/>
      <c r="G408" s="150" t="s">
        <v>447</v>
      </c>
      <c r="H408" s="46" t="s">
        <v>198</v>
      </c>
      <c r="I408" s="54"/>
      <c r="J408" s="155"/>
      <c r="K408" s="54"/>
      <c r="L408" s="54" t="s">
        <v>448</v>
      </c>
    </row>
    <row r="409" ht="39.75" customHeight="1">
      <c r="A409" s="36" t="s">
        <v>1073</v>
      </c>
      <c r="B409" s="37" t="s">
        <v>71</v>
      </c>
      <c r="C409" s="149"/>
      <c r="D409" s="149"/>
      <c r="E409" s="42"/>
      <c r="F409" s="42"/>
      <c r="G409" s="150" t="s">
        <v>447</v>
      </c>
      <c r="H409" s="36" t="s">
        <v>198</v>
      </c>
      <c r="I409" s="44"/>
      <c r="J409" s="151"/>
      <c r="K409" s="44"/>
      <c r="L409" s="44" t="s">
        <v>448</v>
      </c>
    </row>
    <row r="410" ht="34.5" customHeight="1">
      <c r="A410" s="46" t="s">
        <v>1074</v>
      </c>
      <c r="B410" s="47" t="s">
        <v>71</v>
      </c>
      <c r="C410" s="50" t="s">
        <v>64</v>
      </c>
      <c r="D410" s="62" t="s">
        <v>92</v>
      </c>
      <c r="E410" s="52" t="s">
        <v>67</v>
      </c>
      <c r="F410" s="52" t="s">
        <v>97</v>
      </c>
      <c r="G410" s="43" t="s">
        <v>55</v>
      </c>
      <c r="H410" s="46" t="s">
        <v>163</v>
      </c>
      <c r="I410" s="54" t="s">
        <v>1075</v>
      </c>
      <c r="J410" s="55" t="s">
        <v>1076</v>
      </c>
      <c r="K410" s="54"/>
      <c r="L410" s="54"/>
    </row>
    <row r="411" ht="34.5" customHeight="1">
      <c r="A411" s="36" t="s">
        <v>1077</v>
      </c>
      <c r="B411" s="37" t="s">
        <v>71</v>
      </c>
      <c r="C411" s="49" t="s">
        <v>63</v>
      </c>
      <c r="D411" s="86" t="s">
        <v>164</v>
      </c>
      <c r="E411" s="42" t="s">
        <v>65</v>
      </c>
      <c r="F411" s="42" t="s">
        <v>165</v>
      </c>
      <c r="G411" s="43" t="s">
        <v>55</v>
      </c>
      <c r="H411" s="36" t="s">
        <v>163</v>
      </c>
      <c r="I411" s="44" t="s">
        <v>1078</v>
      </c>
      <c r="J411" s="45" t="s">
        <v>1079</v>
      </c>
      <c r="K411" s="44"/>
      <c r="L411" s="44"/>
    </row>
    <row r="412" ht="39.75" customHeight="1">
      <c r="A412" s="46" t="s">
        <v>1080</v>
      </c>
      <c r="B412" s="47" t="s">
        <v>71</v>
      </c>
      <c r="C412" s="149"/>
      <c r="D412" s="149"/>
      <c r="E412" s="52"/>
      <c r="F412" s="52"/>
      <c r="G412" s="150" t="s">
        <v>447</v>
      </c>
      <c r="H412" s="46" t="s">
        <v>198</v>
      </c>
      <c r="I412" s="54"/>
      <c r="J412" s="155"/>
      <c r="K412" s="54"/>
      <c r="L412" s="54" t="s">
        <v>448</v>
      </c>
    </row>
    <row r="413" ht="39.75" customHeight="1">
      <c r="A413" s="36" t="s">
        <v>1081</v>
      </c>
      <c r="B413" s="37" t="s">
        <v>71</v>
      </c>
      <c r="C413" s="149"/>
      <c r="D413" s="149"/>
      <c r="E413" s="42"/>
      <c r="F413" s="42"/>
      <c r="G413" s="150" t="s">
        <v>447</v>
      </c>
      <c r="H413" s="36" t="s">
        <v>198</v>
      </c>
      <c r="I413" s="44"/>
      <c r="J413" s="151"/>
      <c r="K413" s="44"/>
      <c r="L413" s="44" t="s">
        <v>448</v>
      </c>
    </row>
    <row r="414" ht="39.75" customHeight="1">
      <c r="A414" s="46" t="s">
        <v>1082</v>
      </c>
      <c r="B414" s="47" t="s">
        <v>71</v>
      </c>
      <c r="C414" s="149"/>
      <c r="D414" s="149"/>
      <c r="E414" s="52"/>
      <c r="F414" s="52"/>
      <c r="G414" s="150" t="s">
        <v>447</v>
      </c>
      <c r="H414" s="46" t="s">
        <v>198</v>
      </c>
      <c r="I414" s="54"/>
      <c r="J414" s="155"/>
      <c r="K414" s="54"/>
      <c r="L414" s="54" t="s">
        <v>448</v>
      </c>
    </row>
    <row r="415" ht="39.75" customHeight="1">
      <c r="A415" s="36" t="s">
        <v>1083</v>
      </c>
      <c r="B415" s="37" t="s">
        <v>71</v>
      </c>
      <c r="C415" s="149"/>
      <c r="D415" s="149"/>
      <c r="E415" s="42"/>
      <c r="F415" s="42"/>
      <c r="G415" s="150" t="s">
        <v>447</v>
      </c>
      <c r="H415" s="36" t="s">
        <v>198</v>
      </c>
      <c r="I415" s="44"/>
      <c r="J415" s="151"/>
      <c r="K415" s="44"/>
      <c r="L415" s="44" t="s">
        <v>448</v>
      </c>
    </row>
    <row r="416" ht="39.75" customHeight="1">
      <c r="A416" s="46" t="s">
        <v>1084</v>
      </c>
      <c r="B416" s="47" t="s">
        <v>71</v>
      </c>
      <c r="C416" s="149"/>
      <c r="D416" s="149"/>
      <c r="E416" s="52"/>
      <c r="F416" s="52"/>
      <c r="G416" s="150" t="s">
        <v>447</v>
      </c>
      <c r="H416" s="46" t="s">
        <v>198</v>
      </c>
      <c r="I416" s="54"/>
      <c r="J416" s="155"/>
      <c r="K416" s="54"/>
      <c r="L416" s="54" t="s">
        <v>448</v>
      </c>
    </row>
    <row r="417" ht="34.5" customHeight="1">
      <c r="A417" s="36" t="s">
        <v>1086</v>
      </c>
      <c r="B417" s="37" t="s">
        <v>71</v>
      </c>
      <c r="C417" s="50" t="s">
        <v>64</v>
      </c>
      <c r="D417" s="49" t="s">
        <v>63</v>
      </c>
      <c r="E417" s="42" t="s">
        <v>67</v>
      </c>
      <c r="F417" s="42" t="s">
        <v>65</v>
      </c>
      <c r="G417" s="43" t="s">
        <v>55</v>
      </c>
      <c r="H417" s="36" t="s">
        <v>56</v>
      </c>
      <c r="I417" s="44" t="s">
        <v>1087</v>
      </c>
      <c r="J417" s="45" t="s">
        <v>1088</v>
      </c>
      <c r="K417" s="44"/>
      <c r="L417" s="44"/>
    </row>
    <row r="418" ht="39.75" customHeight="1">
      <c r="A418" s="46" t="s">
        <v>1089</v>
      </c>
      <c r="B418" s="47" t="s">
        <v>71</v>
      </c>
      <c r="C418" s="50" t="s">
        <v>64</v>
      </c>
      <c r="D418" s="49" t="s">
        <v>63</v>
      </c>
      <c r="E418" s="52" t="s">
        <v>67</v>
      </c>
      <c r="F418" s="52" t="s">
        <v>65</v>
      </c>
      <c r="G418" s="43" t="s">
        <v>55</v>
      </c>
      <c r="H418" s="53" t="s">
        <v>187</v>
      </c>
      <c r="I418" s="54" t="s">
        <v>1087</v>
      </c>
      <c r="J418" s="55" t="s">
        <v>1088</v>
      </c>
      <c r="K418" s="54"/>
      <c r="L418" s="54" t="s">
        <v>1090</v>
      </c>
    </row>
    <row r="419" ht="34.5" customHeight="1">
      <c r="A419" s="36" t="s">
        <v>1091</v>
      </c>
      <c r="B419" s="37" t="s">
        <v>71</v>
      </c>
      <c r="C419" s="41" t="s">
        <v>52</v>
      </c>
      <c r="D419" s="62" t="s">
        <v>92</v>
      </c>
      <c r="E419" s="42" t="s">
        <v>54</v>
      </c>
      <c r="F419" s="42" t="s">
        <v>97</v>
      </c>
      <c r="G419" s="43" t="s">
        <v>55</v>
      </c>
      <c r="H419" s="36" t="s">
        <v>163</v>
      </c>
      <c r="I419" s="44" t="s">
        <v>1092</v>
      </c>
      <c r="J419" s="45" t="s">
        <v>1093</v>
      </c>
      <c r="K419" s="44"/>
      <c r="L419" s="44"/>
    </row>
    <row r="420" ht="39.75" customHeight="1">
      <c r="A420" s="46" t="s">
        <v>1094</v>
      </c>
      <c r="B420" s="47" t="s">
        <v>71</v>
      </c>
      <c r="C420" s="149"/>
      <c r="D420" s="149"/>
      <c r="E420" s="52"/>
      <c r="F420" s="52"/>
      <c r="G420" s="150" t="s">
        <v>447</v>
      </c>
      <c r="H420" s="46" t="s">
        <v>198</v>
      </c>
      <c r="I420" s="54"/>
      <c r="J420" s="155"/>
      <c r="K420" s="54"/>
      <c r="L420" s="54" t="s">
        <v>448</v>
      </c>
    </row>
    <row r="421" ht="34.5" customHeight="1">
      <c r="A421" s="36" t="s">
        <v>1095</v>
      </c>
      <c r="B421" s="37" t="s">
        <v>71</v>
      </c>
      <c r="C421" s="50" t="s">
        <v>64</v>
      </c>
      <c r="D421" s="62" t="s">
        <v>92</v>
      </c>
      <c r="E421" s="42" t="s">
        <v>67</v>
      </c>
      <c r="F421" s="42" t="s">
        <v>97</v>
      </c>
      <c r="G421" s="43" t="s">
        <v>55</v>
      </c>
      <c r="H421" s="36" t="s">
        <v>163</v>
      </c>
      <c r="I421" s="44" t="s">
        <v>1096</v>
      </c>
      <c r="J421" s="45" t="s">
        <v>1097</v>
      </c>
      <c r="K421" s="44"/>
      <c r="L421" s="44"/>
    </row>
    <row r="422" ht="34.5" customHeight="1">
      <c r="A422" s="46" t="s">
        <v>1098</v>
      </c>
      <c r="B422" s="47" t="s">
        <v>71</v>
      </c>
      <c r="C422" s="50" t="s">
        <v>64</v>
      </c>
      <c r="D422" s="152" t="s">
        <v>218</v>
      </c>
      <c r="E422" s="52" t="s">
        <v>67</v>
      </c>
      <c r="F422" s="52" t="s">
        <v>219</v>
      </c>
      <c r="G422" s="43" t="s">
        <v>55</v>
      </c>
      <c r="H422" s="46" t="s">
        <v>56</v>
      </c>
      <c r="I422" s="54" t="s">
        <v>1099</v>
      </c>
      <c r="J422" s="55" t="s">
        <v>1100</v>
      </c>
      <c r="K422" s="54"/>
      <c r="L422" s="54"/>
    </row>
    <row r="423" ht="39.75" customHeight="1">
      <c r="A423" s="36" t="s">
        <v>1101</v>
      </c>
      <c r="B423" s="37" t="s">
        <v>71</v>
      </c>
      <c r="C423" s="149"/>
      <c r="D423" s="149"/>
      <c r="E423" s="42"/>
      <c r="F423" s="42"/>
      <c r="G423" s="150" t="s">
        <v>447</v>
      </c>
      <c r="H423" s="36" t="s">
        <v>198</v>
      </c>
      <c r="I423" s="44"/>
      <c r="J423" s="151"/>
      <c r="K423" s="44"/>
      <c r="L423" s="44" t="s">
        <v>448</v>
      </c>
    </row>
    <row r="424" ht="39.75" customHeight="1">
      <c r="A424" s="46" t="s">
        <v>1102</v>
      </c>
      <c r="B424" s="47" t="s">
        <v>71</v>
      </c>
      <c r="C424" s="149"/>
      <c r="D424" s="149"/>
      <c r="E424" s="52"/>
      <c r="F424" s="52"/>
      <c r="G424" s="150" t="s">
        <v>447</v>
      </c>
      <c r="H424" s="46" t="s">
        <v>198</v>
      </c>
      <c r="I424" s="54"/>
      <c r="J424" s="155"/>
      <c r="K424" s="54"/>
      <c r="L424" s="54" t="s">
        <v>448</v>
      </c>
    </row>
    <row r="425" ht="34.5" customHeight="1">
      <c r="A425" s="36" t="s">
        <v>1103</v>
      </c>
      <c r="B425" s="37" t="s">
        <v>71</v>
      </c>
      <c r="C425" s="49" t="s">
        <v>63</v>
      </c>
      <c r="D425" s="62" t="s">
        <v>92</v>
      </c>
      <c r="E425" s="42" t="s">
        <v>65</v>
      </c>
      <c r="F425" s="42" t="s">
        <v>97</v>
      </c>
      <c r="G425" s="43" t="s">
        <v>55</v>
      </c>
      <c r="H425" s="36" t="s">
        <v>163</v>
      </c>
      <c r="I425" s="44" t="s">
        <v>1104</v>
      </c>
      <c r="J425" s="45" t="s">
        <v>1105</v>
      </c>
      <c r="K425" s="44"/>
      <c r="L425" s="44"/>
    </row>
    <row r="426" ht="34.5" customHeight="1">
      <c r="A426" s="46" t="s">
        <v>1106</v>
      </c>
      <c r="B426" s="47" t="s">
        <v>71</v>
      </c>
      <c r="C426" s="49" t="s">
        <v>63</v>
      </c>
      <c r="D426" s="50" t="s">
        <v>64</v>
      </c>
      <c r="E426" s="52" t="s">
        <v>65</v>
      </c>
      <c r="F426" s="52" t="s">
        <v>67</v>
      </c>
      <c r="G426" s="43" t="s">
        <v>55</v>
      </c>
      <c r="H426" s="46" t="s">
        <v>56</v>
      </c>
      <c r="I426" s="54" t="s">
        <v>1107</v>
      </c>
      <c r="J426" s="55" t="s">
        <v>1108</v>
      </c>
      <c r="K426" s="54"/>
      <c r="L426" s="54" t="s">
        <v>1109</v>
      </c>
    </row>
    <row r="427" ht="39.75" customHeight="1">
      <c r="A427" s="36" t="s">
        <v>1110</v>
      </c>
      <c r="B427" s="37" t="s">
        <v>71</v>
      </c>
      <c r="C427" s="149"/>
      <c r="D427" s="149"/>
      <c r="E427" s="42"/>
      <c r="F427" s="42"/>
      <c r="G427" s="150" t="s">
        <v>447</v>
      </c>
      <c r="H427" s="36" t="s">
        <v>198</v>
      </c>
      <c r="I427" s="44"/>
      <c r="J427" s="151"/>
      <c r="K427" s="44"/>
      <c r="L427" s="44" t="s">
        <v>448</v>
      </c>
    </row>
    <row r="428" ht="39.75" customHeight="1">
      <c r="A428" s="46" t="s">
        <v>1111</v>
      </c>
      <c r="B428" s="47" t="s">
        <v>71</v>
      </c>
      <c r="C428" s="149"/>
      <c r="D428" s="149"/>
      <c r="E428" s="52"/>
      <c r="F428" s="52"/>
      <c r="G428" s="150" t="s">
        <v>447</v>
      </c>
      <c r="H428" s="46" t="s">
        <v>198</v>
      </c>
      <c r="I428" s="54"/>
      <c r="J428" s="155"/>
      <c r="K428" s="54"/>
      <c r="L428" s="54" t="s">
        <v>448</v>
      </c>
    </row>
    <row r="429" ht="39.75" customHeight="1">
      <c r="A429" s="36" t="s">
        <v>1112</v>
      </c>
      <c r="B429" s="37" t="s">
        <v>71</v>
      </c>
      <c r="C429" s="50" t="s">
        <v>64</v>
      </c>
      <c r="D429" s="169" t="s">
        <v>176</v>
      </c>
      <c r="E429" s="42" t="s">
        <v>67</v>
      </c>
      <c r="F429" s="42" t="s">
        <v>178</v>
      </c>
      <c r="G429" s="43" t="s">
        <v>55</v>
      </c>
      <c r="H429" s="36" t="s">
        <v>163</v>
      </c>
      <c r="I429" s="44" t="s">
        <v>1113</v>
      </c>
      <c r="J429" s="45" t="s">
        <v>1114</v>
      </c>
      <c r="K429" s="44"/>
      <c r="L429" s="44" t="s">
        <v>1115</v>
      </c>
    </row>
    <row r="430" ht="39.75" customHeight="1">
      <c r="A430" s="46" t="s">
        <v>1116</v>
      </c>
      <c r="B430" s="47" t="s">
        <v>71</v>
      </c>
      <c r="C430" s="50" t="s">
        <v>64</v>
      </c>
      <c r="D430" s="169" t="s">
        <v>176</v>
      </c>
      <c r="E430" s="52" t="s">
        <v>67</v>
      </c>
      <c r="F430" s="52" t="s">
        <v>178</v>
      </c>
      <c r="G430" s="43" t="s">
        <v>55</v>
      </c>
      <c r="H430" s="53" t="s">
        <v>187</v>
      </c>
      <c r="I430" s="54" t="s">
        <v>1113</v>
      </c>
      <c r="J430" s="55" t="s">
        <v>1114</v>
      </c>
      <c r="K430" s="54"/>
      <c r="L430" s="54" t="s">
        <v>1117</v>
      </c>
    </row>
    <row r="431" ht="34.5" customHeight="1">
      <c r="A431" s="36" t="s">
        <v>1118</v>
      </c>
      <c r="B431" s="37" t="s">
        <v>71</v>
      </c>
      <c r="C431" s="49" t="s">
        <v>63</v>
      </c>
      <c r="D431" s="62" t="s">
        <v>92</v>
      </c>
      <c r="E431" s="42" t="s">
        <v>65</v>
      </c>
      <c r="F431" s="42" t="s">
        <v>97</v>
      </c>
      <c r="G431" s="43" t="s">
        <v>55</v>
      </c>
      <c r="H431" s="36" t="s">
        <v>163</v>
      </c>
      <c r="I431" s="44" t="s">
        <v>1119</v>
      </c>
      <c r="J431" s="45" t="s">
        <v>1120</v>
      </c>
      <c r="K431" s="44"/>
      <c r="L431" s="44"/>
    </row>
    <row r="432" ht="34.5" customHeight="1">
      <c r="A432" s="46" t="s">
        <v>1121</v>
      </c>
      <c r="B432" s="47" t="s">
        <v>71</v>
      </c>
      <c r="C432" s="49" t="s">
        <v>63</v>
      </c>
      <c r="D432" s="62" t="s">
        <v>92</v>
      </c>
      <c r="E432" s="52" t="s">
        <v>65</v>
      </c>
      <c r="F432" s="52" t="s">
        <v>97</v>
      </c>
      <c r="G432" s="43" t="s">
        <v>55</v>
      </c>
      <c r="H432" s="53" t="s">
        <v>187</v>
      </c>
      <c r="I432" s="54" t="s">
        <v>1119</v>
      </c>
      <c r="J432" s="55" t="s">
        <v>1120</v>
      </c>
      <c r="K432" s="54"/>
      <c r="L432" s="54" t="s">
        <v>1122</v>
      </c>
    </row>
    <row r="433" ht="39.75" customHeight="1">
      <c r="A433" s="36" t="s">
        <v>1123</v>
      </c>
      <c r="B433" s="37" t="s">
        <v>71</v>
      </c>
      <c r="C433" s="149"/>
      <c r="D433" s="149"/>
      <c r="E433" s="42"/>
      <c r="F433" s="42"/>
      <c r="G433" s="150" t="s">
        <v>447</v>
      </c>
      <c r="H433" s="36" t="s">
        <v>198</v>
      </c>
      <c r="I433" s="44"/>
      <c r="J433" s="151"/>
      <c r="K433" s="44"/>
      <c r="L433" s="44" t="s">
        <v>448</v>
      </c>
    </row>
    <row r="434" ht="39.75" customHeight="1">
      <c r="A434" s="46" t="s">
        <v>1124</v>
      </c>
      <c r="B434" s="47" t="s">
        <v>71</v>
      </c>
      <c r="C434" s="149"/>
      <c r="D434" s="149"/>
      <c r="E434" s="52"/>
      <c r="F434" s="52"/>
      <c r="G434" s="150" t="s">
        <v>447</v>
      </c>
      <c r="H434" s="46" t="s">
        <v>198</v>
      </c>
      <c r="I434" s="54"/>
      <c r="J434" s="155"/>
      <c r="K434" s="54"/>
      <c r="L434" s="54" t="s">
        <v>448</v>
      </c>
    </row>
    <row r="435" ht="39.75" customHeight="1">
      <c r="A435" s="36" t="s">
        <v>1125</v>
      </c>
      <c r="B435" s="37" t="s">
        <v>71</v>
      </c>
      <c r="C435" s="149"/>
      <c r="D435" s="149"/>
      <c r="E435" s="42"/>
      <c r="F435" s="42"/>
      <c r="G435" s="150" t="s">
        <v>447</v>
      </c>
      <c r="H435" s="36" t="s">
        <v>198</v>
      </c>
      <c r="I435" s="44"/>
      <c r="J435" s="151"/>
      <c r="K435" s="44"/>
      <c r="L435" s="44" t="s">
        <v>448</v>
      </c>
    </row>
    <row r="436" ht="39.75" customHeight="1">
      <c r="A436" s="46" t="s">
        <v>1126</v>
      </c>
      <c r="B436" s="47" t="s">
        <v>71</v>
      </c>
      <c r="C436" s="149"/>
      <c r="D436" s="149"/>
      <c r="E436" s="52"/>
      <c r="F436" s="52"/>
      <c r="G436" s="150" t="s">
        <v>447</v>
      </c>
      <c r="H436" s="46" t="s">
        <v>198</v>
      </c>
      <c r="I436" s="54"/>
      <c r="J436" s="155"/>
      <c r="K436" s="54"/>
      <c r="L436" s="54" t="s">
        <v>448</v>
      </c>
    </row>
    <row r="437" ht="39.75" customHeight="1">
      <c r="A437" s="36" t="s">
        <v>1127</v>
      </c>
      <c r="B437" s="37" t="s">
        <v>71</v>
      </c>
      <c r="C437" s="49" t="s">
        <v>63</v>
      </c>
      <c r="D437" s="86" t="s">
        <v>164</v>
      </c>
      <c r="E437" s="42" t="s">
        <v>65</v>
      </c>
      <c r="F437" s="42" t="s">
        <v>165</v>
      </c>
      <c r="G437" s="43" t="s">
        <v>55</v>
      </c>
      <c r="H437" s="36" t="s">
        <v>163</v>
      </c>
      <c r="I437" s="44" t="s">
        <v>1128</v>
      </c>
      <c r="J437" s="45" t="s">
        <v>1129</v>
      </c>
      <c r="K437" s="44"/>
      <c r="L437" s="44" t="s">
        <v>1131</v>
      </c>
    </row>
    <row r="438" ht="39.75" customHeight="1">
      <c r="A438" s="46" t="s">
        <v>1132</v>
      </c>
      <c r="B438" s="47" t="s">
        <v>71</v>
      </c>
      <c r="C438" s="149"/>
      <c r="D438" s="149"/>
      <c r="E438" s="52"/>
      <c r="F438" s="52"/>
      <c r="G438" s="150" t="s">
        <v>447</v>
      </c>
      <c r="H438" s="46" t="s">
        <v>198</v>
      </c>
      <c r="I438" s="54"/>
      <c r="J438" s="155"/>
      <c r="K438" s="54"/>
      <c r="L438" s="54" t="s">
        <v>448</v>
      </c>
    </row>
    <row r="439" ht="39.75" customHeight="1">
      <c r="A439" s="36" t="s">
        <v>1133</v>
      </c>
      <c r="B439" s="37" t="s">
        <v>71</v>
      </c>
      <c r="C439" s="149"/>
      <c r="D439" s="149"/>
      <c r="E439" s="42"/>
      <c r="F439" s="42"/>
      <c r="G439" s="150" t="s">
        <v>447</v>
      </c>
      <c r="H439" s="36" t="s">
        <v>198</v>
      </c>
      <c r="I439" s="44"/>
      <c r="J439" s="151"/>
      <c r="K439" s="44"/>
      <c r="L439" s="44" t="s">
        <v>448</v>
      </c>
    </row>
    <row r="440" ht="34.5" customHeight="1">
      <c r="A440" s="46" t="s">
        <v>1137</v>
      </c>
      <c r="B440" s="47" t="s">
        <v>71</v>
      </c>
      <c r="C440" s="50" t="s">
        <v>64</v>
      </c>
      <c r="D440" s="86" t="s">
        <v>164</v>
      </c>
      <c r="E440" s="52" t="s">
        <v>67</v>
      </c>
      <c r="F440" s="52" t="s">
        <v>165</v>
      </c>
      <c r="G440" s="43" t="s">
        <v>55</v>
      </c>
      <c r="H440" s="46" t="s">
        <v>163</v>
      </c>
      <c r="I440" s="54" t="s">
        <v>1138</v>
      </c>
      <c r="J440" s="55" t="s">
        <v>1139</v>
      </c>
      <c r="K440" s="54"/>
      <c r="L440" s="54"/>
    </row>
    <row r="441" ht="39.75" customHeight="1">
      <c r="A441" s="36" t="s">
        <v>1142</v>
      </c>
      <c r="B441" s="37" t="s">
        <v>71</v>
      </c>
      <c r="C441" s="149"/>
      <c r="D441" s="149"/>
      <c r="E441" s="42"/>
      <c r="F441" s="42"/>
      <c r="G441" s="150" t="s">
        <v>447</v>
      </c>
      <c r="H441" s="36" t="s">
        <v>198</v>
      </c>
      <c r="I441" s="44"/>
      <c r="J441" s="151"/>
      <c r="K441" s="44"/>
      <c r="L441" s="44" t="s">
        <v>448</v>
      </c>
    </row>
    <row r="442" ht="34.5" customHeight="1">
      <c r="A442" s="46" t="s">
        <v>1143</v>
      </c>
      <c r="B442" s="47" t="s">
        <v>71</v>
      </c>
      <c r="C442" s="50" t="s">
        <v>64</v>
      </c>
      <c r="D442" s="62" t="s">
        <v>92</v>
      </c>
      <c r="E442" s="52" t="s">
        <v>67</v>
      </c>
      <c r="F442" s="52" t="s">
        <v>97</v>
      </c>
      <c r="G442" s="43" t="s">
        <v>55</v>
      </c>
      <c r="H442" s="46" t="s">
        <v>163</v>
      </c>
      <c r="I442" s="54" t="s">
        <v>1145</v>
      </c>
      <c r="J442" s="55" t="s">
        <v>1146</v>
      </c>
      <c r="K442" s="54"/>
      <c r="L442" s="54"/>
    </row>
    <row r="443" ht="39.75" customHeight="1">
      <c r="A443" s="36" t="s">
        <v>1148</v>
      </c>
      <c r="B443" s="37" t="s">
        <v>71</v>
      </c>
      <c r="C443" s="149"/>
      <c r="D443" s="149"/>
      <c r="E443" s="42"/>
      <c r="F443" s="42"/>
      <c r="G443" s="150" t="s">
        <v>447</v>
      </c>
      <c r="H443" s="36" t="s">
        <v>198</v>
      </c>
      <c r="I443" s="44"/>
      <c r="J443" s="151"/>
      <c r="K443" s="44"/>
      <c r="L443" s="44" t="s">
        <v>448</v>
      </c>
    </row>
    <row r="444" ht="39.75" customHeight="1">
      <c r="A444" s="46" t="s">
        <v>1150</v>
      </c>
      <c r="B444" s="47" t="s">
        <v>71</v>
      </c>
      <c r="C444" s="149"/>
      <c r="D444" s="149"/>
      <c r="E444" s="52"/>
      <c r="F444" s="52"/>
      <c r="G444" s="150" t="s">
        <v>447</v>
      </c>
      <c r="H444" s="46" t="s">
        <v>198</v>
      </c>
      <c r="I444" s="54"/>
      <c r="J444" s="155"/>
      <c r="K444" s="54"/>
      <c r="L444" s="54" t="s">
        <v>448</v>
      </c>
    </row>
    <row r="445" ht="39.75" customHeight="1">
      <c r="A445" s="36" t="s">
        <v>1152</v>
      </c>
      <c r="B445" s="37" t="s">
        <v>71</v>
      </c>
      <c r="C445" s="149"/>
      <c r="D445" s="149"/>
      <c r="E445" s="42"/>
      <c r="F445" s="42"/>
      <c r="G445" s="150" t="s">
        <v>447</v>
      </c>
      <c r="H445" s="36" t="s">
        <v>198</v>
      </c>
      <c r="I445" s="44"/>
      <c r="J445" s="151"/>
      <c r="K445" s="44"/>
      <c r="L445" s="44" t="s">
        <v>448</v>
      </c>
    </row>
    <row r="446" ht="39.75" customHeight="1">
      <c r="A446" s="46" t="s">
        <v>1154</v>
      </c>
      <c r="B446" s="47" t="s">
        <v>71</v>
      </c>
      <c r="C446" s="149"/>
      <c r="D446" s="149"/>
      <c r="E446" s="52"/>
      <c r="F446" s="52"/>
      <c r="G446" s="150" t="s">
        <v>447</v>
      </c>
      <c r="H446" s="46" t="s">
        <v>198</v>
      </c>
      <c r="I446" s="54"/>
      <c r="J446" s="155"/>
      <c r="K446" s="54"/>
      <c r="L446" s="54" t="s">
        <v>448</v>
      </c>
    </row>
    <row r="447" ht="39.75" customHeight="1">
      <c r="A447" s="36" t="s">
        <v>1156</v>
      </c>
      <c r="B447" s="37" t="s">
        <v>71</v>
      </c>
      <c r="C447" s="149"/>
      <c r="D447" s="149"/>
      <c r="E447" s="42"/>
      <c r="F447" s="42"/>
      <c r="G447" s="150" t="s">
        <v>447</v>
      </c>
      <c r="H447" s="36" t="s">
        <v>198</v>
      </c>
      <c r="I447" s="44"/>
      <c r="J447" s="151"/>
      <c r="K447" s="44"/>
      <c r="L447" s="44" t="s">
        <v>448</v>
      </c>
    </row>
    <row r="448" ht="34.5" customHeight="1">
      <c r="A448" s="46" t="s">
        <v>1158</v>
      </c>
      <c r="B448" s="47" t="s">
        <v>71</v>
      </c>
      <c r="C448" s="49" t="s">
        <v>63</v>
      </c>
      <c r="D448" s="86" t="s">
        <v>164</v>
      </c>
      <c r="E448" s="52" t="s">
        <v>65</v>
      </c>
      <c r="F448" s="52" t="s">
        <v>165</v>
      </c>
      <c r="G448" s="43" t="s">
        <v>55</v>
      </c>
      <c r="H448" s="46" t="s">
        <v>163</v>
      </c>
      <c r="I448" s="54" t="s">
        <v>1160</v>
      </c>
      <c r="J448" s="55" t="s">
        <v>1161</v>
      </c>
      <c r="K448" s="54"/>
      <c r="L448" s="54"/>
    </row>
    <row r="449" ht="39.75" customHeight="1">
      <c r="A449" s="36" t="s">
        <v>1162</v>
      </c>
      <c r="B449" s="37" t="s">
        <v>71</v>
      </c>
      <c r="C449" s="149"/>
      <c r="D449" s="149"/>
      <c r="E449" s="42"/>
      <c r="F449" s="42"/>
      <c r="G449" s="150" t="s">
        <v>447</v>
      </c>
      <c r="H449" s="36" t="s">
        <v>198</v>
      </c>
      <c r="I449" s="44"/>
      <c r="J449" s="151"/>
      <c r="K449" s="44"/>
      <c r="L449" s="44" t="s">
        <v>448</v>
      </c>
    </row>
    <row r="450" ht="39.75" customHeight="1">
      <c r="A450" s="46" t="s">
        <v>1164</v>
      </c>
      <c r="B450" s="47" t="s">
        <v>71</v>
      </c>
      <c r="C450" s="149"/>
      <c r="D450" s="149"/>
      <c r="E450" s="52"/>
      <c r="F450" s="52"/>
      <c r="G450" s="150" t="s">
        <v>447</v>
      </c>
      <c r="H450" s="46" t="s">
        <v>198</v>
      </c>
      <c r="I450" s="54"/>
      <c r="J450" s="155"/>
      <c r="K450" s="54"/>
      <c r="L450" s="54" t="s">
        <v>448</v>
      </c>
    </row>
    <row r="451" ht="39.75" customHeight="1">
      <c r="A451" s="36" t="s">
        <v>1165</v>
      </c>
      <c r="B451" s="37" t="s">
        <v>71</v>
      </c>
      <c r="C451" s="149"/>
      <c r="D451" s="149"/>
      <c r="E451" s="42"/>
      <c r="F451" s="42"/>
      <c r="G451" s="150" t="s">
        <v>447</v>
      </c>
      <c r="H451" s="36" t="s">
        <v>198</v>
      </c>
      <c r="I451" s="44"/>
      <c r="J451" s="151"/>
      <c r="K451" s="44"/>
      <c r="L451" s="44" t="s">
        <v>448</v>
      </c>
    </row>
    <row r="452" ht="39.75" customHeight="1">
      <c r="A452" s="46" t="s">
        <v>1166</v>
      </c>
      <c r="B452" s="47" t="s">
        <v>71</v>
      </c>
      <c r="C452" s="149"/>
      <c r="D452" s="149"/>
      <c r="E452" s="52"/>
      <c r="F452" s="52"/>
      <c r="G452" s="150" t="s">
        <v>447</v>
      </c>
      <c r="H452" s="46" t="s">
        <v>198</v>
      </c>
      <c r="I452" s="54"/>
      <c r="J452" s="155"/>
      <c r="K452" s="54"/>
      <c r="L452" s="54" t="s">
        <v>448</v>
      </c>
    </row>
    <row r="453" ht="39.75" customHeight="1">
      <c r="A453" s="36" t="s">
        <v>1167</v>
      </c>
      <c r="B453" s="37" t="s">
        <v>71</v>
      </c>
      <c r="C453" s="149"/>
      <c r="D453" s="149"/>
      <c r="E453" s="42"/>
      <c r="F453" s="42"/>
      <c r="G453" s="150" t="s">
        <v>447</v>
      </c>
      <c r="H453" s="36" t="s">
        <v>198</v>
      </c>
      <c r="I453" s="44"/>
      <c r="J453" s="151"/>
      <c r="K453" s="44"/>
      <c r="L453" s="44" t="s">
        <v>448</v>
      </c>
    </row>
    <row r="454" ht="39.75" customHeight="1">
      <c r="A454" s="46" t="s">
        <v>1168</v>
      </c>
      <c r="B454" s="47" t="s">
        <v>71</v>
      </c>
      <c r="C454" s="149"/>
      <c r="D454" s="149"/>
      <c r="E454" s="52"/>
      <c r="F454" s="52"/>
      <c r="G454" s="150" t="s">
        <v>447</v>
      </c>
      <c r="H454" s="46" t="s">
        <v>198</v>
      </c>
      <c r="I454" s="54"/>
      <c r="J454" s="155"/>
      <c r="K454" s="54"/>
      <c r="L454" s="54" t="s">
        <v>448</v>
      </c>
    </row>
    <row r="455" ht="34.5" customHeight="1">
      <c r="A455" s="36" t="s">
        <v>1130</v>
      </c>
      <c r="B455" s="37" t="s">
        <v>71</v>
      </c>
      <c r="C455" s="49" t="s">
        <v>63</v>
      </c>
      <c r="D455" s="50" t="s">
        <v>64</v>
      </c>
      <c r="E455" s="42" t="s">
        <v>65</v>
      </c>
      <c r="F455" s="42" t="s">
        <v>67</v>
      </c>
      <c r="G455" s="43" t="s">
        <v>55</v>
      </c>
      <c r="H455" s="36" t="s">
        <v>163</v>
      </c>
      <c r="I455" s="44" t="s">
        <v>1169</v>
      </c>
      <c r="J455" s="45" t="s">
        <v>1134</v>
      </c>
      <c r="K455" s="44"/>
      <c r="L455" s="44" t="s">
        <v>1135</v>
      </c>
    </row>
    <row r="456" ht="39.75" customHeight="1">
      <c r="A456" s="46" t="s">
        <v>1170</v>
      </c>
      <c r="B456" s="47" t="s">
        <v>71</v>
      </c>
      <c r="C456" s="49" t="s">
        <v>63</v>
      </c>
      <c r="D456" s="50" t="s">
        <v>64</v>
      </c>
      <c r="E456" s="52" t="s">
        <v>65</v>
      </c>
      <c r="F456" s="52" t="s">
        <v>67</v>
      </c>
      <c r="G456" s="43" t="s">
        <v>55</v>
      </c>
      <c r="H456" s="53" t="s">
        <v>187</v>
      </c>
      <c r="I456" s="54" t="s">
        <v>1169</v>
      </c>
      <c r="J456" s="55" t="s">
        <v>1134</v>
      </c>
      <c r="K456" s="54"/>
      <c r="L456" s="54" t="s">
        <v>1171</v>
      </c>
    </row>
    <row r="457" ht="39.75" customHeight="1">
      <c r="A457" s="36" t="s">
        <v>1172</v>
      </c>
      <c r="B457" s="37" t="s">
        <v>71</v>
      </c>
      <c r="C457" s="149"/>
      <c r="D457" s="149"/>
      <c r="E457" s="42"/>
      <c r="F457" s="42"/>
      <c r="G457" s="150" t="s">
        <v>447</v>
      </c>
      <c r="H457" s="36" t="s">
        <v>198</v>
      </c>
      <c r="I457" s="44"/>
      <c r="J457" s="151"/>
      <c r="K457" s="44"/>
      <c r="L457" s="44" t="s">
        <v>448</v>
      </c>
    </row>
    <row r="458" ht="39.75" customHeight="1">
      <c r="A458" s="46" t="s">
        <v>1173</v>
      </c>
      <c r="B458" s="47" t="s">
        <v>71</v>
      </c>
      <c r="C458" s="149"/>
      <c r="D458" s="149"/>
      <c r="E458" s="52"/>
      <c r="F458" s="52"/>
      <c r="G458" s="150" t="s">
        <v>447</v>
      </c>
      <c r="H458" s="46" t="s">
        <v>198</v>
      </c>
      <c r="I458" s="54"/>
      <c r="J458" s="155"/>
      <c r="K458" s="54"/>
      <c r="L458" s="54" t="s">
        <v>448</v>
      </c>
    </row>
    <row r="459" ht="34.5" customHeight="1">
      <c r="A459" s="36" t="s">
        <v>1136</v>
      </c>
      <c r="B459" s="37" t="s">
        <v>71</v>
      </c>
      <c r="C459" s="41" t="s">
        <v>52</v>
      </c>
      <c r="D459" s="79" t="s">
        <v>150</v>
      </c>
      <c r="E459" s="42" t="s">
        <v>54</v>
      </c>
      <c r="F459" s="42" t="s">
        <v>153</v>
      </c>
      <c r="G459" s="43" t="s">
        <v>55</v>
      </c>
      <c r="H459" s="36" t="s">
        <v>56</v>
      </c>
      <c r="I459" s="44" t="s">
        <v>1174</v>
      </c>
      <c r="J459" s="45" t="s">
        <v>1140</v>
      </c>
      <c r="K459" s="44"/>
      <c r="L459" s="44"/>
    </row>
    <row r="460" ht="34.5" customHeight="1">
      <c r="A460" s="46" t="s">
        <v>1175</v>
      </c>
      <c r="B460" s="47" t="s">
        <v>71</v>
      </c>
      <c r="C460" s="50" t="s">
        <v>64</v>
      </c>
      <c r="D460" s="152" t="s">
        <v>218</v>
      </c>
      <c r="E460" s="52" t="s">
        <v>67</v>
      </c>
      <c r="F460" s="52" t="s">
        <v>219</v>
      </c>
      <c r="G460" s="43" t="s">
        <v>55</v>
      </c>
      <c r="H460" s="46" t="s">
        <v>163</v>
      </c>
      <c r="I460" s="54" t="s">
        <v>1177</v>
      </c>
      <c r="J460" s="55" t="s">
        <v>1178</v>
      </c>
      <c r="K460" s="54"/>
      <c r="L460" s="54"/>
    </row>
    <row r="461" ht="39.75" customHeight="1">
      <c r="A461" s="36" t="s">
        <v>1180</v>
      </c>
      <c r="B461" s="37" t="s">
        <v>71</v>
      </c>
      <c r="C461" s="50" t="s">
        <v>64</v>
      </c>
      <c r="D461" s="152" t="s">
        <v>218</v>
      </c>
      <c r="E461" s="42" t="s">
        <v>67</v>
      </c>
      <c r="F461" s="42" t="s">
        <v>219</v>
      </c>
      <c r="G461" s="43" t="s">
        <v>55</v>
      </c>
      <c r="H461" s="59" t="s">
        <v>187</v>
      </c>
      <c r="I461" s="44" t="s">
        <v>1177</v>
      </c>
      <c r="J461" s="45" t="s">
        <v>1178</v>
      </c>
      <c r="K461" s="44"/>
      <c r="L461" s="44" t="s">
        <v>1181</v>
      </c>
    </row>
    <row r="462" ht="39.75" customHeight="1">
      <c r="A462" s="46" t="s">
        <v>1182</v>
      </c>
      <c r="B462" s="47" t="s">
        <v>71</v>
      </c>
      <c r="C462" s="149"/>
      <c r="D462" s="149"/>
      <c r="E462" s="52"/>
      <c r="F462" s="52"/>
      <c r="G462" s="150" t="s">
        <v>447</v>
      </c>
      <c r="H462" s="46" t="s">
        <v>198</v>
      </c>
      <c r="I462" s="54"/>
      <c r="J462" s="155"/>
      <c r="K462" s="54"/>
      <c r="L462" s="54" t="s">
        <v>448</v>
      </c>
    </row>
    <row r="463" ht="39.75" customHeight="1">
      <c r="A463" s="36" t="s">
        <v>1183</v>
      </c>
      <c r="B463" s="37" t="s">
        <v>71</v>
      </c>
      <c r="C463" s="149"/>
      <c r="D463" s="149"/>
      <c r="E463" s="42"/>
      <c r="F463" s="42"/>
      <c r="G463" s="150" t="s">
        <v>447</v>
      </c>
      <c r="H463" s="36" t="s">
        <v>198</v>
      </c>
      <c r="I463" s="44"/>
      <c r="J463" s="151"/>
      <c r="K463" s="44"/>
      <c r="L463" s="44" t="s">
        <v>448</v>
      </c>
    </row>
    <row r="464" ht="39.75" customHeight="1">
      <c r="A464" s="46" t="s">
        <v>1184</v>
      </c>
      <c r="B464" s="47" t="s">
        <v>71</v>
      </c>
      <c r="C464" s="149"/>
      <c r="D464" s="149"/>
      <c r="E464" s="52"/>
      <c r="F464" s="52"/>
      <c r="G464" s="150" t="s">
        <v>447</v>
      </c>
      <c r="H464" s="46" t="s">
        <v>198</v>
      </c>
      <c r="I464" s="54"/>
      <c r="J464" s="155"/>
      <c r="K464" s="54"/>
      <c r="L464" s="54" t="s">
        <v>448</v>
      </c>
    </row>
    <row r="465" ht="39.75" customHeight="1">
      <c r="A465" s="36" t="s">
        <v>1185</v>
      </c>
      <c r="B465" s="37" t="s">
        <v>71</v>
      </c>
      <c r="C465" s="149"/>
      <c r="D465" s="149"/>
      <c r="E465" s="42"/>
      <c r="F465" s="42"/>
      <c r="G465" s="150" t="s">
        <v>447</v>
      </c>
      <c r="H465" s="36" t="s">
        <v>198</v>
      </c>
      <c r="I465" s="44"/>
      <c r="J465" s="151"/>
      <c r="K465" s="44"/>
      <c r="L465" s="44" t="s">
        <v>448</v>
      </c>
    </row>
    <row r="466" ht="39.75" customHeight="1">
      <c r="A466" s="46" t="s">
        <v>1187</v>
      </c>
      <c r="B466" s="47" t="s">
        <v>71</v>
      </c>
      <c r="C466" s="149"/>
      <c r="D466" s="149"/>
      <c r="E466" s="52"/>
      <c r="F466" s="52"/>
      <c r="G466" s="150" t="s">
        <v>447</v>
      </c>
      <c r="H466" s="46" t="s">
        <v>198</v>
      </c>
      <c r="I466" s="54"/>
      <c r="J466" s="155"/>
      <c r="K466" s="54"/>
      <c r="L466" s="54" t="s">
        <v>448</v>
      </c>
    </row>
    <row r="467" ht="39.75" customHeight="1">
      <c r="A467" s="36" t="s">
        <v>1188</v>
      </c>
      <c r="B467" s="37" t="s">
        <v>71</v>
      </c>
      <c r="C467" s="149"/>
      <c r="D467" s="149"/>
      <c r="E467" s="42"/>
      <c r="F467" s="42"/>
      <c r="G467" s="150" t="s">
        <v>447</v>
      </c>
      <c r="H467" s="36" t="s">
        <v>198</v>
      </c>
      <c r="I467" s="44"/>
      <c r="J467" s="151"/>
      <c r="K467" s="44"/>
      <c r="L467" s="44" t="s">
        <v>448</v>
      </c>
    </row>
    <row r="468" ht="34.5" customHeight="1">
      <c r="A468" s="46" t="s">
        <v>1141</v>
      </c>
      <c r="B468" s="47" t="s">
        <v>71</v>
      </c>
      <c r="C468" s="56" t="s">
        <v>76</v>
      </c>
      <c r="D468" s="50" t="s">
        <v>64</v>
      </c>
      <c r="E468" s="52" t="s">
        <v>79</v>
      </c>
      <c r="F468" s="52" t="s">
        <v>67</v>
      </c>
      <c r="G468" s="43" t="s">
        <v>55</v>
      </c>
      <c r="H468" s="46" t="s">
        <v>56</v>
      </c>
      <c r="I468" s="54" t="s">
        <v>1192</v>
      </c>
      <c r="J468" s="55" t="s">
        <v>1144</v>
      </c>
      <c r="K468" s="54"/>
      <c r="L468" s="54"/>
    </row>
    <row r="469" ht="39.75" customHeight="1">
      <c r="A469" s="36" t="s">
        <v>1193</v>
      </c>
      <c r="B469" s="37" t="s">
        <v>71</v>
      </c>
      <c r="C469" s="149"/>
      <c r="D469" s="149"/>
      <c r="E469" s="42"/>
      <c r="F469" s="42"/>
      <c r="G469" s="150" t="s">
        <v>447</v>
      </c>
      <c r="H469" s="36" t="s">
        <v>198</v>
      </c>
      <c r="I469" s="44"/>
      <c r="J469" s="151"/>
      <c r="K469" s="44"/>
      <c r="L469" s="44" t="s">
        <v>448</v>
      </c>
    </row>
    <row r="470" ht="34.5" customHeight="1">
      <c r="A470" s="46" t="s">
        <v>1194</v>
      </c>
      <c r="B470" s="47" t="s">
        <v>71</v>
      </c>
      <c r="C470" s="50" t="s">
        <v>64</v>
      </c>
      <c r="D470" s="49" t="s">
        <v>63</v>
      </c>
      <c r="E470" s="52" t="s">
        <v>67</v>
      </c>
      <c r="F470" s="52" t="s">
        <v>65</v>
      </c>
      <c r="G470" s="43" t="s">
        <v>55</v>
      </c>
      <c r="H470" s="46" t="s">
        <v>163</v>
      </c>
      <c r="I470" s="54" t="s">
        <v>1196</v>
      </c>
      <c r="J470" s="55" t="s">
        <v>1197</v>
      </c>
      <c r="K470" s="54"/>
      <c r="L470" s="54"/>
    </row>
    <row r="471" ht="39.75" customHeight="1">
      <c r="A471" s="36" t="s">
        <v>1198</v>
      </c>
      <c r="B471" s="37" t="s">
        <v>71</v>
      </c>
      <c r="C471" s="149"/>
      <c r="D471" s="149"/>
      <c r="E471" s="42"/>
      <c r="F471" s="42"/>
      <c r="G471" s="150" t="s">
        <v>447</v>
      </c>
      <c r="H471" s="36" t="s">
        <v>198</v>
      </c>
      <c r="I471" s="44"/>
      <c r="J471" s="151"/>
      <c r="K471" s="44"/>
      <c r="L471" s="44" t="s">
        <v>448</v>
      </c>
    </row>
    <row r="472" ht="39.75" customHeight="1">
      <c r="A472" s="46" t="s">
        <v>1199</v>
      </c>
      <c r="B472" s="47" t="s">
        <v>71</v>
      </c>
      <c r="C472" s="149"/>
      <c r="D472" s="149"/>
      <c r="E472" s="52"/>
      <c r="F472" s="52"/>
      <c r="G472" s="150" t="s">
        <v>447</v>
      </c>
      <c r="H472" s="46" t="s">
        <v>198</v>
      </c>
      <c r="I472" s="54"/>
      <c r="J472" s="155"/>
      <c r="K472" s="54"/>
      <c r="L472" s="54" t="s">
        <v>448</v>
      </c>
    </row>
    <row r="473" ht="34.5" customHeight="1">
      <c r="A473" s="36" t="s">
        <v>1147</v>
      </c>
      <c r="B473" s="37" t="s">
        <v>71</v>
      </c>
      <c r="C473" s="49" t="s">
        <v>63</v>
      </c>
      <c r="D473" s="50" t="s">
        <v>64</v>
      </c>
      <c r="E473" s="42" t="s">
        <v>65</v>
      </c>
      <c r="F473" s="42" t="s">
        <v>67</v>
      </c>
      <c r="G473" s="43" t="s">
        <v>55</v>
      </c>
      <c r="H473" s="36" t="s">
        <v>163</v>
      </c>
      <c r="I473" s="44" t="s">
        <v>1201</v>
      </c>
      <c r="J473" s="45" t="s">
        <v>1149</v>
      </c>
      <c r="K473" s="44"/>
      <c r="L473" s="44"/>
    </row>
    <row r="474" ht="34.5" customHeight="1">
      <c r="A474" s="46" t="s">
        <v>1202</v>
      </c>
      <c r="B474" s="47" t="s">
        <v>71</v>
      </c>
      <c r="C474" s="49" t="s">
        <v>63</v>
      </c>
      <c r="D474" s="50" t="s">
        <v>64</v>
      </c>
      <c r="E474" s="52" t="s">
        <v>65</v>
      </c>
      <c r="F474" s="52" t="s">
        <v>67</v>
      </c>
      <c r="G474" s="43" t="s">
        <v>55</v>
      </c>
      <c r="H474" s="53" t="s">
        <v>187</v>
      </c>
      <c r="I474" s="54" t="s">
        <v>1201</v>
      </c>
      <c r="J474" s="55" t="s">
        <v>1149</v>
      </c>
      <c r="K474" s="54"/>
      <c r="L474" s="54" t="s">
        <v>1204</v>
      </c>
    </row>
    <row r="475" ht="39.75" customHeight="1">
      <c r="A475" s="36" t="s">
        <v>1205</v>
      </c>
      <c r="B475" s="37" t="s">
        <v>71</v>
      </c>
      <c r="C475" s="149"/>
      <c r="D475" s="149"/>
      <c r="E475" s="42"/>
      <c r="F475" s="42"/>
      <c r="G475" s="150" t="s">
        <v>447</v>
      </c>
      <c r="H475" s="36" t="s">
        <v>198</v>
      </c>
      <c r="I475" s="44"/>
      <c r="J475" s="151"/>
      <c r="K475" s="44"/>
      <c r="L475" s="44" t="s">
        <v>448</v>
      </c>
    </row>
    <row r="476" ht="34.5" customHeight="1">
      <c r="A476" s="46" t="s">
        <v>1206</v>
      </c>
      <c r="B476" s="47" t="s">
        <v>71</v>
      </c>
      <c r="C476" s="49" t="s">
        <v>63</v>
      </c>
      <c r="D476" s="62" t="s">
        <v>92</v>
      </c>
      <c r="E476" s="52" t="s">
        <v>65</v>
      </c>
      <c r="F476" s="52" t="s">
        <v>97</v>
      </c>
      <c r="G476" s="43" t="s">
        <v>55</v>
      </c>
      <c r="H476" s="46" t="s">
        <v>163</v>
      </c>
      <c r="I476" s="54" t="s">
        <v>1208</v>
      </c>
      <c r="J476" s="55" t="s">
        <v>1209</v>
      </c>
      <c r="K476" s="54"/>
      <c r="L476" s="54"/>
    </row>
    <row r="477" ht="39.75" customHeight="1">
      <c r="A477" s="36" t="s">
        <v>1210</v>
      </c>
      <c r="B477" s="37" t="s">
        <v>71</v>
      </c>
      <c r="C477" s="149"/>
      <c r="D477" s="149"/>
      <c r="E477" s="42"/>
      <c r="F477" s="42"/>
      <c r="G477" s="150" t="s">
        <v>447</v>
      </c>
      <c r="H477" s="36" t="s">
        <v>198</v>
      </c>
      <c r="I477" s="44"/>
      <c r="J477" s="151"/>
      <c r="K477" s="44"/>
      <c r="L477" s="44" t="s">
        <v>448</v>
      </c>
    </row>
    <row r="478" ht="39.75" customHeight="1">
      <c r="A478" s="46" t="s">
        <v>1212</v>
      </c>
      <c r="B478" s="47" t="s">
        <v>71</v>
      </c>
      <c r="C478" s="149"/>
      <c r="D478" s="149"/>
      <c r="E478" s="52"/>
      <c r="F478" s="52"/>
      <c r="G478" s="150" t="s">
        <v>447</v>
      </c>
      <c r="H478" s="46" t="s">
        <v>198</v>
      </c>
      <c r="I478" s="54"/>
      <c r="J478" s="155"/>
      <c r="K478" s="54"/>
      <c r="L478" s="54" t="s">
        <v>448</v>
      </c>
    </row>
    <row r="479" ht="39.75" customHeight="1">
      <c r="A479" s="36" t="s">
        <v>1214</v>
      </c>
      <c r="B479" s="37" t="s">
        <v>71</v>
      </c>
      <c r="C479" s="149"/>
      <c r="D479" s="149"/>
      <c r="E479" s="42"/>
      <c r="F479" s="42"/>
      <c r="G479" s="150" t="s">
        <v>447</v>
      </c>
      <c r="H479" s="36" t="s">
        <v>198</v>
      </c>
      <c r="I479" s="44"/>
      <c r="J479" s="151"/>
      <c r="K479" s="44"/>
      <c r="L479" s="44" t="s">
        <v>448</v>
      </c>
    </row>
    <row r="480" ht="39.75" customHeight="1">
      <c r="A480" s="46" t="s">
        <v>1216</v>
      </c>
      <c r="B480" s="47" t="s">
        <v>71</v>
      </c>
      <c r="C480" s="149"/>
      <c r="D480" s="149"/>
      <c r="E480" s="52"/>
      <c r="F480" s="52"/>
      <c r="G480" s="150" t="s">
        <v>447</v>
      </c>
      <c r="H480" s="46" t="s">
        <v>198</v>
      </c>
      <c r="I480" s="54"/>
      <c r="J480" s="155"/>
      <c r="K480" s="54"/>
      <c r="L480" s="54" t="s">
        <v>448</v>
      </c>
    </row>
    <row r="481" ht="39.75" customHeight="1">
      <c r="A481" s="36" t="s">
        <v>1217</v>
      </c>
      <c r="B481" s="37" t="s">
        <v>71</v>
      </c>
      <c r="C481" s="149"/>
      <c r="D481" s="149"/>
      <c r="E481" s="42"/>
      <c r="F481" s="42"/>
      <c r="G481" s="150" t="s">
        <v>447</v>
      </c>
      <c r="H481" s="36" t="s">
        <v>198</v>
      </c>
      <c r="I481" s="44"/>
      <c r="J481" s="151"/>
      <c r="K481" s="44"/>
      <c r="L481" s="44" t="s">
        <v>448</v>
      </c>
    </row>
    <row r="482" ht="34.5" customHeight="1">
      <c r="A482" s="46" t="s">
        <v>1219</v>
      </c>
      <c r="B482" s="47" t="s">
        <v>71</v>
      </c>
      <c r="C482" s="50" t="s">
        <v>64</v>
      </c>
      <c r="D482" s="86" t="s">
        <v>164</v>
      </c>
      <c r="E482" s="52" t="s">
        <v>67</v>
      </c>
      <c r="F482" s="52" t="s">
        <v>165</v>
      </c>
      <c r="G482" s="43" t="s">
        <v>55</v>
      </c>
      <c r="H482" s="46" t="s">
        <v>163</v>
      </c>
      <c r="I482" s="54" t="s">
        <v>1221</v>
      </c>
      <c r="J482" s="55" t="s">
        <v>1222</v>
      </c>
      <c r="K482" s="54"/>
      <c r="L482" s="54"/>
    </row>
    <row r="483" ht="39.75" customHeight="1">
      <c r="A483" s="36" t="s">
        <v>1223</v>
      </c>
      <c r="B483" s="37" t="s">
        <v>71</v>
      </c>
      <c r="C483" s="149"/>
      <c r="D483" s="149"/>
      <c r="E483" s="42"/>
      <c r="F483" s="42"/>
      <c r="G483" s="150" t="s">
        <v>447</v>
      </c>
      <c r="H483" s="36" t="s">
        <v>198</v>
      </c>
      <c r="I483" s="44"/>
      <c r="J483" s="151"/>
      <c r="K483" s="44"/>
      <c r="L483" s="44" t="s">
        <v>448</v>
      </c>
    </row>
    <row r="484" ht="39.75" customHeight="1">
      <c r="A484" s="46" t="s">
        <v>1224</v>
      </c>
      <c r="B484" s="47" t="s">
        <v>71</v>
      </c>
      <c r="C484" s="149"/>
      <c r="D484" s="149"/>
      <c r="E484" s="52"/>
      <c r="F484" s="52"/>
      <c r="G484" s="150" t="s">
        <v>447</v>
      </c>
      <c r="H484" s="46" t="s">
        <v>198</v>
      </c>
      <c r="I484" s="54"/>
      <c r="J484" s="155"/>
      <c r="K484" s="54"/>
      <c r="L484" s="54" t="s">
        <v>448</v>
      </c>
    </row>
    <row r="485" ht="34.5" customHeight="1">
      <c r="A485" s="36" t="s">
        <v>1226</v>
      </c>
      <c r="B485" s="37" t="s">
        <v>71</v>
      </c>
      <c r="C485" s="50" t="s">
        <v>64</v>
      </c>
      <c r="D485" s="62" t="s">
        <v>92</v>
      </c>
      <c r="E485" s="42" t="s">
        <v>67</v>
      </c>
      <c r="F485" s="42" t="s">
        <v>97</v>
      </c>
      <c r="G485" s="43" t="s">
        <v>55</v>
      </c>
      <c r="H485" s="36" t="s">
        <v>163</v>
      </c>
      <c r="I485" s="44" t="s">
        <v>1227</v>
      </c>
      <c r="J485" s="45" t="s">
        <v>1228</v>
      </c>
      <c r="K485" s="44"/>
      <c r="L485" s="44"/>
    </row>
    <row r="486" ht="34.5" customHeight="1">
      <c r="A486" s="46" t="s">
        <v>1229</v>
      </c>
      <c r="B486" s="47" t="s">
        <v>71</v>
      </c>
      <c r="C486" s="41" t="s">
        <v>52</v>
      </c>
      <c r="D486" s="62" t="s">
        <v>92</v>
      </c>
      <c r="E486" s="52" t="s">
        <v>54</v>
      </c>
      <c r="F486" s="52" t="s">
        <v>97</v>
      </c>
      <c r="G486" s="43" t="s">
        <v>55</v>
      </c>
      <c r="H486" s="46" t="s">
        <v>163</v>
      </c>
      <c r="I486" s="54" t="s">
        <v>1231</v>
      </c>
      <c r="J486" s="55" t="s">
        <v>1232</v>
      </c>
      <c r="K486" s="54"/>
      <c r="L486" s="54"/>
    </row>
    <row r="487" ht="39.75" customHeight="1">
      <c r="A487" s="36" t="s">
        <v>1233</v>
      </c>
      <c r="B487" s="37" t="s">
        <v>71</v>
      </c>
      <c r="C487" s="149"/>
      <c r="D487" s="149"/>
      <c r="E487" s="42"/>
      <c r="F487" s="42"/>
      <c r="G487" s="150" t="s">
        <v>447</v>
      </c>
      <c r="H487" s="36" t="s">
        <v>198</v>
      </c>
      <c r="I487" s="44"/>
      <c r="J487" s="151"/>
      <c r="K487" s="44"/>
      <c r="L487" s="44" t="s">
        <v>448</v>
      </c>
    </row>
    <row r="488" ht="39.75" customHeight="1">
      <c r="A488" s="46" t="s">
        <v>1234</v>
      </c>
      <c r="B488" s="47" t="s">
        <v>71</v>
      </c>
      <c r="C488" s="149"/>
      <c r="D488" s="149"/>
      <c r="E488" s="52"/>
      <c r="F488" s="52"/>
      <c r="G488" s="150" t="s">
        <v>447</v>
      </c>
      <c r="H488" s="46" t="s">
        <v>198</v>
      </c>
      <c r="I488" s="54"/>
      <c r="J488" s="155"/>
      <c r="K488" s="54"/>
      <c r="L488" s="54" t="s">
        <v>448</v>
      </c>
    </row>
    <row r="489" ht="34.5" customHeight="1">
      <c r="A489" s="36" t="s">
        <v>1151</v>
      </c>
      <c r="B489" s="37" t="s">
        <v>71</v>
      </c>
      <c r="C489" s="50" t="s">
        <v>64</v>
      </c>
      <c r="D489" s="86" t="s">
        <v>164</v>
      </c>
      <c r="E489" s="42" t="s">
        <v>67</v>
      </c>
      <c r="F489" s="42" t="s">
        <v>165</v>
      </c>
      <c r="G489" s="43" t="s">
        <v>55</v>
      </c>
      <c r="H489" s="36" t="s">
        <v>56</v>
      </c>
      <c r="I489" s="44" t="s">
        <v>1236</v>
      </c>
      <c r="J489" s="45" t="s">
        <v>1153</v>
      </c>
      <c r="K489" s="44"/>
      <c r="L489" s="44"/>
    </row>
    <row r="490" ht="34.5" customHeight="1">
      <c r="A490" s="46" t="s">
        <v>1155</v>
      </c>
      <c r="B490" s="47" t="s">
        <v>71</v>
      </c>
      <c r="C490" s="50" t="s">
        <v>64</v>
      </c>
      <c r="D490" s="62" t="s">
        <v>92</v>
      </c>
      <c r="E490" s="52" t="s">
        <v>67</v>
      </c>
      <c r="F490" s="52" t="s">
        <v>97</v>
      </c>
      <c r="G490" s="43" t="s">
        <v>55</v>
      </c>
      <c r="H490" s="46" t="s">
        <v>163</v>
      </c>
      <c r="I490" s="54" t="s">
        <v>1237</v>
      </c>
      <c r="J490" s="55" t="s">
        <v>1157</v>
      </c>
      <c r="K490" s="54"/>
      <c r="L490" s="54"/>
    </row>
    <row r="491" ht="39.75" customHeight="1">
      <c r="A491" s="36" t="s">
        <v>1239</v>
      </c>
      <c r="B491" s="37" t="s">
        <v>71</v>
      </c>
      <c r="C491" s="50" t="s">
        <v>64</v>
      </c>
      <c r="D491" s="62" t="s">
        <v>92</v>
      </c>
      <c r="E491" s="42" t="s">
        <v>67</v>
      </c>
      <c r="F491" s="42" t="s">
        <v>97</v>
      </c>
      <c r="G491" s="43" t="s">
        <v>55</v>
      </c>
      <c r="H491" s="59" t="s">
        <v>187</v>
      </c>
      <c r="I491" s="44" t="s">
        <v>1237</v>
      </c>
      <c r="J491" s="45" t="s">
        <v>1157</v>
      </c>
      <c r="K491" s="44"/>
      <c r="L491" s="44" t="s">
        <v>1240</v>
      </c>
    </row>
    <row r="492" ht="39.75" customHeight="1">
      <c r="A492" s="46" t="s">
        <v>1241</v>
      </c>
      <c r="B492" s="47" t="s">
        <v>71</v>
      </c>
      <c r="C492" s="149"/>
      <c r="D492" s="149"/>
      <c r="E492" s="52"/>
      <c r="F492" s="52"/>
      <c r="G492" s="150" t="s">
        <v>447</v>
      </c>
      <c r="H492" s="46" t="s">
        <v>198</v>
      </c>
      <c r="I492" s="54"/>
      <c r="J492" s="155"/>
      <c r="K492" s="54"/>
      <c r="L492" s="54" t="s">
        <v>448</v>
      </c>
    </row>
    <row r="493" ht="34.5" customHeight="1">
      <c r="A493" s="36" t="s">
        <v>1159</v>
      </c>
      <c r="B493" s="37" t="s">
        <v>71</v>
      </c>
      <c r="C493" s="50" t="s">
        <v>64</v>
      </c>
      <c r="D493" s="49" t="s">
        <v>63</v>
      </c>
      <c r="E493" s="42" t="s">
        <v>67</v>
      </c>
      <c r="F493" s="42" t="s">
        <v>65</v>
      </c>
      <c r="G493" s="43" t="s">
        <v>55</v>
      </c>
      <c r="H493" s="36" t="s">
        <v>56</v>
      </c>
      <c r="I493" s="44" t="s">
        <v>1243</v>
      </c>
      <c r="J493" s="45" t="s">
        <v>1163</v>
      </c>
      <c r="K493" s="44"/>
      <c r="L493" s="44"/>
    </row>
    <row r="494" ht="39.75" customHeight="1">
      <c r="A494" s="46" t="s">
        <v>1244</v>
      </c>
      <c r="B494" s="47" t="s">
        <v>71</v>
      </c>
      <c r="C494" s="149"/>
      <c r="D494" s="149"/>
      <c r="E494" s="52"/>
      <c r="F494" s="52"/>
      <c r="G494" s="150" t="s">
        <v>447</v>
      </c>
      <c r="H494" s="46" t="s">
        <v>198</v>
      </c>
      <c r="I494" s="54"/>
      <c r="J494" s="155"/>
      <c r="K494" s="54"/>
      <c r="L494" s="54" t="s">
        <v>448</v>
      </c>
    </row>
    <row r="495" ht="39.75" customHeight="1">
      <c r="A495" s="36" t="s">
        <v>1245</v>
      </c>
      <c r="B495" s="37" t="s">
        <v>71</v>
      </c>
      <c r="C495" s="149"/>
      <c r="D495" s="149"/>
      <c r="E495" s="42"/>
      <c r="F495" s="42"/>
      <c r="G495" s="150" t="s">
        <v>447</v>
      </c>
      <c r="H495" s="36" t="s">
        <v>198</v>
      </c>
      <c r="I495" s="44"/>
      <c r="J495" s="151"/>
      <c r="K495" s="44"/>
      <c r="L495" s="44" t="s">
        <v>448</v>
      </c>
    </row>
    <row r="496" ht="39.75" customHeight="1">
      <c r="A496" s="46" t="s">
        <v>1246</v>
      </c>
      <c r="B496" s="47" t="s">
        <v>71</v>
      </c>
      <c r="C496" s="149"/>
      <c r="D496" s="149"/>
      <c r="E496" s="52"/>
      <c r="F496" s="52"/>
      <c r="G496" s="150" t="s">
        <v>447</v>
      </c>
      <c r="H496" s="46" t="s">
        <v>198</v>
      </c>
      <c r="I496" s="54"/>
      <c r="J496" s="155"/>
      <c r="K496" s="54"/>
      <c r="L496" s="54" t="s">
        <v>448</v>
      </c>
    </row>
    <row r="497" ht="39.75" customHeight="1">
      <c r="A497" s="36" t="s">
        <v>1248</v>
      </c>
      <c r="B497" s="37" t="s">
        <v>71</v>
      </c>
      <c r="C497" s="149"/>
      <c r="D497" s="149"/>
      <c r="E497" s="42"/>
      <c r="F497" s="42"/>
      <c r="G497" s="150" t="s">
        <v>447</v>
      </c>
      <c r="H497" s="36" t="s">
        <v>198</v>
      </c>
      <c r="I497" s="44"/>
      <c r="J497" s="151"/>
      <c r="K497" s="44"/>
      <c r="L497" s="44" t="s">
        <v>448</v>
      </c>
    </row>
    <row r="498" ht="39.75" customHeight="1">
      <c r="A498" s="46" t="s">
        <v>1249</v>
      </c>
      <c r="B498" s="47" t="s">
        <v>71</v>
      </c>
      <c r="C498" s="149"/>
      <c r="D498" s="149"/>
      <c r="E498" s="52"/>
      <c r="F498" s="52"/>
      <c r="G498" s="150" t="s">
        <v>447</v>
      </c>
      <c r="H498" s="46" t="s">
        <v>198</v>
      </c>
      <c r="I498" s="54"/>
      <c r="J498" s="155"/>
      <c r="K498" s="54"/>
      <c r="L498" s="54" t="s">
        <v>448</v>
      </c>
    </row>
    <row r="499" ht="39.75" customHeight="1">
      <c r="A499" s="36" t="s">
        <v>1251</v>
      </c>
      <c r="B499" s="37" t="s">
        <v>71</v>
      </c>
      <c r="C499" s="149"/>
      <c r="D499" s="149"/>
      <c r="E499" s="42"/>
      <c r="F499" s="42"/>
      <c r="G499" s="150" t="s">
        <v>447</v>
      </c>
      <c r="H499" s="36" t="s">
        <v>198</v>
      </c>
      <c r="I499" s="44"/>
      <c r="J499" s="151"/>
      <c r="K499" s="44"/>
      <c r="L499" s="44" t="s">
        <v>448</v>
      </c>
    </row>
    <row r="500" ht="39.75" customHeight="1">
      <c r="A500" s="46" t="s">
        <v>1252</v>
      </c>
      <c r="B500" s="47" t="s">
        <v>71</v>
      </c>
      <c r="C500" s="149"/>
      <c r="D500" s="149"/>
      <c r="E500" s="52"/>
      <c r="F500" s="52"/>
      <c r="G500" s="150" t="s">
        <v>447</v>
      </c>
      <c r="H500" s="46" t="s">
        <v>198</v>
      </c>
      <c r="I500" s="54"/>
      <c r="J500" s="155"/>
      <c r="K500" s="54"/>
      <c r="L500" s="54" t="s">
        <v>448</v>
      </c>
    </row>
    <row r="501" ht="39.75" customHeight="1">
      <c r="A501" s="36" t="s">
        <v>1254</v>
      </c>
      <c r="B501" s="37" t="s">
        <v>82</v>
      </c>
      <c r="C501" s="149"/>
      <c r="D501" s="149"/>
      <c r="E501" s="42"/>
      <c r="F501" s="42"/>
      <c r="G501" s="150" t="s">
        <v>447</v>
      </c>
      <c r="H501" s="36" t="s">
        <v>198</v>
      </c>
      <c r="I501" s="44"/>
      <c r="J501" s="151"/>
      <c r="K501" s="44"/>
      <c r="L501" s="44" t="s">
        <v>448</v>
      </c>
    </row>
    <row r="502" ht="39.75" customHeight="1">
      <c r="A502" s="46" t="s">
        <v>1255</v>
      </c>
      <c r="B502" s="47" t="s">
        <v>82</v>
      </c>
      <c r="C502" s="149"/>
      <c r="D502" s="149"/>
      <c r="E502" s="52"/>
      <c r="F502" s="52"/>
      <c r="G502" s="150" t="s">
        <v>447</v>
      </c>
      <c r="H502" s="46" t="s">
        <v>198</v>
      </c>
      <c r="I502" s="54"/>
      <c r="J502" s="155"/>
      <c r="K502" s="54"/>
      <c r="L502" s="54" t="s">
        <v>448</v>
      </c>
    </row>
    <row r="503" ht="39.75" customHeight="1">
      <c r="A503" s="36" t="s">
        <v>1256</v>
      </c>
      <c r="B503" s="37" t="s">
        <v>82</v>
      </c>
      <c r="C503" s="149"/>
      <c r="D503" s="149"/>
      <c r="E503" s="42"/>
      <c r="F503" s="42"/>
      <c r="G503" s="150" t="s">
        <v>447</v>
      </c>
      <c r="H503" s="36" t="s">
        <v>198</v>
      </c>
      <c r="I503" s="44"/>
      <c r="J503" s="151"/>
      <c r="K503" s="44"/>
      <c r="L503" s="44" t="s">
        <v>448</v>
      </c>
    </row>
    <row r="504" ht="39.75" customHeight="1">
      <c r="A504" s="46" t="s">
        <v>1259</v>
      </c>
      <c r="B504" s="47" t="s">
        <v>82</v>
      </c>
      <c r="C504" s="86" t="s">
        <v>164</v>
      </c>
      <c r="D504" s="50" t="s">
        <v>64</v>
      </c>
      <c r="E504" s="52" t="s">
        <v>165</v>
      </c>
      <c r="F504" s="52" t="s">
        <v>67</v>
      </c>
      <c r="G504" s="43" t="s">
        <v>55</v>
      </c>
      <c r="H504" s="53" t="s">
        <v>166</v>
      </c>
      <c r="I504" s="54" t="s">
        <v>1260</v>
      </c>
      <c r="J504" s="55" t="s">
        <v>1189</v>
      </c>
      <c r="K504" s="54" t="s">
        <v>1261</v>
      </c>
      <c r="L504" s="54" t="s">
        <v>1190</v>
      </c>
    </row>
    <row r="505" ht="39.75" customHeight="1">
      <c r="A505" s="36" t="s">
        <v>1262</v>
      </c>
      <c r="B505" s="37" t="s">
        <v>82</v>
      </c>
      <c r="C505" s="149"/>
      <c r="D505" s="149"/>
      <c r="E505" s="42"/>
      <c r="F505" s="42"/>
      <c r="G505" s="150" t="s">
        <v>447</v>
      </c>
      <c r="H505" s="36" t="s">
        <v>198</v>
      </c>
      <c r="I505" s="44"/>
      <c r="J505" s="151"/>
      <c r="K505" s="44"/>
      <c r="L505" s="44" t="s">
        <v>448</v>
      </c>
    </row>
    <row r="506" ht="39.75" customHeight="1">
      <c r="A506" s="46" t="s">
        <v>1186</v>
      </c>
      <c r="B506" s="47" t="s">
        <v>82</v>
      </c>
      <c r="C506" s="41" t="s">
        <v>52</v>
      </c>
      <c r="D506" s="86" t="s">
        <v>164</v>
      </c>
      <c r="E506" s="52" t="s">
        <v>54</v>
      </c>
      <c r="F506" s="52" t="s">
        <v>165</v>
      </c>
      <c r="G506" s="43" t="s">
        <v>55</v>
      </c>
      <c r="H506" s="53" t="s">
        <v>166</v>
      </c>
      <c r="I506" s="54" t="s">
        <v>1260</v>
      </c>
      <c r="J506" s="55" t="s">
        <v>1189</v>
      </c>
      <c r="K506" s="54" t="s">
        <v>1261</v>
      </c>
      <c r="L506" s="54" t="s">
        <v>1190</v>
      </c>
    </row>
    <row r="507" ht="39.75" customHeight="1">
      <c r="A507" s="36" t="s">
        <v>1242</v>
      </c>
      <c r="B507" s="37" t="s">
        <v>82</v>
      </c>
      <c r="C507" s="56" t="s">
        <v>76</v>
      </c>
      <c r="D507" s="50" t="s">
        <v>64</v>
      </c>
      <c r="E507" s="42" t="s">
        <v>79</v>
      </c>
      <c r="F507" s="42" t="s">
        <v>67</v>
      </c>
      <c r="G507" s="43" t="s">
        <v>55</v>
      </c>
      <c r="H507" s="59" t="s">
        <v>166</v>
      </c>
      <c r="I507" s="44" t="s">
        <v>1260</v>
      </c>
      <c r="J507" s="45" t="s">
        <v>1189</v>
      </c>
      <c r="K507" s="44" t="s">
        <v>1261</v>
      </c>
      <c r="L507" s="44" t="s">
        <v>1190</v>
      </c>
    </row>
    <row r="508" ht="39.75" customHeight="1">
      <c r="A508" s="46" t="s">
        <v>1265</v>
      </c>
      <c r="B508" s="47" t="s">
        <v>82</v>
      </c>
      <c r="C508" s="149"/>
      <c r="D508" s="149"/>
      <c r="E508" s="52"/>
      <c r="F508" s="52"/>
      <c r="G508" s="150" t="s">
        <v>447</v>
      </c>
      <c r="H508" s="46" t="s">
        <v>198</v>
      </c>
      <c r="I508" s="54"/>
      <c r="J508" s="155"/>
      <c r="K508" s="54"/>
      <c r="L508" s="54" t="s">
        <v>448</v>
      </c>
    </row>
    <row r="509" ht="39.75" customHeight="1">
      <c r="A509" s="36" t="s">
        <v>1267</v>
      </c>
      <c r="B509" s="37" t="s">
        <v>82</v>
      </c>
      <c r="C509" s="62" t="s">
        <v>92</v>
      </c>
      <c r="D509" s="50" t="s">
        <v>64</v>
      </c>
      <c r="E509" s="42" t="s">
        <v>97</v>
      </c>
      <c r="F509" s="42" t="s">
        <v>67</v>
      </c>
      <c r="G509" s="43" t="s">
        <v>55</v>
      </c>
      <c r="H509" s="59" t="s">
        <v>166</v>
      </c>
      <c r="I509" s="44" t="s">
        <v>1260</v>
      </c>
      <c r="J509" s="45" t="s">
        <v>1189</v>
      </c>
      <c r="K509" s="44" t="s">
        <v>1261</v>
      </c>
      <c r="L509" s="44" t="s">
        <v>1190</v>
      </c>
    </row>
    <row r="510" ht="39.75" customHeight="1">
      <c r="A510" s="46" t="s">
        <v>1270</v>
      </c>
      <c r="B510" s="47" t="s">
        <v>82</v>
      </c>
      <c r="C510" s="149"/>
      <c r="D510" s="149"/>
      <c r="E510" s="52"/>
      <c r="F510" s="52"/>
      <c r="G510" s="150" t="s">
        <v>447</v>
      </c>
      <c r="H510" s="46" t="s">
        <v>198</v>
      </c>
      <c r="I510" s="54"/>
      <c r="J510" s="155"/>
      <c r="K510" s="54"/>
      <c r="L510" s="54" t="s">
        <v>448</v>
      </c>
    </row>
    <row r="511" ht="39.75" customHeight="1">
      <c r="A511" s="36" t="s">
        <v>1271</v>
      </c>
      <c r="B511" s="37" t="s">
        <v>82</v>
      </c>
      <c r="C511" s="149"/>
      <c r="D511" s="149"/>
      <c r="E511" s="42"/>
      <c r="F511" s="42"/>
      <c r="G511" s="150" t="s">
        <v>447</v>
      </c>
      <c r="H511" s="36" t="s">
        <v>198</v>
      </c>
      <c r="I511" s="44"/>
      <c r="J511" s="151"/>
      <c r="K511" s="44"/>
      <c r="L511" s="44" t="s">
        <v>448</v>
      </c>
    </row>
    <row r="512" ht="39.75" customHeight="1">
      <c r="A512" s="46" t="s">
        <v>1272</v>
      </c>
      <c r="B512" s="47" t="s">
        <v>82</v>
      </c>
      <c r="C512" s="86" t="s">
        <v>164</v>
      </c>
      <c r="D512" s="50" t="s">
        <v>64</v>
      </c>
      <c r="E512" s="52" t="s">
        <v>165</v>
      </c>
      <c r="F512" s="52" t="s">
        <v>67</v>
      </c>
      <c r="G512" s="43" t="s">
        <v>55</v>
      </c>
      <c r="H512" s="53" t="s">
        <v>166</v>
      </c>
      <c r="I512" s="54" t="s">
        <v>1260</v>
      </c>
      <c r="J512" s="55" t="s">
        <v>1189</v>
      </c>
      <c r="K512" s="54" t="s">
        <v>1261</v>
      </c>
      <c r="L512" s="54" t="s">
        <v>1190</v>
      </c>
    </row>
    <row r="513" ht="39.75" customHeight="1">
      <c r="A513" s="36" t="s">
        <v>1247</v>
      </c>
      <c r="B513" s="37" t="s">
        <v>82</v>
      </c>
      <c r="C513" s="41" t="s">
        <v>52</v>
      </c>
      <c r="D513" s="86" t="s">
        <v>164</v>
      </c>
      <c r="E513" s="42" t="s">
        <v>54</v>
      </c>
      <c r="F513" s="42" t="s">
        <v>165</v>
      </c>
      <c r="G513" s="43" t="s">
        <v>55</v>
      </c>
      <c r="H513" s="59" t="s">
        <v>166</v>
      </c>
      <c r="I513" s="44" t="s">
        <v>1260</v>
      </c>
      <c r="J513" s="45" t="s">
        <v>1189</v>
      </c>
      <c r="K513" s="44" t="s">
        <v>1261</v>
      </c>
      <c r="L513" s="44" t="s">
        <v>1190</v>
      </c>
    </row>
    <row r="514" ht="39.75" customHeight="1">
      <c r="A514" s="46" t="s">
        <v>1274</v>
      </c>
      <c r="B514" s="47" t="s">
        <v>82</v>
      </c>
      <c r="C514" s="149"/>
      <c r="D514" s="149"/>
      <c r="E514" s="52"/>
      <c r="F514" s="52"/>
      <c r="G514" s="150" t="s">
        <v>447</v>
      </c>
      <c r="H514" s="46" t="s">
        <v>198</v>
      </c>
      <c r="I514" s="54"/>
      <c r="J514" s="155"/>
      <c r="K514" s="54"/>
      <c r="L514" s="54" t="s">
        <v>448</v>
      </c>
    </row>
    <row r="515" ht="39.75" customHeight="1">
      <c r="A515" s="36" t="s">
        <v>1280</v>
      </c>
      <c r="B515" s="37" t="s">
        <v>82</v>
      </c>
      <c r="C515" s="149"/>
      <c r="D515" s="149"/>
      <c r="E515" s="42"/>
      <c r="F515" s="42"/>
      <c r="G515" s="150" t="s">
        <v>447</v>
      </c>
      <c r="H515" s="36" t="s">
        <v>198</v>
      </c>
      <c r="I515" s="44"/>
      <c r="J515" s="151"/>
      <c r="K515" s="44"/>
      <c r="L515" s="44" t="s">
        <v>448</v>
      </c>
    </row>
    <row r="516" ht="39.75" customHeight="1">
      <c r="A516" s="46" t="s">
        <v>1281</v>
      </c>
      <c r="B516" s="47" t="s">
        <v>82</v>
      </c>
      <c r="C516" s="149"/>
      <c r="D516" s="149"/>
      <c r="E516" s="52"/>
      <c r="F516" s="52"/>
      <c r="G516" s="150" t="s">
        <v>447</v>
      </c>
      <c r="H516" s="46" t="s">
        <v>198</v>
      </c>
      <c r="I516" s="54"/>
      <c r="J516" s="155"/>
      <c r="K516" s="54"/>
      <c r="L516" s="54" t="s">
        <v>448</v>
      </c>
    </row>
    <row r="517" ht="39.75" customHeight="1">
      <c r="A517" s="36" t="s">
        <v>1283</v>
      </c>
      <c r="B517" s="37" t="s">
        <v>82</v>
      </c>
      <c r="C517" s="149"/>
      <c r="D517" s="149"/>
      <c r="E517" s="42"/>
      <c r="F517" s="42"/>
      <c r="G517" s="150" t="s">
        <v>447</v>
      </c>
      <c r="H517" s="36" t="s">
        <v>198</v>
      </c>
      <c r="I517" s="44"/>
      <c r="J517" s="151"/>
      <c r="K517" s="44"/>
      <c r="L517" s="44" t="s">
        <v>448</v>
      </c>
    </row>
    <row r="518" ht="39.75" customHeight="1">
      <c r="A518" s="46" t="s">
        <v>1250</v>
      </c>
      <c r="B518" s="47" t="s">
        <v>82</v>
      </c>
      <c r="C518" s="49" t="s">
        <v>63</v>
      </c>
      <c r="D518" s="86" t="s">
        <v>164</v>
      </c>
      <c r="E518" s="52" t="s">
        <v>65</v>
      </c>
      <c r="F518" s="52" t="s">
        <v>165</v>
      </c>
      <c r="G518" s="43" t="s">
        <v>55</v>
      </c>
      <c r="H518" s="53" t="s">
        <v>166</v>
      </c>
      <c r="I518" s="54" t="s">
        <v>1260</v>
      </c>
      <c r="J518" s="55" t="s">
        <v>1189</v>
      </c>
      <c r="K518" s="54" t="s">
        <v>1261</v>
      </c>
      <c r="L518" s="54" t="s">
        <v>1190</v>
      </c>
    </row>
    <row r="519" ht="39.75" customHeight="1">
      <c r="A519" s="36" t="s">
        <v>1284</v>
      </c>
      <c r="B519" s="37" t="s">
        <v>82</v>
      </c>
      <c r="C519" s="41" t="s">
        <v>52</v>
      </c>
      <c r="D519" s="62" t="s">
        <v>92</v>
      </c>
      <c r="E519" s="42" t="s">
        <v>54</v>
      </c>
      <c r="F519" s="42" t="s">
        <v>97</v>
      </c>
      <c r="G519" s="43" t="s">
        <v>55</v>
      </c>
      <c r="H519" s="59" t="s">
        <v>166</v>
      </c>
      <c r="I519" s="44" t="s">
        <v>1260</v>
      </c>
      <c r="J519" s="45" t="s">
        <v>1189</v>
      </c>
      <c r="K519" s="44" t="s">
        <v>1261</v>
      </c>
      <c r="L519" s="44" t="s">
        <v>1190</v>
      </c>
    </row>
    <row r="520" ht="39.75" customHeight="1">
      <c r="A520" s="46" t="s">
        <v>1287</v>
      </c>
      <c r="B520" s="47" t="s">
        <v>82</v>
      </c>
      <c r="C520" s="149"/>
      <c r="D520" s="149"/>
      <c r="E520" s="52"/>
      <c r="F520" s="52"/>
      <c r="G520" s="150" t="s">
        <v>447</v>
      </c>
      <c r="H520" s="46" t="s">
        <v>198</v>
      </c>
      <c r="I520" s="54"/>
      <c r="J520" s="155"/>
      <c r="K520" s="54"/>
      <c r="L520" s="54" t="s">
        <v>448</v>
      </c>
    </row>
    <row r="521" ht="39.75" customHeight="1">
      <c r="A521" s="36" t="s">
        <v>1289</v>
      </c>
      <c r="B521" s="37" t="s">
        <v>82</v>
      </c>
      <c r="C521" s="62" t="s">
        <v>92</v>
      </c>
      <c r="D521" s="50" t="s">
        <v>64</v>
      </c>
      <c r="E521" s="42" t="s">
        <v>97</v>
      </c>
      <c r="F521" s="42" t="s">
        <v>67</v>
      </c>
      <c r="G521" s="43" t="s">
        <v>55</v>
      </c>
      <c r="H521" s="59" t="s">
        <v>166</v>
      </c>
      <c r="I521" s="44" t="s">
        <v>1260</v>
      </c>
      <c r="J521" s="45" t="s">
        <v>1189</v>
      </c>
      <c r="K521" s="44" t="s">
        <v>1261</v>
      </c>
      <c r="L521" s="44" t="s">
        <v>1190</v>
      </c>
    </row>
    <row r="522" ht="39.75" customHeight="1">
      <c r="A522" s="46" t="s">
        <v>1290</v>
      </c>
      <c r="B522" s="47" t="s">
        <v>82</v>
      </c>
      <c r="C522" s="149"/>
      <c r="D522" s="149"/>
      <c r="E522" s="52"/>
      <c r="F522" s="52"/>
      <c r="G522" s="150" t="s">
        <v>447</v>
      </c>
      <c r="H522" s="46" t="s">
        <v>198</v>
      </c>
      <c r="I522" s="54"/>
      <c r="J522" s="155"/>
      <c r="K522" s="54"/>
      <c r="L522" s="54" t="s">
        <v>448</v>
      </c>
    </row>
    <row r="523" ht="39.75" customHeight="1">
      <c r="A523" s="36" t="s">
        <v>1191</v>
      </c>
      <c r="B523" s="37" t="s">
        <v>82</v>
      </c>
      <c r="C523" s="41" t="s">
        <v>52</v>
      </c>
      <c r="D523" s="86" t="s">
        <v>164</v>
      </c>
      <c r="E523" s="42" t="s">
        <v>54</v>
      </c>
      <c r="F523" s="42" t="s">
        <v>165</v>
      </c>
      <c r="G523" s="43" t="s">
        <v>55</v>
      </c>
      <c r="H523" s="59" t="s">
        <v>166</v>
      </c>
      <c r="I523" s="44" t="s">
        <v>1260</v>
      </c>
      <c r="J523" s="45" t="s">
        <v>1189</v>
      </c>
      <c r="K523" s="44" t="s">
        <v>1261</v>
      </c>
      <c r="L523" s="44" t="s">
        <v>1190</v>
      </c>
    </row>
    <row r="524" ht="39.75" customHeight="1">
      <c r="A524" s="46" t="s">
        <v>1293</v>
      </c>
      <c r="B524" s="47" t="s">
        <v>82</v>
      </c>
      <c r="C524" s="149"/>
      <c r="D524" s="149"/>
      <c r="E524" s="52"/>
      <c r="F524" s="52"/>
      <c r="G524" s="150" t="s">
        <v>447</v>
      </c>
      <c r="H524" s="46" t="s">
        <v>198</v>
      </c>
      <c r="I524" s="54"/>
      <c r="J524" s="155"/>
      <c r="K524" s="54"/>
      <c r="L524" s="54" t="s">
        <v>448</v>
      </c>
    </row>
    <row r="525" ht="39.75" customHeight="1">
      <c r="A525" s="36" t="s">
        <v>1295</v>
      </c>
      <c r="B525" s="37" t="s">
        <v>82</v>
      </c>
      <c r="C525" s="149"/>
      <c r="D525" s="149"/>
      <c r="E525" s="42"/>
      <c r="F525" s="42"/>
      <c r="G525" s="150" t="s">
        <v>447</v>
      </c>
      <c r="H525" s="36" t="s">
        <v>198</v>
      </c>
      <c r="I525" s="44"/>
      <c r="J525" s="151"/>
      <c r="K525" s="44"/>
      <c r="L525" s="44" t="s">
        <v>448</v>
      </c>
    </row>
    <row r="526" ht="39.75" customHeight="1">
      <c r="A526" s="46" t="s">
        <v>1298</v>
      </c>
      <c r="B526" s="47" t="s">
        <v>82</v>
      </c>
      <c r="C526" s="149"/>
      <c r="D526" s="149"/>
      <c r="E526" s="52"/>
      <c r="F526" s="52"/>
      <c r="G526" s="150" t="s">
        <v>447</v>
      </c>
      <c r="H526" s="46" t="s">
        <v>198</v>
      </c>
      <c r="I526" s="54"/>
      <c r="J526" s="155"/>
      <c r="K526" s="54"/>
      <c r="L526" s="54" t="s">
        <v>448</v>
      </c>
    </row>
    <row r="527" ht="39.75" customHeight="1">
      <c r="A527" s="36" t="s">
        <v>1299</v>
      </c>
      <c r="B527" s="37" t="s">
        <v>82</v>
      </c>
      <c r="C527" s="172" t="s">
        <v>180</v>
      </c>
      <c r="D527" s="50" t="s">
        <v>64</v>
      </c>
      <c r="E527" s="42" t="s">
        <v>182</v>
      </c>
      <c r="F527" s="42" t="s">
        <v>67</v>
      </c>
      <c r="G527" s="43" t="s">
        <v>55</v>
      </c>
      <c r="H527" s="59" t="s">
        <v>166</v>
      </c>
      <c r="I527" s="44" t="s">
        <v>1260</v>
      </c>
      <c r="J527" s="45" t="s">
        <v>1189</v>
      </c>
      <c r="K527" s="44" t="s">
        <v>1261</v>
      </c>
      <c r="L527" s="44" t="s">
        <v>1190</v>
      </c>
    </row>
    <row r="528" ht="39.75" customHeight="1">
      <c r="A528" s="46" t="s">
        <v>1301</v>
      </c>
      <c r="B528" s="47" t="s">
        <v>82</v>
      </c>
      <c r="C528" s="149"/>
      <c r="D528" s="149"/>
      <c r="E528" s="52"/>
      <c r="F528" s="52"/>
      <c r="G528" s="150" t="s">
        <v>447</v>
      </c>
      <c r="H528" s="46" t="s">
        <v>198</v>
      </c>
      <c r="I528" s="54"/>
      <c r="J528" s="155"/>
      <c r="K528" s="54"/>
      <c r="L528" s="54" t="s">
        <v>448</v>
      </c>
    </row>
    <row r="529" ht="39.75" customHeight="1">
      <c r="A529" s="36" t="s">
        <v>1302</v>
      </c>
      <c r="B529" s="37" t="s">
        <v>82</v>
      </c>
      <c r="C529" s="149"/>
      <c r="D529" s="149"/>
      <c r="E529" s="42"/>
      <c r="F529" s="42"/>
      <c r="G529" s="150" t="s">
        <v>447</v>
      </c>
      <c r="H529" s="36" t="s">
        <v>198</v>
      </c>
      <c r="I529" s="44"/>
      <c r="J529" s="151"/>
      <c r="K529" s="44"/>
      <c r="L529" s="44" t="s">
        <v>448</v>
      </c>
    </row>
    <row r="530" ht="39.75" customHeight="1">
      <c r="A530" s="46" t="s">
        <v>1195</v>
      </c>
      <c r="B530" s="47" t="s">
        <v>82</v>
      </c>
      <c r="C530" s="41" t="s">
        <v>52</v>
      </c>
      <c r="D530" s="62" t="s">
        <v>92</v>
      </c>
      <c r="E530" s="52" t="s">
        <v>54</v>
      </c>
      <c r="F530" s="52" t="s">
        <v>97</v>
      </c>
      <c r="G530" s="43" t="s">
        <v>55</v>
      </c>
      <c r="H530" s="53" t="s">
        <v>166</v>
      </c>
      <c r="I530" s="54" t="s">
        <v>1260</v>
      </c>
      <c r="J530" s="55" t="s">
        <v>1189</v>
      </c>
      <c r="K530" s="54" t="s">
        <v>1261</v>
      </c>
      <c r="L530" s="54" t="s">
        <v>1190</v>
      </c>
    </row>
    <row r="531" ht="39.75" customHeight="1">
      <c r="A531" s="36" t="s">
        <v>1253</v>
      </c>
      <c r="B531" s="37" t="s">
        <v>82</v>
      </c>
      <c r="C531" s="41" t="s">
        <v>52</v>
      </c>
      <c r="D531" s="62" t="s">
        <v>92</v>
      </c>
      <c r="E531" s="42" t="s">
        <v>54</v>
      </c>
      <c r="F531" s="42" t="s">
        <v>97</v>
      </c>
      <c r="G531" s="43" t="s">
        <v>55</v>
      </c>
      <c r="H531" s="59" t="s">
        <v>187</v>
      </c>
      <c r="I531" s="44" t="s">
        <v>1260</v>
      </c>
      <c r="J531" s="45" t="s">
        <v>1189</v>
      </c>
      <c r="K531" s="44" t="s">
        <v>1261</v>
      </c>
      <c r="L531" s="44" t="s">
        <v>1257</v>
      </c>
    </row>
    <row r="532" ht="39.75" customHeight="1">
      <c r="A532" s="46" t="s">
        <v>1304</v>
      </c>
      <c r="B532" s="47" t="s">
        <v>82</v>
      </c>
      <c r="C532" s="62" t="s">
        <v>92</v>
      </c>
      <c r="D532" s="50" t="s">
        <v>64</v>
      </c>
      <c r="E532" s="52" t="s">
        <v>97</v>
      </c>
      <c r="F532" s="52" t="s">
        <v>67</v>
      </c>
      <c r="G532" s="43" t="s">
        <v>55</v>
      </c>
      <c r="H532" s="53" t="s">
        <v>166</v>
      </c>
      <c r="I532" s="54" t="s">
        <v>1260</v>
      </c>
      <c r="J532" s="55" t="s">
        <v>1189</v>
      </c>
      <c r="K532" s="54" t="s">
        <v>1261</v>
      </c>
      <c r="L532" s="54" t="s">
        <v>1190</v>
      </c>
    </row>
    <row r="533" ht="39.75" customHeight="1">
      <c r="A533" s="36" t="s">
        <v>1305</v>
      </c>
      <c r="B533" s="37" t="s">
        <v>82</v>
      </c>
      <c r="C533" s="62" t="s">
        <v>92</v>
      </c>
      <c r="D533" s="50" t="s">
        <v>64</v>
      </c>
      <c r="E533" s="42" t="s">
        <v>97</v>
      </c>
      <c r="F533" s="42" t="s">
        <v>67</v>
      </c>
      <c r="G533" s="43" t="s">
        <v>55</v>
      </c>
      <c r="H533" s="59" t="s">
        <v>166</v>
      </c>
      <c r="I533" s="44" t="s">
        <v>1260</v>
      </c>
      <c r="J533" s="45" t="s">
        <v>1189</v>
      </c>
      <c r="K533" s="44" t="s">
        <v>1261</v>
      </c>
      <c r="L533" s="44" t="s">
        <v>1190</v>
      </c>
    </row>
    <row r="534" ht="39.75" customHeight="1">
      <c r="A534" s="46" t="s">
        <v>1258</v>
      </c>
      <c r="B534" s="47" t="s">
        <v>82</v>
      </c>
      <c r="C534" s="62" t="s">
        <v>92</v>
      </c>
      <c r="D534" s="50" t="s">
        <v>64</v>
      </c>
      <c r="E534" s="52" t="s">
        <v>97</v>
      </c>
      <c r="F534" s="52" t="s">
        <v>67</v>
      </c>
      <c r="G534" s="43" t="s">
        <v>55</v>
      </c>
      <c r="H534" s="53" t="s">
        <v>166</v>
      </c>
      <c r="I534" s="54" t="s">
        <v>1260</v>
      </c>
      <c r="J534" s="55" t="s">
        <v>1189</v>
      </c>
      <c r="K534" s="54" t="s">
        <v>1261</v>
      </c>
      <c r="L534" s="54" t="s">
        <v>1263</v>
      </c>
    </row>
    <row r="535" ht="39.75" customHeight="1">
      <c r="A535" s="36" t="s">
        <v>1200</v>
      </c>
      <c r="B535" s="37" t="s">
        <v>82</v>
      </c>
      <c r="C535" s="62" t="s">
        <v>92</v>
      </c>
      <c r="D535" s="50" t="s">
        <v>64</v>
      </c>
      <c r="E535" s="42" t="s">
        <v>97</v>
      </c>
      <c r="F535" s="42" t="s">
        <v>67</v>
      </c>
      <c r="G535" s="43" t="s">
        <v>55</v>
      </c>
      <c r="H535" s="59" t="s">
        <v>166</v>
      </c>
      <c r="I535" s="44" t="s">
        <v>1260</v>
      </c>
      <c r="J535" s="45" t="s">
        <v>1189</v>
      </c>
      <c r="K535" s="44" t="s">
        <v>1261</v>
      </c>
      <c r="L535" s="44" t="s">
        <v>1190</v>
      </c>
    </row>
    <row r="536" ht="39.75" customHeight="1">
      <c r="A536" s="46" t="s">
        <v>1308</v>
      </c>
      <c r="B536" s="47" t="s">
        <v>82</v>
      </c>
      <c r="C536" s="136" t="s">
        <v>210</v>
      </c>
      <c r="D536" s="50" t="s">
        <v>64</v>
      </c>
      <c r="E536" s="52" t="s">
        <v>211</v>
      </c>
      <c r="F536" s="52" t="s">
        <v>67</v>
      </c>
      <c r="G536" s="43" t="s">
        <v>55</v>
      </c>
      <c r="H536" s="53" t="s">
        <v>166</v>
      </c>
      <c r="I536" s="54" t="s">
        <v>1260</v>
      </c>
      <c r="J536" s="55" t="s">
        <v>1189</v>
      </c>
      <c r="K536" s="54" t="s">
        <v>1261</v>
      </c>
      <c r="L536" s="54" t="s">
        <v>1190</v>
      </c>
    </row>
    <row r="537" ht="39.75" customHeight="1">
      <c r="A537" s="36" t="s">
        <v>1309</v>
      </c>
      <c r="B537" s="37" t="s">
        <v>82</v>
      </c>
      <c r="C537" s="149"/>
      <c r="D537" s="149"/>
      <c r="E537" s="42"/>
      <c r="F537" s="42"/>
      <c r="G537" s="150" t="s">
        <v>447</v>
      </c>
      <c r="H537" s="36" t="s">
        <v>198</v>
      </c>
      <c r="I537" s="44"/>
      <c r="J537" s="151"/>
      <c r="K537" s="44"/>
      <c r="L537" s="44" t="s">
        <v>448</v>
      </c>
    </row>
    <row r="538" ht="39.75" customHeight="1">
      <c r="A538" s="46" t="s">
        <v>1311</v>
      </c>
      <c r="B538" s="47" t="s">
        <v>82</v>
      </c>
      <c r="C538" s="149"/>
      <c r="D538" s="149"/>
      <c r="E538" s="52"/>
      <c r="F538" s="52"/>
      <c r="G538" s="150" t="s">
        <v>447</v>
      </c>
      <c r="H538" s="46" t="s">
        <v>198</v>
      </c>
      <c r="I538" s="54"/>
      <c r="J538" s="155"/>
      <c r="K538" s="54"/>
      <c r="L538" s="54" t="s">
        <v>448</v>
      </c>
    </row>
    <row r="539" ht="39.75" customHeight="1">
      <c r="A539" s="36" t="s">
        <v>1312</v>
      </c>
      <c r="B539" s="37" t="s">
        <v>82</v>
      </c>
      <c r="C539" s="62" t="s">
        <v>92</v>
      </c>
      <c r="D539" s="49" t="s">
        <v>63</v>
      </c>
      <c r="E539" s="42" t="s">
        <v>97</v>
      </c>
      <c r="F539" s="42" t="s">
        <v>65</v>
      </c>
      <c r="G539" s="43" t="s">
        <v>55</v>
      </c>
      <c r="H539" s="59" t="s">
        <v>166</v>
      </c>
      <c r="I539" s="44" t="s">
        <v>1260</v>
      </c>
      <c r="J539" s="45" t="s">
        <v>1189</v>
      </c>
      <c r="K539" s="44" t="s">
        <v>1261</v>
      </c>
      <c r="L539" s="44" t="s">
        <v>1190</v>
      </c>
    </row>
    <row r="540" ht="39.75" customHeight="1">
      <c r="A540" s="46" t="s">
        <v>1314</v>
      </c>
      <c r="B540" s="47" t="s">
        <v>82</v>
      </c>
      <c r="C540" s="149"/>
      <c r="D540" s="149"/>
      <c r="E540" s="52"/>
      <c r="F540" s="52"/>
      <c r="G540" s="150" t="s">
        <v>447</v>
      </c>
      <c r="H540" s="46" t="s">
        <v>198</v>
      </c>
      <c r="I540" s="54"/>
      <c r="J540" s="155"/>
      <c r="K540" s="54"/>
      <c r="L540" s="54" t="s">
        <v>448</v>
      </c>
    </row>
    <row r="541" ht="39.75" customHeight="1">
      <c r="A541" s="36" t="s">
        <v>1315</v>
      </c>
      <c r="B541" s="37" t="s">
        <v>82</v>
      </c>
      <c r="C541" s="149"/>
      <c r="D541" s="149"/>
      <c r="E541" s="42"/>
      <c r="F541" s="42"/>
      <c r="G541" s="150" t="s">
        <v>447</v>
      </c>
      <c r="H541" s="36" t="s">
        <v>198</v>
      </c>
      <c r="I541" s="44"/>
      <c r="J541" s="151"/>
      <c r="K541" s="44"/>
      <c r="L541" s="44" t="s">
        <v>448</v>
      </c>
    </row>
    <row r="542" ht="39.75" customHeight="1">
      <c r="A542" s="46" t="s">
        <v>1306</v>
      </c>
      <c r="B542" s="47" t="s">
        <v>82</v>
      </c>
      <c r="C542" s="86" t="s">
        <v>164</v>
      </c>
      <c r="D542" s="50" t="s">
        <v>64</v>
      </c>
      <c r="E542" s="52" t="s">
        <v>165</v>
      </c>
      <c r="F542" s="52" t="s">
        <v>67</v>
      </c>
      <c r="G542" s="43" t="s">
        <v>55</v>
      </c>
      <c r="H542" s="53" t="s">
        <v>166</v>
      </c>
      <c r="I542" s="54" t="s">
        <v>1260</v>
      </c>
      <c r="J542" s="55" t="s">
        <v>1189</v>
      </c>
      <c r="K542" s="54" t="s">
        <v>1261</v>
      </c>
      <c r="L542" s="54" t="s">
        <v>1190</v>
      </c>
    </row>
    <row r="543" ht="39.75" customHeight="1">
      <c r="A543" s="36" t="s">
        <v>1318</v>
      </c>
      <c r="B543" s="37" t="s">
        <v>82</v>
      </c>
      <c r="C543" s="149"/>
      <c r="D543" s="149"/>
      <c r="E543" s="42"/>
      <c r="F543" s="42"/>
      <c r="G543" s="150" t="s">
        <v>447</v>
      </c>
      <c r="H543" s="36" t="s">
        <v>198</v>
      </c>
      <c r="I543" s="44"/>
      <c r="J543" s="151"/>
      <c r="K543" s="44"/>
      <c r="L543" s="44" t="s">
        <v>448</v>
      </c>
    </row>
    <row r="544" ht="39.75" customHeight="1">
      <c r="A544" s="46" t="s">
        <v>1310</v>
      </c>
      <c r="B544" s="47" t="s">
        <v>82</v>
      </c>
      <c r="C544" s="149"/>
      <c r="D544" s="149"/>
      <c r="E544" s="52"/>
      <c r="F544" s="52"/>
      <c r="G544" s="150" t="s">
        <v>447</v>
      </c>
      <c r="H544" s="46" t="s">
        <v>198</v>
      </c>
      <c r="I544" s="54"/>
      <c r="J544" s="155"/>
      <c r="K544" s="54"/>
      <c r="L544" s="54" t="s">
        <v>448</v>
      </c>
    </row>
    <row r="545" ht="39.75" customHeight="1">
      <c r="A545" s="36" t="s">
        <v>1320</v>
      </c>
      <c r="B545" s="37" t="s">
        <v>82</v>
      </c>
      <c r="C545" s="149"/>
      <c r="D545" s="149"/>
      <c r="E545" s="42"/>
      <c r="F545" s="42"/>
      <c r="G545" s="150" t="s">
        <v>447</v>
      </c>
      <c r="H545" s="36" t="s">
        <v>198</v>
      </c>
      <c r="I545" s="44"/>
      <c r="J545" s="151"/>
      <c r="K545" s="44"/>
      <c r="L545" s="44" t="s">
        <v>448</v>
      </c>
    </row>
    <row r="546" ht="39.75" customHeight="1">
      <c r="A546" s="46" t="s">
        <v>1322</v>
      </c>
      <c r="B546" s="47" t="s">
        <v>82</v>
      </c>
      <c r="C546" s="62" t="s">
        <v>92</v>
      </c>
      <c r="D546" s="50" t="s">
        <v>64</v>
      </c>
      <c r="E546" s="52" t="s">
        <v>97</v>
      </c>
      <c r="F546" s="52" t="s">
        <v>67</v>
      </c>
      <c r="G546" s="43" t="s">
        <v>55</v>
      </c>
      <c r="H546" s="53" t="s">
        <v>166</v>
      </c>
      <c r="I546" s="54" t="s">
        <v>1260</v>
      </c>
      <c r="J546" s="55" t="s">
        <v>1189</v>
      </c>
      <c r="K546" s="54" t="s">
        <v>1261</v>
      </c>
      <c r="L546" s="54" t="s">
        <v>1190</v>
      </c>
    </row>
    <row r="547" ht="39.75" customHeight="1">
      <c r="A547" s="36" t="s">
        <v>1325</v>
      </c>
      <c r="B547" s="37" t="s">
        <v>82</v>
      </c>
      <c r="C547" s="149"/>
      <c r="D547" s="149"/>
      <c r="E547" s="42"/>
      <c r="F547" s="42"/>
      <c r="G547" s="150" t="s">
        <v>447</v>
      </c>
      <c r="H547" s="36" t="s">
        <v>198</v>
      </c>
      <c r="I547" s="44"/>
      <c r="J547" s="151"/>
      <c r="K547" s="44"/>
      <c r="L547" s="44" t="s">
        <v>448</v>
      </c>
    </row>
    <row r="548" ht="39.75" customHeight="1">
      <c r="A548" s="46" t="s">
        <v>1326</v>
      </c>
      <c r="B548" s="47" t="s">
        <v>82</v>
      </c>
      <c r="C548" s="149"/>
      <c r="D548" s="149"/>
      <c r="E548" s="52"/>
      <c r="F548" s="52"/>
      <c r="G548" s="150" t="s">
        <v>447</v>
      </c>
      <c r="H548" s="46" t="s">
        <v>198</v>
      </c>
      <c r="I548" s="54"/>
      <c r="J548" s="155"/>
      <c r="K548" s="54"/>
      <c r="L548" s="54" t="s">
        <v>448</v>
      </c>
    </row>
    <row r="549" ht="39.75" customHeight="1">
      <c r="A549" s="36" t="s">
        <v>1328</v>
      </c>
      <c r="B549" s="37" t="s">
        <v>82</v>
      </c>
      <c r="C549" s="149"/>
      <c r="D549" s="149"/>
      <c r="E549" s="42"/>
      <c r="F549" s="42"/>
      <c r="G549" s="150" t="s">
        <v>447</v>
      </c>
      <c r="H549" s="36" t="s">
        <v>198</v>
      </c>
      <c r="I549" s="44"/>
      <c r="J549" s="151"/>
      <c r="K549" s="44"/>
      <c r="L549" s="44" t="s">
        <v>448</v>
      </c>
    </row>
    <row r="550" ht="39.75" customHeight="1">
      <c r="A550" s="46" t="s">
        <v>1329</v>
      </c>
      <c r="B550" s="47" t="s">
        <v>82</v>
      </c>
      <c r="C550" s="41" t="s">
        <v>52</v>
      </c>
      <c r="D550" s="86" t="s">
        <v>164</v>
      </c>
      <c r="E550" s="52" t="s">
        <v>54</v>
      </c>
      <c r="F550" s="52" t="s">
        <v>165</v>
      </c>
      <c r="G550" s="43" t="s">
        <v>55</v>
      </c>
      <c r="H550" s="53" t="s">
        <v>166</v>
      </c>
      <c r="I550" s="54" t="s">
        <v>1260</v>
      </c>
      <c r="J550" s="55" t="s">
        <v>1189</v>
      </c>
      <c r="K550" s="54" t="s">
        <v>1261</v>
      </c>
      <c r="L550" s="54" t="s">
        <v>1190</v>
      </c>
    </row>
    <row r="551" ht="39.75" customHeight="1">
      <c r="A551" s="36" t="s">
        <v>1330</v>
      </c>
      <c r="B551" s="37" t="s">
        <v>82</v>
      </c>
      <c r="C551" s="149"/>
      <c r="D551" s="149"/>
      <c r="E551" s="42"/>
      <c r="F551" s="42"/>
      <c r="G551" s="150" t="s">
        <v>447</v>
      </c>
      <c r="H551" s="36" t="s">
        <v>198</v>
      </c>
      <c r="I551" s="44"/>
      <c r="J551" s="151"/>
      <c r="K551" s="44"/>
      <c r="L551" s="44" t="s">
        <v>448</v>
      </c>
    </row>
    <row r="552" ht="39.75" customHeight="1">
      <c r="A552" s="46" t="s">
        <v>1331</v>
      </c>
      <c r="B552" s="47" t="s">
        <v>82</v>
      </c>
      <c r="C552" s="149"/>
      <c r="D552" s="149"/>
      <c r="E552" s="52"/>
      <c r="F552" s="52"/>
      <c r="G552" s="150" t="s">
        <v>447</v>
      </c>
      <c r="H552" s="46" t="s">
        <v>198</v>
      </c>
      <c r="I552" s="54"/>
      <c r="J552" s="155"/>
      <c r="K552" s="54"/>
      <c r="L552" s="54" t="s">
        <v>448</v>
      </c>
    </row>
    <row r="553" ht="39.75" customHeight="1">
      <c r="A553" s="36" t="s">
        <v>1332</v>
      </c>
      <c r="B553" s="37" t="s">
        <v>82</v>
      </c>
      <c r="C553" s="49" t="s">
        <v>63</v>
      </c>
      <c r="D553" s="50" t="s">
        <v>64</v>
      </c>
      <c r="E553" s="42" t="s">
        <v>65</v>
      </c>
      <c r="F553" s="42" t="s">
        <v>67</v>
      </c>
      <c r="G553" s="43" t="s">
        <v>55</v>
      </c>
      <c r="H553" s="59" t="s">
        <v>166</v>
      </c>
      <c r="I553" s="44" t="s">
        <v>1260</v>
      </c>
      <c r="J553" s="45" t="s">
        <v>1189</v>
      </c>
      <c r="K553" s="44" t="s">
        <v>1261</v>
      </c>
      <c r="L553" s="44" t="s">
        <v>1190</v>
      </c>
    </row>
    <row r="554" ht="39.75" customHeight="1">
      <c r="A554" s="46" t="s">
        <v>1333</v>
      </c>
      <c r="B554" s="47" t="s">
        <v>82</v>
      </c>
      <c r="C554" s="149"/>
      <c r="D554" s="149"/>
      <c r="E554" s="52"/>
      <c r="F554" s="52"/>
      <c r="G554" s="150" t="s">
        <v>447</v>
      </c>
      <c r="H554" s="46" t="s">
        <v>198</v>
      </c>
      <c r="I554" s="54"/>
      <c r="J554" s="155"/>
      <c r="K554" s="54"/>
      <c r="L554" s="54" t="s">
        <v>448</v>
      </c>
    </row>
    <row r="555" ht="39.75" customHeight="1">
      <c r="A555" s="36" t="s">
        <v>1334</v>
      </c>
      <c r="B555" s="37" t="s">
        <v>82</v>
      </c>
      <c r="C555" s="62" t="s">
        <v>92</v>
      </c>
      <c r="D555" s="50" t="s">
        <v>64</v>
      </c>
      <c r="E555" s="42" t="s">
        <v>97</v>
      </c>
      <c r="F555" s="42" t="s">
        <v>67</v>
      </c>
      <c r="G555" s="43" t="s">
        <v>55</v>
      </c>
      <c r="H555" s="59" t="s">
        <v>166</v>
      </c>
      <c r="I555" s="44" t="s">
        <v>1260</v>
      </c>
      <c r="J555" s="45" t="s">
        <v>1189</v>
      </c>
      <c r="K555" s="44" t="s">
        <v>1261</v>
      </c>
      <c r="L555" s="44" t="s">
        <v>1190</v>
      </c>
    </row>
    <row r="556" ht="39.75" customHeight="1">
      <c r="A556" s="46" t="s">
        <v>1335</v>
      </c>
      <c r="B556" s="47" t="s">
        <v>82</v>
      </c>
      <c r="C556" s="49" t="s">
        <v>63</v>
      </c>
      <c r="D556" s="50" t="s">
        <v>64</v>
      </c>
      <c r="E556" s="52" t="s">
        <v>65</v>
      </c>
      <c r="F556" s="52" t="s">
        <v>67</v>
      </c>
      <c r="G556" s="43" t="s">
        <v>55</v>
      </c>
      <c r="H556" s="53" t="s">
        <v>166</v>
      </c>
      <c r="I556" s="54" t="s">
        <v>1260</v>
      </c>
      <c r="J556" s="55" t="s">
        <v>1189</v>
      </c>
      <c r="K556" s="54" t="s">
        <v>1261</v>
      </c>
      <c r="L556" s="54" t="s">
        <v>1190</v>
      </c>
    </row>
    <row r="557" ht="39.75" customHeight="1">
      <c r="A557" s="36" t="s">
        <v>1336</v>
      </c>
      <c r="B557" s="37" t="s">
        <v>82</v>
      </c>
      <c r="C557" s="62" t="s">
        <v>92</v>
      </c>
      <c r="D557" s="50" t="s">
        <v>64</v>
      </c>
      <c r="E557" s="42" t="s">
        <v>97</v>
      </c>
      <c r="F557" s="42" t="s">
        <v>67</v>
      </c>
      <c r="G557" s="43" t="s">
        <v>55</v>
      </c>
      <c r="H557" s="59" t="s">
        <v>166</v>
      </c>
      <c r="I557" s="44" t="s">
        <v>1260</v>
      </c>
      <c r="J557" s="45" t="s">
        <v>1189</v>
      </c>
      <c r="K557" s="44" t="s">
        <v>1261</v>
      </c>
      <c r="L557" s="44" t="s">
        <v>1276</v>
      </c>
    </row>
    <row r="558" ht="39.75" customHeight="1">
      <c r="A558" s="46" t="s">
        <v>1337</v>
      </c>
      <c r="B558" s="47" t="s">
        <v>82</v>
      </c>
      <c r="C558" s="149"/>
      <c r="D558" s="149"/>
      <c r="E558" s="52"/>
      <c r="F558" s="52"/>
      <c r="G558" s="150" t="s">
        <v>447</v>
      </c>
      <c r="H558" s="46" t="s">
        <v>198</v>
      </c>
      <c r="I558" s="54"/>
      <c r="J558" s="155"/>
      <c r="K558" s="54"/>
      <c r="L558" s="54" t="s">
        <v>448</v>
      </c>
    </row>
    <row r="559" ht="34.5" customHeight="1">
      <c r="A559" s="36" t="s">
        <v>1264</v>
      </c>
      <c r="B559" s="37" t="s">
        <v>82</v>
      </c>
      <c r="C559" s="62" t="s">
        <v>92</v>
      </c>
      <c r="D559" s="50" t="s">
        <v>64</v>
      </c>
      <c r="E559" s="42" t="s">
        <v>97</v>
      </c>
      <c r="F559" s="42" t="s">
        <v>67</v>
      </c>
      <c r="G559" s="43" t="s">
        <v>55</v>
      </c>
      <c r="H559" s="36" t="s">
        <v>56</v>
      </c>
      <c r="I559" s="44" t="s">
        <v>1339</v>
      </c>
      <c r="J559" s="45" t="s">
        <v>1266</v>
      </c>
      <c r="K559" s="44"/>
      <c r="L559" s="44"/>
    </row>
    <row r="560" ht="39.75" customHeight="1">
      <c r="A560" s="46" t="s">
        <v>1340</v>
      </c>
      <c r="B560" s="47" t="s">
        <v>82</v>
      </c>
      <c r="C560" s="41" t="s">
        <v>52</v>
      </c>
      <c r="D560" s="49" t="s">
        <v>63</v>
      </c>
      <c r="E560" s="52" t="s">
        <v>54</v>
      </c>
      <c r="F560" s="52" t="s">
        <v>65</v>
      </c>
      <c r="G560" s="43" t="s">
        <v>55</v>
      </c>
      <c r="H560" s="53" t="s">
        <v>166</v>
      </c>
      <c r="I560" s="54" t="s">
        <v>1260</v>
      </c>
      <c r="J560" s="55" t="s">
        <v>1189</v>
      </c>
      <c r="K560" s="54" t="s">
        <v>1261</v>
      </c>
      <c r="L560" s="54" t="s">
        <v>1190</v>
      </c>
    </row>
    <row r="561" ht="39.75" customHeight="1">
      <c r="A561" s="36" t="s">
        <v>1341</v>
      </c>
      <c r="B561" s="37" t="s">
        <v>82</v>
      </c>
      <c r="C561" s="149"/>
      <c r="D561" s="149"/>
      <c r="E561" s="42"/>
      <c r="F561" s="42"/>
      <c r="G561" s="150" t="s">
        <v>447</v>
      </c>
      <c r="H561" s="36" t="s">
        <v>198</v>
      </c>
      <c r="I561" s="44"/>
      <c r="J561" s="151"/>
      <c r="K561" s="44"/>
      <c r="L561" s="44" t="s">
        <v>448</v>
      </c>
    </row>
    <row r="562" ht="39.75" customHeight="1">
      <c r="A562" s="46" t="s">
        <v>1343</v>
      </c>
      <c r="B562" s="47" t="s">
        <v>82</v>
      </c>
      <c r="C562" s="41" t="s">
        <v>52</v>
      </c>
      <c r="D562" s="86" t="s">
        <v>164</v>
      </c>
      <c r="E562" s="52" t="s">
        <v>54</v>
      </c>
      <c r="F562" s="52" t="s">
        <v>165</v>
      </c>
      <c r="G562" s="43" t="s">
        <v>55</v>
      </c>
      <c r="H562" s="53" t="s">
        <v>166</v>
      </c>
      <c r="I562" s="54" t="s">
        <v>1260</v>
      </c>
      <c r="J562" s="55" t="s">
        <v>1189</v>
      </c>
      <c r="K562" s="54" t="s">
        <v>1261</v>
      </c>
      <c r="L562" s="54" t="s">
        <v>1190</v>
      </c>
    </row>
    <row r="563" ht="39.75" customHeight="1">
      <c r="A563" s="36" t="s">
        <v>1344</v>
      </c>
      <c r="B563" s="37" t="s">
        <v>82</v>
      </c>
      <c r="C563" s="62" t="s">
        <v>92</v>
      </c>
      <c r="D563" s="50" t="s">
        <v>64</v>
      </c>
      <c r="E563" s="42" t="s">
        <v>97</v>
      </c>
      <c r="F563" s="42" t="s">
        <v>67</v>
      </c>
      <c r="G563" s="43" t="s">
        <v>55</v>
      </c>
      <c r="H563" s="59" t="s">
        <v>166</v>
      </c>
      <c r="I563" s="44" t="s">
        <v>1260</v>
      </c>
      <c r="J563" s="45" t="s">
        <v>1189</v>
      </c>
      <c r="K563" s="44" t="s">
        <v>1261</v>
      </c>
      <c r="L563" s="44" t="s">
        <v>1190</v>
      </c>
    </row>
    <row r="564" ht="39.75" customHeight="1">
      <c r="A564" s="46" t="s">
        <v>1203</v>
      </c>
      <c r="B564" s="47" t="s">
        <v>82</v>
      </c>
      <c r="C564" s="62" t="s">
        <v>92</v>
      </c>
      <c r="D564" s="50" t="s">
        <v>64</v>
      </c>
      <c r="E564" s="52" t="s">
        <v>97</v>
      </c>
      <c r="F564" s="52" t="s">
        <v>67</v>
      </c>
      <c r="G564" s="43" t="s">
        <v>55</v>
      </c>
      <c r="H564" s="53" t="s">
        <v>166</v>
      </c>
      <c r="I564" s="54" t="s">
        <v>1260</v>
      </c>
      <c r="J564" s="55" t="s">
        <v>1189</v>
      </c>
      <c r="K564" s="54" t="s">
        <v>1261</v>
      </c>
      <c r="L564" s="54" t="s">
        <v>1190</v>
      </c>
    </row>
    <row r="565" ht="39.75" customHeight="1">
      <c r="A565" s="36" t="s">
        <v>1346</v>
      </c>
      <c r="B565" s="37" t="s">
        <v>82</v>
      </c>
      <c r="C565" s="149"/>
      <c r="D565" s="149"/>
      <c r="E565" s="42"/>
      <c r="F565" s="42"/>
      <c r="G565" s="150" t="s">
        <v>447</v>
      </c>
      <c r="H565" s="36" t="s">
        <v>198</v>
      </c>
      <c r="I565" s="44"/>
      <c r="J565" s="151"/>
      <c r="K565" s="44"/>
      <c r="L565" s="44" t="s">
        <v>448</v>
      </c>
    </row>
    <row r="566" ht="39.75" customHeight="1">
      <c r="A566" s="46" t="s">
        <v>1338</v>
      </c>
      <c r="B566" s="47" t="s">
        <v>82</v>
      </c>
      <c r="C566" s="149"/>
      <c r="D566" s="149"/>
      <c r="E566" s="52"/>
      <c r="F566" s="52"/>
      <c r="G566" s="150" t="s">
        <v>447</v>
      </c>
      <c r="H566" s="46" t="s">
        <v>198</v>
      </c>
      <c r="I566" s="54"/>
      <c r="J566" s="155"/>
      <c r="K566" s="54"/>
      <c r="L566" s="54" t="s">
        <v>448</v>
      </c>
    </row>
    <row r="567" ht="39.75" customHeight="1">
      <c r="A567" s="36" t="s">
        <v>1349</v>
      </c>
      <c r="B567" s="37" t="s">
        <v>82</v>
      </c>
      <c r="C567" s="149"/>
      <c r="D567" s="149"/>
      <c r="E567" s="42"/>
      <c r="F567" s="42"/>
      <c r="G567" s="150" t="s">
        <v>447</v>
      </c>
      <c r="H567" s="36" t="s">
        <v>198</v>
      </c>
      <c r="I567" s="44"/>
      <c r="J567" s="151"/>
      <c r="K567" s="44"/>
      <c r="L567" s="44" t="s">
        <v>448</v>
      </c>
    </row>
    <row r="568" ht="39.75" customHeight="1">
      <c r="A568" s="46" t="s">
        <v>1207</v>
      </c>
      <c r="B568" s="47" t="s">
        <v>82</v>
      </c>
      <c r="C568" s="86" t="s">
        <v>164</v>
      </c>
      <c r="D568" s="50" t="s">
        <v>64</v>
      </c>
      <c r="E568" s="52" t="s">
        <v>165</v>
      </c>
      <c r="F568" s="52" t="s">
        <v>67</v>
      </c>
      <c r="G568" s="43" t="s">
        <v>55</v>
      </c>
      <c r="H568" s="53" t="s">
        <v>166</v>
      </c>
      <c r="I568" s="54" t="s">
        <v>1260</v>
      </c>
      <c r="J568" s="55" t="s">
        <v>1189</v>
      </c>
      <c r="K568" s="54" t="s">
        <v>1261</v>
      </c>
      <c r="L568" s="54" t="s">
        <v>1190</v>
      </c>
    </row>
    <row r="569" ht="39.75" customHeight="1">
      <c r="A569" s="36" t="s">
        <v>1351</v>
      </c>
      <c r="B569" s="37" t="s">
        <v>82</v>
      </c>
      <c r="C569" s="149"/>
      <c r="D569" s="149"/>
      <c r="E569" s="42"/>
      <c r="F569" s="42"/>
      <c r="G569" s="150" t="s">
        <v>447</v>
      </c>
      <c r="H569" s="36" t="s">
        <v>198</v>
      </c>
      <c r="I569" s="44"/>
      <c r="J569" s="151"/>
      <c r="K569" s="44"/>
      <c r="L569" s="44" t="s">
        <v>448</v>
      </c>
    </row>
    <row r="570" ht="39.75" customHeight="1">
      <c r="A570" s="46" t="s">
        <v>1353</v>
      </c>
      <c r="B570" s="47" t="s">
        <v>82</v>
      </c>
      <c r="C570" s="149"/>
      <c r="D570" s="149"/>
      <c r="E570" s="52"/>
      <c r="F570" s="52"/>
      <c r="G570" s="150" t="s">
        <v>447</v>
      </c>
      <c r="H570" s="46" t="s">
        <v>198</v>
      </c>
      <c r="I570" s="54"/>
      <c r="J570" s="155"/>
      <c r="K570" s="54"/>
      <c r="L570" s="54" t="s">
        <v>448</v>
      </c>
    </row>
    <row r="571" ht="39.75" customHeight="1">
      <c r="A571" s="36" t="s">
        <v>1355</v>
      </c>
      <c r="B571" s="37" t="s">
        <v>82</v>
      </c>
      <c r="C571" s="149"/>
      <c r="D571" s="149"/>
      <c r="E571" s="42"/>
      <c r="F571" s="42"/>
      <c r="G571" s="150" t="s">
        <v>447</v>
      </c>
      <c r="H571" s="36" t="s">
        <v>198</v>
      </c>
      <c r="I571" s="44"/>
      <c r="J571" s="151"/>
      <c r="K571" s="44"/>
      <c r="L571" s="44" t="s">
        <v>448</v>
      </c>
    </row>
    <row r="572" ht="34.5" customHeight="1">
      <c r="A572" s="46" t="s">
        <v>1313</v>
      </c>
      <c r="B572" s="47" t="s">
        <v>82</v>
      </c>
      <c r="C572" s="62" t="s">
        <v>92</v>
      </c>
      <c r="D572" s="50" t="s">
        <v>64</v>
      </c>
      <c r="E572" s="52" t="s">
        <v>97</v>
      </c>
      <c r="F572" s="52" t="s">
        <v>67</v>
      </c>
      <c r="G572" s="43" t="s">
        <v>55</v>
      </c>
      <c r="H572" s="46" t="s">
        <v>56</v>
      </c>
      <c r="I572" s="54" t="s">
        <v>1356</v>
      </c>
      <c r="J572" s="55" t="s">
        <v>1316</v>
      </c>
      <c r="K572" s="54"/>
      <c r="L572" s="54"/>
    </row>
    <row r="573" ht="34.5" customHeight="1">
      <c r="A573" s="36" t="s">
        <v>1211</v>
      </c>
      <c r="B573" s="37" t="s">
        <v>82</v>
      </c>
      <c r="C573" s="62" t="s">
        <v>92</v>
      </c>
      <c r="D573" s="50" t="s">
        <v>64</v>
      </c>
      <c r="E573" s="42" t="s">
        <v>97</v>
      </c>
      <c r="F573" s="42" t="s">
        <v>67</v>
      </c>
      <c r="G573" s="43" t="s">
        <v>55</v>
      </c>
      <c r="H573" s="36" t="s">
        <v>163</v>
      </c>
      <c r="I573" s="44" t="s">
        <v>1358</v>
      </c>
      <c r="J573" s="45" t="s">
        <v>1213</v>
      </c>
      <c r="K573" s="44"/>
      <c r="L573" s="44"/>
    </row>
    <row r="574" ht="39.75" customHeight="1">
      <c r="A574" s="46" t="s">
        <v>1359</v>
      </c>
      <c r="B574" s="47" t="s">
        <v>82</v>
      </c>
      <c r="C574" s="149"/>
      <c r="D574" s="149"/>
      <c r="E574" s="52"/>
      <c r="F574" s="52"/>
      <c r="G574" s="150" t="s">
        <v>447</v>
      </c>
      <c r="H574" s="46" t="s">
        <v>198</v>
      </c>
      <c r="I574" s="54"/>
      <c r="J574" s="155"/>
      <c r="K574" s="54"/>
      <c r="L574" s="54" t="s">
        <v>448</v>
      </c>
    </row>
    <row r="575" ht="39.75" customHeight="1">
      <c r="A575" s="36" t="s">
        <v>1342</v>
      </c>
      <c r="B575" s="37" t="s">
        <v>82</v>
      </c>
      <c r="C575" s="172" t="s">
        <v>180</v>
      </c>
      <c r="D575" s="62" t="s">
        <v>92</v>
      </c>
      <c r="E575" s="42" t="s">
        <v>182</v>
      </c>
      <c r="F575" s="42" t="s">
        <v>97</v>
      </c>
      <c r="G575" s="43" t="s">
        <v>55</v>
      </c>
      <c r="H575" s="59" t="s">
        <v>166</v>
      </c>
      <c r="I575" s="44" t="s">
        <v>1260</v>
      </c>
      <c r="J575" s="45" t="s">
        <v>1189</v>
      </c>
      <c r="K575" s="44" t="s">
        <v>1261</v>
      </c>
      <c r="L575" s="44" t="s">
        <v>1190</v>
      </c>
    </row>
    <row r="576" ht="39.75" customHeight="1">
      <c r="A576" s="46" t="s">
        <v>1360</v>
      </c>
      <c r="B576" s="47" t="s">
        <v>82</v>
      </c>
      <c r="C576" s="62" t="s">
        <v>92</v>
      </c>
      <c r="D576" s="50" t="s">
        <v>64</v>
      </c>
      <c r="E576" s="52" t="s">
        <v>97</v>
      </c>
      <c r="F576" s="52" t="s">
        <v>67</v>
      </c>
      <c r="G576" s="43" t="s">
        <v>55</v>
      </c>
      <c r="H576" s="53" t="s">
        <v>166</v>
      </c>
      <c r="I576" s="54" t="s">
        <v>1260</v>
      </c>
      <c r="J576" s="55" t="s">
        <v>1189</v>
      </c>
      <c r="K576" s="54" t="s">
        <v>1261</v>
      </c>
      <c r="L576" s="54" t="s">
        <v>1190</v>
      </c>
    </row>
    <row r="577" ht="39.75" customHeight="1">
      <c r="A577" s="36" t="s">
        <v>1361</v>
      </c>
      <c r="B577" s="37" t="s">
        <v>82</v>
      </c>
      <c r="C577" s="149"/>
      <c r="D577" s="149"/>
      <c r="E577" s="42"/>
      <c r="F577" s="42"/>
      <c r="G577" s="150" t="s">
        <v>447</v>
      </c>
      <c r="H577" s="36" t="s">
        <v>198</v>
      </c>
      <c r="I577" s="44"/>
      <c r="J577" s="151"/>
      <c r="K577" s="44"/>
      <c r="L577" s="44" t="s">
        <v>448</v>
      </c>
    </row>
    <row r="578" ht="39.75" customHeight="1">
      <c r="A578" s="46" t="s">
        <v>1215</v>
      </c>
      <c r="B578" s="47" t="s">
        <v>82</v>
      </c>
      <c r="C578" s="149"/>
      <c r="D578" s="149"/>
      <c r="E578" s="52"/>
      <c r="F578" s="52"/>
      <c r="G578" s="150" t="s">
        <v>447</v>
      </c>
      <c r="H578" s="46" t="s">
        <v>198</v>
      </c>
      <c r="I578" s="54"/>
      <c r="J578" s="155"/>
      <c r="K578" s="54"/>
      <c r="L578" s="54" t="s">
        <v>448</v>
      </c>
    </row>
    <row r="579" ht="39.75" customHeight="1">
      <c r="A579" s="36" t="s">
        <v>1365</v>
      </c>
      <c r="B579" s="37" t="s">
        <v>82</v>
      </c>
      <c r="C579" s="149"/>
      <c r="D579" s="149"/>
      <c r="E579" s="42"/>
      <c r="F579" s="42"/>
      <c r="G579" s="150" t="s">
        <v>447</v>
      </c>
      <c r="H579" s="36" t="s">
        <v>198</v>
      </c>
      <c r="I579" s="44"/>
      <c r="J579" s="151"/>
      <c r="K579" s="44"/>
      <c r="L579" s="44" t="s">
        <v>448</v>
      </c>
    </row>
    <row r="580" ht="39.75" customHeight="1">
      <c r="A580" s="46" t="s">
        <v>1345</v>
      </c>
      <c r="B580" s="47" t="s">
        <v>82</v>
      </c>
      <c r="C580" s="138" t="s">
        <v>199</v>
      </c>
      <c r="D580" s="50" t="s">
        <v>64</v>
      </c>
      <c r="E580" s="52" t="s">
        <v>200</v>
      </c>
      <c r="F580" s="52" t="s">
        <v>67</v>
      </c>
      <c r="G580" s="43" t="s">
        <v>55</v>
      </c>
      <c r="H580" s="53" t="s">
        <v>166</v>
      </c>
      <c r="I580" s="54" t="s">
        <v>1260</v>
      </c>
      <c r="J580" s="55" t="s">
        <v>1189</v>
      </c>
      <c r="K580" s="54" t="s">
        <v>1261</v>
      </c>
      <c r="L580" s="54" t="s">
        <v>1190</v>
      </c>
    </row>
    <row r="581" ht="39.75" customHeight="1">
      <c r="A581" s="36" t="s">
        <v>1362</v>
      </c>
      <c r="B581" s="37" t="s">
        <v>82</v>
      </c>
      <c r="C581" s="149"/>
      <c r="D581" s="149"/>
      <c r="E581" s="42"/>
      <c r="F581" s="42"/>
      <c r="G581" s="150" t="s">
        <v>447</v>
      </c>
      <c r="H581" s="36" t="s">
        <v>198</v>
      </c>
      <c r="I581" s="44"/>
      <c r="J581" s="151"/>
      <c r="K581" s="44"/>
      <c r="L581" s="44" t="s">
        <v>448</v>
      </c>
    </row>
    <row r="582" ht="39.75" customHeight="1">
      <c r="A582" s="46" t="s">
        <v>1269</v>
      </c>
      <c r="B582" s="47" t="s">
        <v>82</v>
      </c>
      <c r="C582" s="138" t="s">
        <v>199</v>
      </c>
      <c r="D582" s="50" t="s">
        <v>64</v>
      </c>
      <c r="E582" s="52" t="s">
        <v>200</v>
      </c>
      <c r="F582" s="52" t="s">
        <v>67</v>
      </c>
      <c r="G582" s="43" t="s">
        <v>55</v>
      </c>
      <c r="H582" s="53" t="s">
        <v>166</v>
      </c>
      <c r="I582" s="54" t="s">
        <v>1260</v>
      </c>
      <c r="J582" s="55" t="s">
        <v>1189</v>
      </c>
      <c r="K582" s="54" t="s">
        <v>1261</v>
      </c>
      <c r="L582" s="54" t="s">
        <v>1190</v>
      </c>
    </row>
    <row r="583" ht="39.75" customHeight="1">
      <c r="A583" s="36" t="s">
        <v>1317</v>
      </c>
      <c r="B583" s="37" t="s">
        <v>82</v>
      </c>
      <c r="C583" s="149"/>
      <c r="D583" s="149"/>
      <c r="E583" s="42"/>
      <c r="F583" s="42"/>
      <c r="G583" s="150" t="s">
        <v>447</v>
      </c>
      <c r="H583" s="36" t="s">
        <v>198</v>
      </c>
      <c r="I583" s="44"/>
      <c r="J583" s="151"/>
      <c r="K583" s="44"/>
      <c r="L583" s="44" t="s">
        <v>448</v>
      </c>
    </row>
    <row r="584" ht="39.75" customHeight="1">
      <c r="A584" s="46" t="s">
        <v>1363</v>
      </c>
      <c r="B584" s="47" t="s">
        <v>82</v>
      </c>
      <c r="C584" s="41" t="s">
        <v>52</v>
      </c>
      <c r="D584" s="86" t="s">
        <v>164</v>
      </c>
      <c r="E584" s="52" t="s">
        <v>54</v>
      </c>
      <c r="F584" s="52" t="s">
        <v>165</v>
      </c>
      <c r="G584" s="43" t="s">
        <v>55</v>
      </c>
      <c r="H584" s="53" t="s">
        <v>166</v>
      </c>
      <c r="I584" s="54" t="s">
        <v>1260</v>
      </c>
      <c r="J584" s="55" t="s">
        <v>1189</v>
      </c>
      <c r="K584" s="54" t="s">
        <v>1261</v>
      </c>
      <c r="L584" s="54" t="s">
        <v>1190</v>
      </c>
    </row>
    <row r="585" ht="39.75" customHeight="1">
      <c r="A585" s="36" t="s">
        <v>1370</v>
      </c>
      <c r="B585" s="37" t="s">
        <v>82</v>
      </c>
      <c r="C585" s="86" t="s">
        <v>164</v>
      </c>
      <c r="D585" s="50" t="s">
        <v>64</v>
      </c>
      <c r="E585" s="42" t="s">
        <v>165</v>
      </c>
      <c r="F585" s="42" t="s">
        <v>67</v>
      </c>
      <c r="G585" s="43" t="s">
        <v>55</v>
      </c>
      <c r="H585" s="59" t="s">
        <v>166</v>
      </c>
      <c r="I585" s="44" t="s">
        <v>1260</v>
      </c>
      <c r="J585" s="45" t="s">
        <v>1189</v>
      </c>
      <c r="K585" s="44" t="s">
        <v>1261</v>
      </c>
      <c r="L585" s="44" t="s">
        <v>1190</v>
      </c>
    </row>
    <row r="586" ht="39.75" customHeight="1">
      <c r="A586" s="46" t="s">
        <v>1347</v>
      </c>
      <c r="B586" s="47" t="s">
        <v>82</v>
      </c>
      <c r="C586" s="149"/>
      <c r="D586" s="149"/>
      <c r="E586" s="52"/>
      <c r="F586" s="52"/>
      <c r="G586" s="150" t="s">
        <v>447</v>
      </c>
      <c r="H586" s="46" t="s">
        <v>198</v>
      </c>
      <c r="I586" s="54"/>
      <c r="J586" s="155"/>
      <c r="K586" s="54"/>
      <c r="L586" s="54" t="s">
        <v>448</v>
      </c>
    </row>
    <row r="587" ht="39.75" customHeight="1">
      <c r="A587" s="36" t="s">
        <v>1371</v>
      </c>
      <c r="B587" s="37" t="s">
        <v>82</v>
      </c>
      <c r="C587" s="149"/>
      <c r="D587" s="149"/>
      <c r="E587" s="42"/>
      <c r="F587" s="42"/>
      <c r="G587" s="150" t="s">
        <v>447</v>
      </c>
      <c r="H587" s="36" t="s">
        <v>198</v>
      </c>
      <c r="I587" s="44"/>
      <c r="J587" s="151"/>
      <c r="K587" s="44"/>
      <c r="L587" s="44" t="s">
        <v>448</v>
      </c>
    </row>
    <row r="588" ht="39.75" customHeight="1">
      <c r="A588" s="46" t="s">
        <v>1364</v>
      </c>
      <c r="B588" s="47" t="s">
        <v>82</v>
      </c>
      <c r="C588" s="62" t="s">
        <v>92</v>
      </c>
      <c r="D588" s="50" t="s">
        <v>64</v>
      </c>
      <c r="E588" s="52" t="s">
        <v>97</v>
      </c>
      <c r="F588" s="52" t="s">
        <v>67</v>
      </c>
      <c r="G588" s="43" t="s">
        <v>55</v>
      </c>
      <c r="H588" s="53" t="s">
        <v>166</v>
      </c>
      <c r="I588" s="54" t="s">
        <v>1260</v>
      </c>
      <c r="J588" s="55" t="s">
        <v>1189</v>
      </c>
      <c r="K588" s="54" t="s">
        <v>1261</v>
      </c>
      <c r="L588" s="54" t="s">
        <v>1190</v>
      </c>
    </row>
    <row r="589" ht="39.75" customHeight="1">
      <c r="A589" s="36" t="s">
        <v>1373</v>
      </c>
      <c r="B589" s="37" t="s">
        <v>82</v>
      </c>
      <c r="C589" s="49" t="s">
        <v>63</v>
      </c>
      <c r="D589" s="50" t="s">
        <v>64</v>
      </c>
      <c r="E589" s="42" t="s">
        <v>65</v>
      </c>
      <c r="F589" s="42" t="s">
        <v>67</v>
      </c>
      <c r="G589" s="43" t="s">
        <v>55</v>
      </c>
      <c r="H589" s="59" t="s">
        <v>166</v>
      </c>
      <c r="I589" s="44" t="s">
        <v>1260</v>
      </c>
      <c r="J589" s="45" t="s">
        <v>1189</v>
      </c>
      <c r="K589" s="44" t="s">
        <v>1261</v>
      </c>
      <c r="L589" s="44" t="s">
        <v>1190</v>
      </c>
    </row>
    <row r="590" ht="39.75" customHeight="1">
      <c r="A590" s="46" t="s">
        <v>1374</v>
      </c>
      <c r="B590" s="47" t="s">
        <v>82</v>
      </c>
      <c r="C590" s="149"/>
      <c r="D590" s="149"/>
      <c r="E590" s="52"/>
      <c r="F590" s="52"/>
      <c r="G590" s="150" t="s">
        <v>447</v>
      </c>
      <c r="H590" s="46" t="s">
        <v>198</v>
      </c>
      <c r="I590" s="54"/>
      <c r="J590" s="155"/>
      <c r="K590" s="54"/>
      <c r="L590" s="54" t="s">
        <v>448</v>
      </c>
    </row>
    <row r="591" ht="39.75" customHeight="1">
      <c r="A591" s="36" t="s">
        <v>1273</v>
      </c>
      <c r="B591" s="37" t="s">
        <v>82</v>
      </c>
      <c r="C591" s="62" t="s">
        <v>92</v>
      </c>
      <c r="D591" s="50" t="s">
        <v>64</v>
      </c>
      <c r="E591" s="42" t="s">
        <v>97</v>
      </c>
      <c r="F591" s="42" t="s">
        <v>67</v>
      </c>
      <c r="G591" s="43" t="s">
        <v>55</v>
      </c>
      <c r="H591" s="59" t="s">
        <v>166</v>
      </c>
      <c r="I591" s="44" t="s">
        <v>1260</v>
      </c>
      <c r="J591" s="45" t="s">
        <v>1189</v>
      </c>
      <c r="K591" s="44" t="s">
        <v>1261</v>
      </c>
      <c r="L591" s="44" t="s">
        <v>1276</v>
      </c>
    </row>
    <row r="592" ht="39.75" customHeight="1">
      <c r="A592" s="46" t="s">
        <v>1277</v>
      </c>
      <c r="B592" s="47" t="s">
        <v>82</v>
      </c>
      <c r="C592" s="62" t="s">
        <v>92</v>
      </c>
      <c r="D592" s="50" t="s">
        <v>64</v>
      </c>
      <c r="E592" s="52" t="s">
        <v>97</v>
      </c>
      <c r="F592" s="52" t="s">
        <v>67</v>
      </c>
      <c r="G592" s="43" t="s">
        <v>55</v>
      </c>
      <c r="H592" s="53" t="s">
        <v>166</v>
      </c>
      <c r="I592" s="54" t="s">
        <v>1260</v>
      </c>
      <c r="J592" s="55" t="s">
        <v>1189</v>
      </c>
      <c r="K592" s="54" t="s">
        <v>1261</v>
      </c>
      <c r="L592" s="54" t="s">
        <v>1190</v>
      </c>
    </row>
    <row r="593" ht="39.75" customHeight="1">
      <c r="A593" s="36" t="s">
        <v>1376</v>
      </c>
      <c r="B593" s="37" t="s">
        <v>82</v>
      </c>
      <c r="C593" s="149"/>
      <c r="D593" s="149"/>
      <c r="E593" s="42"/>
      <c r="F593" s="42"/>
      <c r="G593" s="150" t="s">
        <v>447</v>
      </c>
      <c r="H593" s="36" t="s">
        <v>198</v>
      </c>
      <c r="I593" s="44"/>
      <c r="J593" s="151"/>
      <c r="K593" s="44"/>
      <c r="L593" s="44" t="s">
        <v>448</v>
      </c>
    </row>
    <row r="594" ht="39.75" customHeight="1">
      <c r="A594" s="46" t="s">
        <v>1218</v>
      </c>
      <c r="B594" s="47" t="s">
        <v>82</v>
      </c>
      <c r="C594" s="86" t="s">
        <v>164</v>
      </c>
      <c r="D594" s="50" t="s">
        <v>64</v>
      </c>
      <c r="E594" s="52" t="s">
        <v>165</v>
      </c>
      <c r="F594" s="52" t="s">
        <v>67</v>
      </c>
      <c r="G594" s="43" t="s">
        <v>55</v>
      </c>
      <c r="H594" s="53" t="s">
        <v>166</v>
      </c>
      <c r="I594" s="54" t="s">
        <v>1260</v>
      </c>
      <c r="J594" s="55" t="s">
        <v>1189</v>
      </c>
      <c r="K594" s="54" t="s">
        <v>1261</v>
      </c>
      <c r="L594" s="54" t="s">
        <v>1190</v>
      </c>
    </row>
    <row r="595" ht="39.75" customHeight="1">
      <c r="A595" s="36" t="s">
        <v>1220</v>
      </c>
      <c r="B595" s="37" t="s">
        <v>82</v>
      </c>
      <c r="C595" s="49" t="s">
        <v>63</v>
      </c>
      <c r="D595" s="50" t="s">
        <v>64</v>
      </c>
      <c r="E595" s="42" t="s">
        <v>65</v>
      </c>
      <c r="F595" s="42" t="s">
        <v>67</v>
      </c>
      <c r="G595" s="43" t="s">
        <v>55</v>
      </c>
      <c r="H595" s="59" t="s">
        <v>166</v>
      </c>
      <c r="I595" s="44" t="s">
        <v>1260</v>
      </c>
      <c r="J595" s="45" t="s">
        <v>1189</v>
      </c>
      <c r="K595" s="44" t="s">
        <v>1261</v>
      </c>
      <c r="L595" s="44" t="s">
        <v>1190</v>
      </c>
    </row>
    <row r="596" ht="39.75" customHeight="1">
      <c r="A596" s="46" t="s">
        <v>1282</v>
      </c>
      <c r="B596" s="47" t="s">
        <v>82</v>
      </c>
      <c r="C596" s="49" t="s">
        <v>63</v>
      </c>
      <c r="D596" s="50" t="s">
        <v>64</v>
      </c>
      <c r="E596" s="52" t="s">
        <v>65</v>
      </c>
      <c r="F596" s="52" t="s">
        <v>67</v>
      </c>
      <c r="G596" s="43" t="s">
        <v>55</v>
      </c>
      <c r="H596" s="53" t="s">
        <v>187</v>
      </c>
      <c r="I596" s="54" t="s">
        <v>1260</v>
      </c>
      <c r="J596" s="55" t="s">
        <v>1189</v>
      </c>
      <c r="K596" s="54" t="s">
        <v>1261</v>
      </c>
      <c r="L596" s="54" t="s">
        <v>1285</v>
      </c>
    </row>
    <row r="597" ht="39.75" customHeight="1">
      <c r="A597" s="36" t="s">
        <v>1380</v>
      </c>
      <c r="B597" s="37" t="s">
        <v>82</v>
      </c>
      <c r="C597" s="149"/>
      <c r="D597" s="149"/>
      <c r="E597" s="42"/>
      <c r="F597" s="42"/>
      <c r="G597" s="150" t="s">
        <v>447</v>
      </c>
      <c r="H597" s="36" t="s">
        <v>198</v>
      </c>
      <c r="I597" s="44"/>
      <c r="J597" s="151"/>
      <c r="K597" s="44"/>
      <c r="L597" s="44" t="s">
        <v>448</v>
      </c>
    </row>
    <row r="598" ht="39.75" customHeight="1">
      <c r="A598" s="46" t="s">
        <v>1319</v>
      </c>
      <c r="B598" s="47" t="s">
        <v>82</v>
      </c>
      <c r="C598" s="62" t="s">
        <v>92</v>
      </c>
      <c r="D598" s="50" t="s">
        <v>64</v>
      </c>
      <c r="E598" s="52" t="s">
        <v>97</v>
      </c>
      <c r="F598" s="52" t="s">
        <v>67</v>
      </c>
      <c r="G598" s="43" t="s">
        <v>55</v>
      </c>
      <c r="H598" s="53" t="s">
        <v>166</v>
      </c>
      <c r="I598" s="54" t="s">
        <v>1260</v>
      </c>
      <c r="J598" s="55" t="s">
        <v>1189</v>
      </c>
      <c r="K598" s="54" t="s">
        <v>1261</v>
      </c>
      <c r="L598" s="54" t="s">
        <v>1190</v>
      </c>
    </row>
    <row r="599" ht="39.75" customHeight="1">
      <c r="A599" s="36" t="s">
        <v>1382</v>
      </c>
      <c r="B599" s="37" t="s">
        <v>82</v>
      </c>
      <c r="C599" s="149"/>
      <c r="D599" s="149"/>
      <c r="E599" s="42"/>
      <c r="F599" s="42"/>
      <c r="G599" s="150" t="s">
        <v>447</v>
      </c>
      <c r="H599" s="36" t="s">
        <v>198</v>
      </c>
      <c r="I599" s="44"/>
      <c r="J599" s="151"/>
      <c r="K599" s="44"/>
      <c r="L599" s="44" t="s">
        <v>448</v>
      </c>
    </row>
    <row r="600" ht="39.75" customHeight="1">
      <c r="A600" s="46" t="s">
        <v>1383</v>
      </c>
      <c r="B600" s="47" t="s">
        <v>82</v>
      </c>
      <c r="C600" s="172" t="s">
        <v>180</v>
      </c>
      <c r="D600" s="86" t="s">
        <v>164</v>
      </c>
      <c r="E600" s="52" t="s">
        <v>182</v>
      </c>
      <c r="F600" s="52" t="s">
        <v>165</v>
      </c>
      <c r="G600" s="43" t="s">
        <v>55</v>
      </c>
      <c r="H600" s="53" t="s">
        <v>166</v>
      </c>
      <c r="I600" s="54" t="s">
        <v>1260</v>
      </c>
      <c r="J600" s="55" t="s">
        <v>1189</v>
      </c>
      <c r="K600" s="54" t="s">
        <v>1261</v>
      </c>
      <c r="L600" s="54" t="s">
        <v>1190</v>
      </c>
    </row>
    <row r="601" ht="39.75" customHeight="1">
      <c r="A601" s="36" t="s">
        <v>1384</v>
      </c>
      <c r="B601" s="37" t="s">
        <v>82</v>
      </c>
      <c r="C601" s="149"/>
      <c r="D601" s="149"/>
      <c r="E601" s="42"/>
      <c r="F601" s="42"/>
      <c r="G601" s="150" t="s">
        <v>447</v>
      </c>
      <c r="H601" s="36" t="s">
        <v>198</v>
      </c>
      <c r="I601" s="44"/>
      <c r="J601" s="151"/>
      <c r="K601" s="44"/>
      <c r="L601" s="44" t="s">
        <v>448</v>
      </c>
    </row>
    <row r="602" ht="39.75" customHeight="1">
      <c r="A602" s="46" t="s">
        <v>1385</v>
      </c>
      <c r="B602" s="47" t="s">
        <v>82</v>
      </c>
      <c r="C602" s="149"/>
      <c r="D602" s="149"/>
      <c r="E602" s="52"/>
      <c r="F602" s="52"/>
      <c r="G602" s="150" t="s">
        <v>447</v>
      </c>
      <c r="H602" s="46" t="s">
        <v>198</v>
      </c>
      <c r="I602" s="54"/>
      <c r="J602" s="155"/>
      <c r="K602" s="54"/>
      <c r="L602" s="54" t="s">
        <v>448</v>
      </c>
    </row>
    <row r="603" ht="39.75" customHeight="1">
      <c r="A603" s="36" t="s">
        <v>1386</v>
      </c>
      <c r="B603" s="37" t="s">
        <v>82</v>
      </c>
      <c r="C603" s="149"/>
      <c r="D603" s="149"/>
      <c r="E603" s="42"/>
      <c r="F603" s="42"/>
      <c r="G603" s="150" t="s">
        <v>447</v>
      </c>
      <c r="H603" s="36" t="s">
        <v>198</v>
      </c>
      <c r="I603" s="44"/>
      <c r="J603" s="151"/>
      <c r="K603" s="44"/>
      <c r="L603" s="44" t="s">
        <v>448</v>
      </c>
    </row>
    <row r="604" ht="39.75" customHeight="1">
      <c r="A604" s="46" t="s">
        <v>1225</v>
      </c>
      <c r="B604" s="47" t="s">
        <v>82</v>
      </c>
      <c r="C604" s="138" t="s">
        <v>199</v>
      </c>
      <c r="D604" s="50" t="s">
        <v>64</v>
      </c>
      <c r="E604" s="52" t="s">
        <v>200</v>
      </c>
      <c r="F604" s="52" t="s">
        <v>67</v>
      </c>
      <c r="G604" s="43" t="s">
        <v>55</v>
      </c>
      <c r="H604" s="53" t="s">
        <v>166</v>
      </c>
      <c r="I604" s="54" t="s">
        <v>1260</v>
      </c>
      <c r="J604" s="55" t="s">
        <v>1189</v>
      </c>
      <c r="K604" s="54" t="s">
        <v>1261</v>
      </c>
      <c r="L604" s="54" t="s">
        <v>1190</v>
      </c>
    </row>
    <row r="605" ht="39.75" customHeight="1">
      <c r="A605" s="36" t="s">
        <v>1387</v>
      </c>
      <c r="B605" s="37" t="s">
        <v>82</v>
      </c>
      <c r="C605" s="86" t="s">
        <v>164</v>
      </c>
      <c r="D605" s="50" t="s">
        <v>64</v>
      </c>
      <c r="E605" s="42" t="s">
        <v>165</v>
      </c>
      <c r="F605" s="42" t="s">
        <v>67</v>
      </c>
      <c r="G605" s="43" t="s">
        <v>55</v>
      </c>
      <c r="H605" s="59" t="s">
        <v>166</v>
      </c>
      <c r="I605" s="44" t="s">
        <v>1260</v>
      </c>
      <c r="J605" s="45" t="s">
        <v>1189</v>
      </c>
      <c r="K605" s="44" t="s">
        <v>1261</v>
      </c>
      <c r="L605" s="44" t="s">
        <v>1190</v>
      </c>
    </row>
    <row r="606" ht="39.75" customHeight="1">
      <c r="A606" s="46" t="s">
        <v>1230</v>
      </c>
      <c r="B606" s="47" t="s">
        <v>82</v>
      </c>
      <c r="C606" s="41" t="s">
        <v>52</v>
      </c>
      <c r="D606" s="62" t="s">
        <v>92</v>
      </c>
      <c r="E606" s="52" t="s">
        <v>54</v>
      </c>
      <c r="F606" s="52" t="s">
        <v>97</v>
      </c>
      <c r="G606" s="43" t="s">
        <v>55</v>
      </c>
      <c r="H606" s="53" t="s">
        <v>166</v>
      </c>
      <c r="I606" s="54" t="s">
        <v>1260</v>
      </c>
      <c r="J606" s="55" t="s">
        <v>1189</v>
      </c>
      <c r="K606" s="54" t="s">
        <v>1261</v>
      </c>
      <c r="L606" s="54" t="s">
        <v>1190</v>
      </c>
    </row>
    <row r="607" ht="39.75" customHeight="1">
      <c r="A607" s="36" t="s">
        <v>1286</v>
      </c>
      <c r="B607" s="37" t="s">
        <v>82</v>
      </c>
      <c r="C607" s="62" t="s">
        <v>92</v>
      </c>
      <c r="D607" s="49" t="s">
        <v>63</v>
      </c>
      <c r="E607" s="42" t="s">
        <v>97</v>
      </c>
      <c r="F607" s="42" t="s">
        <v>65</v>
      </c>
      <c r="G607" s="43" t="s">
        <v>55</v>
      </c>
      <c r="H607" s="59" t="s">
        <v>166</v>
      </c>
      <c r="I607" s="44" t="s">
        <v>1260</v>
      </c>
      <c r="J607" s="45" t="s">
        <v>1189</v>
      </c>
      <c r="K607" s="44" t="s">
        <v>1261</v>
      </c>
      <c r="L607" s="44" t="s">
        <v>1190</v>
      </c>
    </row>
    <row r="608" ht="39.75" customHeight="1">
      <c r="A608" s="46" t="s">
        <v>1388</v>
      </c>
      <c r="B608" s="47" t="s">
        <v>82</v>
      </c>
      <c r="C608" s="62" t="s">
        <v>92</v>
      </c>
      <c r="D608" s="50" t="s">
        <v>64</v>
      </c>
      <c r="E608" s="52" t="s">
        <v>97</v>
      </c>
      <c r="F608" s="52" t="s">
        <v>67</v>
      </c>
      <c r="G608" s="43" t="s">
        <v>55</v>
      </c>
      <c r="H608" s="53" t="s">
        <v>166</v>
      </c>
      <c r="I608" s="54" t="s">
        <v>1260</v>
      </c>
      <c r="J608" s="55" t="s">
        <v>1189</v>
      </c>
      <c r="K608" s="54" t="s">
        <v>1261</v>
      </c>
      <c r="L608" s="54" t="s">
        <v>1190</v>
      </c>
    </row>
    <row r="609" ht="39.75" customHeight="1">
      <c r="A609" s="36" t="s">
        <v>1288</v>
      </c>
      <c r="B609" s="37" t="s">
        <v>82</v>
      </c>
      <c r="C609" s="49" t="s">
        <v>63</v>
      </c>
      <c r="D609" s="50" t="s">
        <v>64</v>
      </c>
      <c r="E609" s="42" t="s">
        <v>65</v>
      </c>
      <c r="F609" s="42" t="s">
        <v>67</v>
      </c>
      <c r="G609" s="43" t="s">
        <v>55</v>
      </c>
      <c r="H609" s="59" t="s">
        <v>166</v>
      </c>
      <c r="I609" s="44" t="s">
        <v>1260</v>
      </c>
      <c r="J609" s="45" t="s">
        <v>1189</v>
      </c>
      <c r="K609" s="44" t="s">
        <v>1261</v>
      </c>
      <c r="L609" s="44" t="s">
        <v>1190</v>
      </c>
    </row>
    <row r="610" ht="39.75" customHeight="1">
      <c r="A610" s="46" t="s">
        <v>1389</v>
      </c>
      <c r="B610" s="47" t="s">
        <v>82</v>
      </c>
      <c r="C610" s="149"/>
      <c r="D610" s="149"/>
      <c r="E610" s="52"/>
      <c r="F610" s="52"/>
      <c r="G610" s="150" t="s">
        <v>447</v>
      </c>
      <c r="H610" s="46" t="s">
        <v>198</v>
      </c>
      <c r="I610" s="54"/>
      <c r="J610" s="155"/>
      <c r="K610" s="54"/>
      <c r="L610" s="54" t="s">
        <v>448</v>
      </c>
    </row>
    <row r="611" ht="34.5" customHeight="1">
      <c r="A611" s="36" t="s">
        <v>1291</v>
      </c>
      <c r="B611" s="37" t="s">
        <v>82</v>
      </c>
      <c r="C611" s="138" t="s">
        <v>199</v>
      </c>
      <c r="D611" s="50" t="s">
        <v>64</v>
      </c>
      <c r="E611" s="42" t="s">
        <v>200</v>
      </c>
      <c r="F611" s="42" t="s">
        <v>67</v>
      </c>
      <c r="G611" s="43" t="s">
        <v>55</v>
      </c>
      <c r="H611" s="36" t="s">
        <v>56</v>
      </c>
      <c r="I611" s="44" t="s">
        <v>1390</v>
      </c>
      <c r="J611" s="45" t="s">
        <v>1292</v>
      </c>
      <c r="K611" s="44"/>
      <c r="L611" s="44"/>
    </row>
    <row r="612" ht="39.75" customHeight="1">
      <c r="A612" s="46" t="s">
        <v>1391</v>
      </c>
      <c r="B612" s="47" t="s">
        <v>82</v>
      </c>
      <c r="C612" s="149"/>
      <c r="D612" s="149"/>
      <c r="E612" s="52"/>
      <c r="F612" s="52"/>
      <c r="G612" s="150" t="s">
        <v>447</v>
      </c>
      <c r="H612" s="46" t="s">
        <v>198</v>
      </c>
      <c r="I612" s="54"/>
      <c r="J612" s="155"/>
      <c r="K612" s="54"/>
      <c r="L612" s="54" t="s">
        <v>448</v>
      </c>
    </row>
    <row r="613" ht="39.75" customHeight="1">
      <c r="A613" s="36" t="s">
        <v>1350</v>
      </c>
      <c r="B613" s="37" t="s">
        <v>82</v>
      </c>
      <c r="C613" s="149"/>
      <c r="D613" s="149"/>
      <c r="E613" s="42"/>
      <c r="F613" s="42"/>
      <c r="G613" s="150" t="s">
        <v>447</v>
      </c>
      <c r="H613" s="36" t="s">
        <v>198</v>
      </c>
      <c r="I613" s="44"/>
      <c r="J613" s="151"/>
      <c r="K613" s="44"/>
      <c r="L613" s="44" t="s">
        <v>448</v>
      </c>
    </row>
    <row r="614" ht="39.75" customHeight="1">
      <c r="A614" s="46" t="s">
        <v>1321</v>
      </c>
      <c r="B614" s="47" t="s">
        <v>82</v>
      </c>
      <c r="C614" s="41" t="s">
        <v>52</v>
      </c>
      <c r="D614" s="138" t="s">
        <v>199</v>
      </c>
      <c r="E614" s="52" t="s">
        <v>54</v>
      </c>
      <c r="F614" s="52" t="s">
        <v>200</v>
      </c>
      <c r="G614" s="43" t="s">
        <v>55</v>
      </c>
      <c r="H614" s="53" t="s">
        <v>166</v>
      </c>
      <c r="I614" s="54" t="s">
        <v>1260</v>
      </c>
      <c r="J614" s="55" t="s">
        <v>1189</v>
      </c>
      <c r="K614" s="54" t="s">
        <v>1261</v>
      </c>
      <c r="L614" s="54" t="s">
        <v>1323</v>
      </c>
    </row>
    <row r="615" ht="39.75" customHeight="1">
      <c r="A615" s="36" t="s">
        <v>1395</v>
      </c>
      <c r="B615" s="37" t="s">
        <v>82</v>
      </c>
      <c r="C615" s="62" t="s">
        <v>92</v>
      </c>
      <c r="D615" s="49" t="s">
        <v>63</v>
      </c>
      <c r="E615" s="42" t="s">
        <v>97</v>
      </c>
      <c r="F615" s="42" t="s">
        <v>65</v>
      </c>
      <c r="G615" s="43" t="s">
        <v>55</v>
      </c>
      <c r="H615" s="59" t="s">
        <v>166</v>
      </c>
      <c r="I615" s="44" t="s">
        <v>1260</v>
      </c>
      <c r="J615" s="45" t="s">
        <v>1189</v>
      </c>
      <c r="K615" s="44" t="s">
        <v>1261</v>
      </c>
      <c r="L615" s="44" t="s">
        <v>1190</v>
      </c>
    </row>
    <row r="616" ht="39.75" customHeight="1">
      <c r="A616" s="46" t="s">
        <v>1235</v>
      </c>
      <c r="B616" s="47" t="s">
        <v>82</v>
      </c>
      <c r="C616" s="86" t="s">
        <v>164</v>
      </c>
      <c r="D616" s="50" t="s">
        <v>64</v>
      </c>
      <c r="E616" s="52" t="s">
        <v>165</v>
      </c>
      <c r="F616" s="52" t="s">
        <v>67</v>
      </c>
      <c r="G616" s="43" t="s">
        <v>55</v>
      </c>
      <c r="H616" s="53" t="s">
        <v>166</v>
      </c>
      <c r="I616" s="54" t="s">
        <v>1260</v>
      </c>
      <c r="J616" s="55" t="s">
        <v>1189</v>
      </c>
      <c r="K616" s="54" t="s">
        <v>1261</v>
      </c>
      <c r="L616" s="54" t="s">
        <v>1190</v>
      </c>
    </row>
    <row r="617" ht="39.75" customHeight="1">
      <c r="A617" s="36" t="s">
        <v>1294</v>
      </c>
      <c r="B617" s="37" t="s">
        <v>82</v>
      </c>
      <c r="C617" s="86" t="s">
        <v>164</v>
      </c>
      <c r="D617" s="50" t="s">
        <v>64</v>
      </c>
      <c r="E617" s="42" t="s">
        <v>165</v>
      </c>
      <c r="F617" s="42" t="s">
        <v>67</v>
      </c>
      <c r="G617" s="43" t="s">
        <v>55</v>
      </c>
      <c r="H617" s="59" t="s">
        <v>187</v>
      </c>
      <c r="I617" s="44" t="s">
        <v>1260</v>
      </c>
      <c r="J617" s="45" t="s">
        <v>1189</v>
      </c>
      <c r="K617" s="44" t="s">
        <v>1261</v>
      </c>
      <c r="L617" s="44" t="s">
        <v>1296</v>
      </c>
    </row>
    <row r="618" ht="39.75" customHeight="1">
      <c r="A618" s="46" t="s">
        <v>1366</v>
      </c>
      <c r="B618" s="47" t="s">
        <v>82</v>
      </c>
      <c r="C618" s="62" t="s">
        <v>92</v>
      </c>
      <c r="D618" s="50" t="s">
        <v>64</v>
      </c>
      <c r="E618" s="52" t="s">
        <v>97</v>
      </c>
      <c r="F618" s="52" t="s">
        <v>67</v>
      </c>
      <c r="G618" s="43" t="s">
        <v>55</v>
      </c>
      <c r="H618" s="53" t="s">
        <v>166</v>
      </c>
      <c r="I618" s="54" t="s">
        <v>1260</v>
      </c>
      <c r="J618" s="55" t="s">
        <v>1189</v>
      </c>
      <c r="K618" s="54" t="s">
        <v>1261</v>
      </c>
      <c r="L618" s="54" t="s">
        <v>1190</v>
      </c>
    </row>
    <row r="619" ht="39.75" customHeight="1">
      <c r="A619" s="36" t="s">
        <v>1397</v>
      </c>
      <c r="B619" s="37" t="s">
        <v>82</v>
      </c>
      <c r="C619" s="149"/>
      <c r="D619" s="149"/>
      <c r="E619" s="42"/>
      <c r="F619" s="42"/>
      <c r="G619" s="150" t="s">
        <v>447</v>
      </c>
      <c r="H619" s="36" t="s">
        <v>198</v>
      </c>
      <c r="I619" s="44"/>
      <c r="J619" s="151"/>
      <c r="K619" s="44"/>
      <c r="L619" s="44" t="s">
        <v>448</v>
      </c>
    </row>
    <row r="620" ht="39.75" customHeight="1">
      <c r="A620" s="46" t="s">
        <v>1352</v>
      </c>
      <c r="B620" s="47" t="s">
        <v>82</v>
      </c>
      <c r="C620" s="149"/>
      <c r="D620" s="149"/>
      <c r="E620" s="52"/>
      <c r="F620" s="52"/>
      <c r="G620" s="150" t="s">
        <v>447</v>
      </c>
      <c r="H620" s="46" t="s">
        <v>198</v>
      </c>
      <c r="I620" s="54"/>
      <c r="J620" s="155"/>
      <c r="K620" s="54"/>
      <c r="L620" s="54" t="s">
        <v>448</v>
      </c>
    </row>
    <row r="621" ht="39.75" customHeight="1">
      <c r="A621" s="36" t="s">
        <v>1401</v>
      </c>
      <c r="B621" s="37" t="s">
        <v>82</v>
      </c>
      <c r="C621" s="41" t="s">
        <v>52</v>
      </c>
      <c r="D621" s="86" t="s">
        <v>164</v>
      </c>
      <c r="E621" s="42" t="s">
        <v>54</v>
      </c>
      <c r="F621" s="42" t="s">
        <v>165</v>
      </c>
      <c r="G621" s="43" t="s">
        <v>55</v>
      </c>
      <c r="H621" s="59" t="s">
        <v>166</v>
      </c>
      <c r="I621" s="44" t="s">
        <v>1260</v>
      </c>
      <c r="J621" s="45" t="s">
        <v>1189</v>
      </c>
      <c r="K621" s="44" t="s">
        <v>1261</v>
      </c>
      <c r="L621" s="44" t="s">
        <v>1190</v>
      </c>
    </row>
    <row r="622" ht="39.75" customHeight="1">
      <c r="A622" s="46" t="s">
        <v>1297</v>
      </c>
      <c r="B622" s="47" t="s">
        <v>82</v>
      </c>
      <c r="C622" s="149"/>
      <c r="D622" s="149"/>
      <c r="E622" s="52"/>
      <c r="F622" s="52"/>
      <c r="G622" s="150" t="s">
        <v>447</v>
      </c>
      <c r="H622" s="46" t="s">
        <v>198</v>
      </c>
      <c r="I622" s="54"/>
      <c r="J622" s="155"/>
      <c r="K622" s="54"/>
      <c r="L622" s="54" t="s">
        <v>448</v>
      </c>
    </row>
    <row r="623" ht="39.75" customHeight="1">
      <c r="A623" s="36" t="s">
        <v>1402</v>
      </c>
      <c r="B623" s="37" t="s">
        <v>82</v>
      </c>
      <c r="C623" s="49" t="s">
        <v>63</v>
      </c>
      <c r="D623" s="50" t="s">
        <v>64</v>
      </c>
      <c r="E623" s="42" t="s">
        <v>65</v>
      </c>
      <c r="F623" s="42" t="s">
        <v>67</v>
      </c>
      <c r="G623" s="43" t="s">
        <v>55</v>
      </c>
      <c r="H623" s="59" t="s">
        <v>166</v>
      </c>
      <c r="I623" s="44" t="s">
        <v>1260</v>
      </c>
      <c r="J623" s="45" t="s">
        <v>1189</v>
      </c>
      <c r="K623" s="44" t="s">
        <v>1261</v>
      </c>
      <c r="L623" s="44" t="s">
        <v>1190</v>
      </c>
    </row>
    <row r="624" ht="39.75" customHeight="1">
      <c r="A624" s="46" t="s">
        <v>1375</v>
      </c>
      <c r="B624" s="47" t="s">
        <v>82</v>
      </c>
      <c r="C624" s="86" t="s">
        <v>164</v>
      </c>
      <c r="D624" s="50" t="s">
        <v>64</v>
      </c>
      <c r="E624" s="52" t="s">
        <v>165</v>
      </c>
      <c r="F624" s="52" t="s">
        <v>67</v>
      </c>
      <c r="G624" s="43" t="s">
        <v>55</v>
      </c>
      <c r="H624" s="53" t="s">
        <v>166</v>
      </c>
      <c r="I624" s="54" t="s">
        <v>1260</v>
      </c>
      <c r="J624" s="55" t="s">
        <v>1189</v>
      </c>
      <c r="K624" s="54" t="s">
        <v>1261</v>
      </c>
      <c r="L624" s="54" t="s">
        <v>1190</v>
      </c>
    </row>
    <row r="625" ht="39.75" customHeight="1">
      <c r="A625" s="36" t="s">
        <v>1403</v>
      </c>
      <c r="B625" s="37" t="s">
        <v>82</v>
      </c>
      <c r="C625" s="49" t="s">
        <v>63</v>
      </c>
      <c r="D625" s="50" t="s">
        <v>64</v>
      </c>
      <c r="E625" s="42" t="s">
        <v>65</v>
      </c>
      <c r="F625" s="42" t="s">
        <v>67</v>
      </c>
      <c r="G625" s="43" t="s">
        <v>55</v>
      </c>
      <c r="H625" s="59" t="s">
        <v>166</v>
      </c>
      <c r="I625" s="44" t="s">
        <v>1260</v>
      </c>
      <c r="J625" s="45" t="s">
        <v>1189</v>
      </c>
      <c r="K625" s="44" t="s">
        <v>1261</v>
      </c>
      <c r="L625" s="44" t="s">
        <v>1190</v>
      </c>
    </row>
    <row r="626" ht="39.75" customHeight="1">
      <c r="A626" s="46" t="s">
        <v>1354</v>
      </c>
      <c r="B626" s="47" t="s">
        <v>82</v>
      </c>
      <c r="C626" s="62" t="s">
        <v>92</v>
      </c>
      <c r="D626" s="50" t="s">
        <v>64</v>
      </c>
      <c r="E626" s="52" t="s">
        <v>97</v>
      </c>
      <c r="F626" s="52" t="s">
        <v>67</v>
      </c>
      <c r="G626" s="43" t="s">
        <v>55</v>
      </c>
      <c r="H626" s="53" t="s">
        <v>166</v>
      </c>
      <c r="I626" s="54" t="s">
        <v>1260</v>
      </c>
      <c r="J626" s="55" t="s">
        <v>1189</v>
      </c>
      <c r="K626" s="54" t="s">
        <v>1261</v>
      </c>
      <c r="L626" s="54" t="s">
        <v>1276</v>
      </c>
    </row>
    <row r="627" ht="34.5" customHeight="1">
      <c r="A627" s="36" t="s">
        <v>1404</v>
      </c>
      <c r="B627" s="37" t="s">
        <v>82</v>
      </c>
      <c r="C627" s="175" t="s">
        <v>189</v>
      </c>
      <c r="D627" s="50" t="s">
        <v>64</v>
      </c>
      <c r="E627" s="42" t="s">
        <v>190</v>
      </c>
      <c r="F627" s="42" t="s">
        <v>67</v>
      </c>
      <c r="G627" s="43" t="s">
        <v>55</v>
      </c>
      <c r="H627" s="36" t="s">
        <v>56</v>
      </c>
      <c r="I627" s="44" t="s">
        <v>1405</v>
      </c>
      <c r="J627" s="45" t="s">
        <v>1406</v>
      </c>
      <c r="K627" s="44"/>
      <c r="L627" s="44"/>
    </row>
    <row r="628" ht="39.75" customHeight="1">
      <c r="A628" s="46" t="s">
        <v>1407</v>
      </c>
      <c r="B628" s="47" t="s">
        <v>82</v>
      </c>
      <c r="C628" s="149"/>
      <c r="D628" s="149"/>
      <c r="E628" s="52"/>
      <c r="F628" s="52"/>
      <c r="G628" s="150" t="s">
        <v>447</v>
      </c>
      <c r="H628" s="46" t="s">
        <v>198</v>
      </c>
      <c r="I628" s="54"/>
      <c r="J628" s="155"/>
      <c r="K628" s="54"/>
      <c r="L628" s="54" t="s">
        <v>448</v>
      </c>
    </row>
    <row r="629" ht="39.75" customHeight="1">
      <c r="A629" s="36" t="s">
        <v>1377</v>
      </c>
      <c r="B629" s="37" t="s">
        <v>82</v>
      </c>
      <c r="C629" s="62" t="s">
        <v>92</v>
      </c>
      <c r="D629" s="50" t="s">
        <v>64</v>
      </c>
      <c r="E629" s="42" t="s">
        <v>97</v>
      </c>
      <c r="F629" s="42" t="s">
        <v>67</v>
      </c>
      <c r="G629" s="43" t="s">
        <v>55</v>
      </c>
      <c r="H629" s="59" t="s">
        <v>166</v>
      </c>
      <c r="I629" s="44" t="s">
        <v>1260</v>
      </c>
      <c r="J629" s="45" t="s">
        <v>1189</v>
      </c>
      <c r="K629" s="44" t="s">
        <v>1261</v>
      </c>
      <c r="L629" s="44" t="s">
        <v>1190</v>
      </c>
    </row>
    <row r="630" ht="39.75" customHeight="1">
      <c r="A630" s="46" t="s">
        <v>1378</v>
      </c>
      <c r="B630" s="47" t="s">
        <v>82</v>
      </c>
      <c r="C630" s="149"/>
      <c r="D630" s="149"/>
      <c r="E630" s="52"/>
      <c r="F630" s="52"/>
      <c r="G630" s="150" t="s">
        <v>447</v>
      </c>
      <c r="H630" s="46" t="s">
        <v>198</v>
      </c>
      <c r="I630" s="54"/>
      <c r="J630" s="155"/>
      <c r="K630" s="54"/>
      <c r="L630" s="54" t="s">
        <v>448</v>
      </c>
    </row>
    <row r="631" ht="39.75" customHeight="1">
      <c r="A631" s="36" t="s">
        <v>1409</v>
      </c>
      <c r="B631" s="37" t="s">
        <v>82</v>
      </c>
      <c r="C631" s="149"/>
      <c r="D631" s="149"/>
      <c r="E631" s="42"/>
      <c r="F631" s="42"/>
      <c r="G631" s="150" t="s">
        <v>447</v>
      </c>
      <c r="H631" s="36" t="s">
        <v>198</v>
      </c>
      <c r="I631" s="44"/>
      <c r="J631" s="151"/>
      <c r="K631" s="44"/>
      <c r="L631" s="44" t="s">
        <v>448</v>
      </c>
    </row>
    <row r="632" ht="39.75" customHeight="1">
      <c r="A632" s="46" t="s">
        <v>1392</v>
      </c>
      <c r="B632" s="47" t="s">
        <v>82</v>
      </c>
      <c r="C632" s="149"/>
      <c r="D632" s="149"/>
      <c r="E632" s="52"/>
      <c r="F632" s="52"/>
      <c r="G632" s="150" t="s">
        <v>447</v>
      </c>
      <c r="H632" s="46" t="s">
        <v>198</v>
      </c>
      <c r="I632" s="54"/>
      <c r="J632" s="155"/>
      <c r="K632" s="54"/>
      <c r="L632" s="54" t="s">
        <v>448</v>
      </c>
    </row>
    <row r="633" ht="39.75" customHeight="1">
      <c r="A633" s="36" t="s">
        <v>1413</v>
      </c>
      <c r="B633" s="37" t="s">
        <v>82</v>
      </c>
      <c r="C633" s="149"/>
      <c r="D633" s="149"/>
      <c r="E633" s="42"/>
      <c r="F633" s="42"/>
      <c r="G633" s="150" t="s">
        <v>447</v>
      </c>
      <c r="H633" s="36" t="s">
        <v>198</v>
      </c>
      <c r="I633" s="44"/>
      <c r="J633" s="151"/>
      <c r="K633" s="44"/>
      <c r="L633" s="44" t="s">
        <v>448</v>
      </c>
    </row>
    <row r="634" ht="39.75" customHeight="1">
      <c r="A634" s="46" t="s">
        <v>1393</v>
      </c>
      <c r="B634" s="47" t="s">
        <v>82</v>
      </c>
      <c r="C634" s="172" t="s">
        <v>180</v>
      </c>
      <c r="D634" s="50" t="s">
        <v>64</v>
      </c>
      <c r="E634" s="52" t="s">
        <v>182</v>
      </c>
      <c r="F634" s="52" t="s">
        <v>67</v>
      </c>
      <c r="G634" s="43" t="s">
        <v>55</v>
      </c>
      <c r="H634" s="53" t="s">
        <v>166</v>
      </c>
      <c r="I634" s="54" t="s">
        <v>1260</v>
      </c>
      <c r="J634" s="55" t="s">
        <v>1189</v>
      </c>
      <c r="K634" s="54" t="s">
        <v>1261</v>
      </c>
      <c r="L634" s="54" t="s">
        <v>1394</v>
      </c>
    </row>
    <row r="635" ht="39.75" customHeight="1">
      <c r="A635" s="36" t="s">
        <v>1367</v>
      </c>
      <c r="B635" s="37" t="s">
        <v>82</v>
      </c>
      <c r="C635" s="149"/>
      <c r="D635" s="149"/>
      <c r="E635" s="42"/>
      <c r="F635" s="42"/>
      <c r="G635" s="150" t="s">
        <v>447</v>
      </c>
      <c r="H635" s="36" t="s">
        <v>198</v>
      </c>
      <c r="I635" s="44"/>
      <c r="J635" s="151"/>
      <c r="K635" s="44"/>
      <c r="L635" s="44" t="s">
        <v>448</v>
      </c>
    </row>
    <row r="636" ht="39.75" customHeight="1">
      <c r="A636" s="46" t="s">
        <v>1414</v>
      </c>
      <c r="B636" s="47" t="s">
        <v>82</v>
      </c>
      <c r="C636" s="149"/>
      <c r="D636" s="149"/>
      <c r="E636" s="52"/>
      <c r="F636" s="52"/>
      <c r="G636" s="150" t="s">
        <v>447</v>
      </c>
      <c r="H636" s="46" t="s">
        <v>198</v>
      </c>
      <c r="I636" s="54"/>
      <c r="J636" s="155"/>
      <c r="K636" s="54"/>
      <c r="L636" s="54" t="s">
        <v>448</v>
      </c>
    </row>
    <row r="637" ht="39.75" customHeight="1">
      <c r="A637" s="36" t="s">
        <v>1408</v>
      </c>
      <c r="B637" s="37" t="s">
        <v>82</v>
      </c>
      <c r="C637" s="62" t="s">
        <v>92</v>
      </c>
      <c r="D637" s="49" t="s">
        <v>63</v>
      </c>
      <c r="E637" s="42" t="s">
        <v>97</v>
      </c>
      <c r="F637" s="42" t="s">
        <v>65</v>
      </c>
      <c r="G637" s="43" t="s">
        <v>55</v>
      </c>
      <c r="H637" s="59" t="s">
        <v>166</v>
      </c>
      <c r="I637" s="44" t="s">
        <v>1260</v>
      </c>
      <c r="J637" s="45" t="s">
        <v>1189</v>
      </c>
      <c r="K637" s="44" t="s">
        <v>1261</v>
      </c>
      <c r="L637" s="44" t="s">
        <v>1190</v>
      </c>
    </row>
    <row r="638" ht="39.75" customHeight="1">
      <c r="A638" s="46" t="s">
        <v>1379</v>
      </c>
      <c r="B638" s="47" t="s">
        <v>82</v>
      </c>
      <c r="C638" s="62" t="s">
        <v>92</v>
      </c>
      <c r="D638" s="49" t="s">
        <v>63</v>
      </c>
      <c r="E638" s="52" t="s">
        <v>97</v>
      </c>
      <c r="F638" s="52" t="s">
        <v>65</v>
      </c>
      <c r="G638" s="43" t="s">
        <v>55</v>
      </c>
      <c r="H638" s="53" t="s">
        <v>166</v>
      </c>
      <c r="I638" s="54" t="s">
        <v>1260</v>
      </c>
      <c r="J638" s="55" t="s">
        <v>1189</v>
      </c>
      <c r="K638" s="54" t="s">
        <v>1261</v>
      </c>
      <c r="L638" s="54" t="s">
        <v>1190</v>
      </c>
    </row>
    <row r="639" ht="39.75" customHeight="1">
      <c r="A639" s="36" t="s">
        <v>1415</v>
      </c>
      <c r="B639" s="37" t="s">
        <v>82</v>
      </c>
      <c r="C639" s="149"/>
      <c r="D639" s="149"/>
      <c r="E639" s="42"/>
      <c r="F639" s="42"/>
      <c r="G639" s="150" t="s">
        <v>447</v>
      </c>
      <c r="H639" s="36" t="s">
        <v>198</v>
      </c>
      <c r="I639" s="44"/>
      <c r="J639" s="151"/>
      <c r="K639" s="44"/>
      <c r="L639" s="44" t="s">
        <v>448</v>
      </c>
    </row>
    <row r="640" ht="39.75" customHeight="1">
      <c r="A640" s="46" t="s">
        <v>1368</v>
      </c>
      <c r="B640" s="47" t="s">
        <v>82</v>
      </c>
      <c r="C640" s="62" t="s">
        <v>92</v>
      </c>
      <c r="D640" s="49" t="s">
        <v>63</v>
      </c>
      <c r="E640" s="52" t="s">
        <v>97</v>
      </c>
      <c r="F640" s="52" t="s">
        <v>65</v>
      </c>
      <c r="G640" s="43" t="s">
        <v>55</v>
      </c>
      <c r="H640" s="53" t="s">
        <v>166</v>
      </c>
      <c r="I640" s="54" t="s">
        <v>1260</v>
      </c>
      <c r="J640" s="55" t="s">
        <v>1189</v>
      </c>
      <c r="K640" s="54" t="s">
        <v>1261</v>
      </c>
      <c r="L640" s="54" t="s">
        <v>1190</v>
      </c>
    </row>
    <row r="641" ht="39.75" customHeight="1">
      <c r="A641" s="36" t="s">
        <v>1238</v>
      </c>
      <c r="B641" s="37" t="s">
        <v>82</v>
      </c>
      <c r="C641" s="149"/>
      <c r="D641" s="149"/>
      <c r="E641" s="42"/>
      <c r="F641" s="42"/>
      <c r="G641" s="150" t="s">
        <v>447</v>
      </c>
      <c r="H641" s="36" t="s">
        <v>198</v>
      </c>
      <c r="I641" s="44"/>
      <c r="J641" s="151"/>
      <c r="K641" s="44"/>
      <c r="L641" s="44" t="s">
        <v>448</v>
      </c>
    </row>
    <row r="642" ht="34.5" customHeight="1">
      <c r="A642" s="46" t="s">
        <v>1324</v>
      </c>
      <c r="B642" s="47" t="s">
        <v>82</v>
      </c>
      <c r="C642" s="49" t="s">
        <v>63</v>
      </c>
      <c r="D642" s="50" t="s">
        <v>64</v>
      </c>
      <c r="E642" s="52" t="s">
        <v>65</v>
      </c>
      <c r="F642" s="52" t="s">
        <v>67</v>
      </c>
      <c r="G642" s="43" t="s">
        <v>55</v>
      </c>
      <c r="H642" s="46" t="s">
        <v>56</v>
      </c>
      <c r="I642" s="54" t="s">
        <v>1416</v>
      </c>
      <c r="J642" s="55" t="s">
        <v>1327</v>
      </c>
      <c r="K642" s="54"/>
      <c r="L642" s="54"/>
    </row>
    <row r="643" ht="39.75" customHeight="1">
      <c r="A643" s="36" t="s">
        <v>1300</v>
      </c>
      <c r="B643" s="37" t="s">
        <v>82</v>
      </c>
      <c r="C643" s="41" t="s">
        <v>52</v>
      </c>
      <c r="D643" s="62" t="s">
        <v>92</v>
      </c>
      <c r="E643" s="42" t="s">
        <v>54</v>
      </c>
      <c r="F643" s="42" t="s">
        <v>97</v>
      </c>
      <c r="G643" s="43" t="s">
        <v>55</v>
      </c>
      <c r="H643" s="59" t="s">
        <v>166</v>
      </c>
      <c r="I643" s="44" t="s">
        <v>1260</v>
      </c>
      <c r="J643" s="45" t="s">
        <v>1189</v>
      </c>
      <c r="K643" s="44" t="s">
        <v>1261</v>
      </c>
      <c r="L643" s="44" t="s">
        <v>1190</v>
      </c>
    </row>
    <row r="644" ht="34.5" customHeight="1">
      <c r="A644" s="46" t="s">
        <v>1418</v>
      </c>
      <c r="B644" s="47" t="s">
        <v>88</v>
      </c>
      <c r="C644" s="79" t="s">
        <v>150</v>
      </c>
      <c r="D644" s="50" t="s">
        <v>64</v>
      </c>
      <c r="E644" s="52" t="s">
        <v>153</v>
      </c>
      <c r="F644" s="52" t="s">
        <v>67</v>
      </c>
      <c r="G644" s="43" t="s">
        <v>55</v>
      </c>
      <c r="H644" s="46" t="s">
        <v>56</v>
      </c>
      <c r="I644" s="54" t="s">
        <v>1419</v>
      </c>
      <c r="J644" s="55" t="s">
        <v>1420</v>
      </c>
      <c r="K644" s="54"/>
      <c r="L644" s="54"/>
    </row>
    <row r="645" ht="34.5" customHeight="1">
      <c r="A645" s="36" t="s">
        <v>1421</v>
      </c>
      <c r="B645" s="37" t="s">
        <v>88</v>
      </c>
      <c r="C645" s="138" t="s">
        <v>199</v>
      </c>
      <c r="D645" s="50" t="s">
        <v>64</v>
      </c>
      <c r="E645" s="42" t="s">
        <v>200</v>
      </c>
      <c r="F645" s="42" t="s">
        <v>67</v>
      </c>
      <c r="G645" s="43" t="s">
        <v>55</v>
      </c>
      <c r="H645" s="36" t="s">
        <v>56</v>
      </c>
      <c r="I645" s="44" t="s">
        <v>1422</v>
      </c>
      <c r="J645" s="45" t="s">
        <v>1423</v>
      </c>
      <c r="K645" s="44"/>
      <c r="L645" s="44"/>
    </row>
    <row r="646" ht="34.5" customHeight="1">
      <c r="A646" s="46" t="s">
        <v>1424</v>
      </c>
      <c r="B646" s="47" t="s">
        <v>88</v>
      </c>
      <c r="C646" s="50" t="s">
        <v>64</v>
      </c>
      <c r="D646" s="86" t="s">
        <v>164</v>
      </c>
      <c r="E646" s="52" t="s">
        <v>67</v>
      </c>
      <c r="F646" s="52" t="s">
        <v>165</v>
      </c>
      <c r="G646" s="43" t="s">
        <v>55</v>
      </c>
      <c r="H646" s="46" t="s">
        <v>56</v>
      </c>
      <c r="I646" s="54" t="s">
        <v>1425</v>
      </c>
      <c r="J646" s="55" t="s">
        <v>1426</v>
      </c>
      <c r="K646" s="54"/>
      <c r="L646" s="54"/>
    </row>
    <row r="647" ht="34.5" customHeight="1">
      <c r="A647" s="36" t="s">
        <v>1427</v>
      </c>
      <c r="B647" s="37" t="s">
        <v>88</v>
      </c>
      <c r="C647" s="62" t="s">
        <v>92</v>
      </c>
      <c r="D647" s="86" t="s">
        <v>164</v>
      </c>
      <c r="E647" s="42" t="s">
        <v>97</v>
      </c>
      <c r="F647" s="42" t="s">
        <v>165</v>
      </c>
      <c r="G647" s="43" t="s">
        <v>55</v>
      </c>
      <c r="H647" s="36" t="s">
        <v>56</v>
      </c>
      <c r="I647" s="44" t="s">
        <v>1431</v>
      </c>
      <c r="J647" s="45" t="s">
        <v>1432</v>
      </c>
      <c r="K647" s="44"/>
      <c r="L647" s="44" t="s">
        <v>881</v>
      </c>
    </row>
    <row r="648" ht="39.75" customHeight="1">
      <c r="A648" s="46" t="s">
        <v>1433</v>
      </c>
      <c r="B648" s="47" t="s">
        <v>88</v>
      </c>
      <c r="C648" s="62" t="s">
        <v>92</v>
      </c>
      <c r="D648" s="86" t="s">
        <v>164</v>
      </c>
      <c r="E648" s="52" t="s">
        <v>97</v>
      </c>
      <c r="F648" s="52" t="s">
        <v>165</v>
      </c>
      <c r="G648" s="43" t="s">
        <v>55</v>
      </c>
      <c r="H648" s="53" t="s">
        <v>187</v>
      </c>
      <c r="I648" s="54" t="s">
        <v>1431</v>
      </c>
      <c r="J648" s="55" t="s">
        <v>1432</v>
      </c>
      <c r="K648" s="54"/>
      <c r="L648" s="54" t="s">
        <v>1434</v>
      </c>
    </row>
    <row r="649" ht="34.5" customHeight="1">
      <c r="A649" s="36" t="s">
        <v>1435</v>
      </c>
      <c r="B649" s="37" t="s">
        <v>88</v>
      </c>
      <c r="C649" s="49" t="s">
        <v>63</v>
      </c>
      <c r="D649" s="50" t="s">
        <v>64</v>
      </c>
      <c r="E649" s="42" t="s">
        <v>65</v>
      </c>
      <c r="F649" s="42" t="s">
        <v>67</v>
      </c>
      <c r="G649" s="43" t="s">
        <v>55</v>
      </c>
      <c r="H649" s="36" t="s">
        <v>56</v>
      </c>
      <c r="I649" s="44" t="s">
        <v>1436</v>
      </c>
      <c r="J649" s="45" t="s">
        <v>1437</v>
      </c>
      <c r="K649" s="44"/>
      <c r="L649" s="44"/>
    </row>
    <row r="650" ht="34.5" customHeight="1">
      <c r="A650" s="46" t="s">
        <v>1438</v>
      </c>
      <c r="B650" s="47" t="s">
        <v>88</v>
      </c>
      <c r="C650" s="86" t="s">
        <v>164</v>
      </c>
      <c r="D650" s="50" t="s">
        <v>64</v>
      </c>
      <c r="E650" s="52" t="s">
        <v>165</v>
      </c>
      <c r="F650" s="52" t="s">
        <v>67</v>
      </c>
      <c r="G650" s="43" t="s">
        <v>55</v>
      </c>
      <c r="H650" s="46" t="s">
        <v>173</v>
      </c>
      <c r="I650" s="54" t="s">
        <v>1439</v>
      </c>
      <c r="J650" s="55" t="s">
        <v>1440</v>
      </c>
      <c r="K650" s="54"/>
      <c r="L650" s="54" t="s">
        <v>1441</v>
      </c>
    </row>
    <row r="651" ht="34.5" customHeight="1">
      <c r="A651" s="36" t="s">
        <v>1442</v>
      </c>
      <c r="B651" s="37" t="s">
        <v>88</v>
      </c>
      <c r="C651" s="49" t="s">
        <v>63</v>
      </c>
      <c r="D651" s="50" t="s">
        <v>64</v>
      </c>
      <c r="E651" s="42" t="s">
        <v>65</v>
      </c>
      <c r="F651" s="42" t="s">
        <v>67</v>
      </c>
      <c r="G651" s="43" t="s">
        <v>55</v>
      </c>
      <c r="H651" s="36" t="s">
        <v>56</v>
      </c>
      <c r="I651" s="44" t="s">
        <v>1443</v>
      </c>
      <c r="J651" s="45" t="s">
        <v>1444</v>
      </c>
      <c r="K651" s="44"/>
      <c r="L651" s="44"/>
    </row>
    <row r="652" ht="34.5" customHeight="1">
      <c r="A652" s="46" t="s">
        <v>1445</v>
      </c>
      <c r="B652" s="47" t="s">
        <v>88</v>
      </c>
      <c r="C652" s="62" t="s">
        <v>92</v>
      </c>
      <c r="D652" s="50" t="s">
        <v>64</v>
      </c>
      <c r="E652" s="52" t="s">
        <v>97</v>
      </c>
      <c r="F652" s="52" t="s">
        <v>67</v>
      </c>
      <c r="G652" s="43" t="s">
        <v>55</v>
      </c>
      <c r="H652" s="46" t="s">
        <v>56</v>
      </c>
      <c r="I652" s="54" t="s">
        <v>1446</v>
      </c>
      <c r="J652" s="55" t="s">
        <v>1447</v>
      </c>
      <c r="K652" s="54"/>
      <c r="L652" s="54"/>
    </row>
    <row r="653" ht="34.5" customHeight="1">
      <c r="A653" s="36" t="s">
        <v>1448</v>
      </c>
      <c r="B653" s="37" t="s">
        <v>88</v>
      </c>
      <c r="C653" s="62" t="s">
        <v>92</v>
      </c>
      <c r="D653" s="50" t="s">
        <v>64</v>
      </c>
      <c r="E653" s="42" t="s">
        <v>97</v>
      </c>
      <c r="F653" s="42" t="s">
        <v>67</v>
      </c>
      <c r="G653" s="43" t="s">
        <v>55</v>
      </c>
      <c r="H653" s="59" t="s">
        <v>187</v>
      </c>
      <c r="I653" s="44" t="s">
        <v>1446</v>
      </c>
      <c r="J653" s="45" t="s">
        <v>1447</v>
      </c>
      <c r="K653" s="44"/>
      <c r="L653" s="44" t="s">
        <v>1449</v>
      </c>
    </row>
    <row r="654" ht="34.5" customHeight="1">
      <c r="A654" s="46" t="s">
        <v>1450</v>
      </c>
      <c r="B654" s="47" t="s">
        <v>88</v>
      </c>
      <c r="C654" s="41" t="s">
        <v>52</v>
      </c>
      <c r="D654" s="62" t="s">
        <v>92</v>
      </c>
      <c r="E654" s="52" t="s">
        <v>54</v>
      </c>
      <c r="F654" s="52" t="s">
        <v>97</v>
      </c>
      <c r="G654" s="43" t="s">
        <v>55</v>
      </c>
      <c r="H654" s="46" t="s">
        <v>56</v>
      </c>
      <c r="I654" s="54" t="s">
        <v>1451</v>
      </c>
      <c r="J654" s="55" t="s">
        <v>1452</v>
      </c>
      <c r="K654" s="54"/>
      <c r="L654" s="54"/>
    </row>
    <row r="655" ht="34.5" customHeight="1">
      <c r="A655" s="36" t="s">
        <v>1453</v>
      </c>
      <c r="B655" s="37" t="s">
        <v>88</v>
      </c>
      <c r="C655" s="138" t="s">
        <v>199</v>
      </c>
      <c r="D655" s="50" t="s">
        <v>64</v>
      </c>
      <c r="E655" s="42" t="s">
        <v>200</v>
      </c>
      <c r="F655" s="42" t="s">
        <v>67</v>
      </c>
      <c r="G655" s="43" t="s">
        <v>55</v>
      </c>
      <c r="H655" s="36" t="s">
        <v>56</v>
      </c>
      <c r="I655" s="44" t="s">
        <v>1454</v>
      </c>
      <c r="J655" s="45" t="s">
        <v>1455</v>
      </c>
      <c r="K655" s="44"/>
      <c r="L655" s="44"/>
    </row>
    <row r="656" ht="34.5" customHeight="1">
      <c r="A656" s="46" t="s">
        <v>1456</v>
      </c>
      <c r="B656" s="47" t="s">
        <v>88</v>
      </c>
      <c r="C656" s="41" t="s">
        <v>52</v>
      </c>
      <c r="D656" s="138" t="s">
        <v>199</v>
      </c>
      <c r="E656" s="52" t="s">
        <v>54</v>
      </c>
      <c r="F656" s="52" t="s">
        <v>200</v>
      </c>
      <c r="G656" s="43" t="s">
        <v>55</v>
      </c>
      <c r="H656" s="46" t="s">
        <v>173</v>
      </c>
      <c r="I656" s="54" t="s">
        <v>1457</v>
      </c>
      <c r="J656" s="55" t="s">
        <v>1458</v>
      </c>
      <c r="K656" s="54"/>
      <c r="L656" s="54" t="s">
        <v>1459</v>
      </c>
    </row>
    <row r="657" ht="34.5" customHeight="1">
      <c r="A657" s="36" t="s">
        <v>1460</v>
      </c>
      <c r="B657" s="37" t="s">
        <v>88</v>
      </c>
      <c r="C657" s="49" t="s">
        <v>63</v>
      </c>
      <c r="D657" s="86" t="s">
        <v>164</v>
      </c>
      <c r="E657" s="42" t="s">
        <v>65</v>
      </c>
      <c r="F657" s="42" t="s">
        <v>165</v>
      </c>
      <c r="G657" s="43" t="s">
        <v>55</v>
      </c>
      <c r="H657" s="36" t="s">
        <v>56</v>
      </c>
      <c r="I657" s="44" t="s">
        <v>1461</v>
      </c>
      <c r="J657" s="45" t="s">
        <v>1462</v>
      </c>
      <c r="K657" s="44"/>
      <c r="L657" s="44"/>
    </row>
    <row r="658" ht="34.5" customHeight="1">
      <c r="A658" s="46" t="s">
        <v>1464</v>
      </c>
      <c r="B658" s="47" t="s">
        <v>88</v>
      </c>
      <c r="C658" s="79" t="s">
        <v>150</v>
      </c>
      <c r="D658" s="49" t="s">
        <v>63</v>
      </c>
      <c r="E658" s="52" t="s">
        <v>153</v>
      </c>
      <c r="F658" s="52" t="s">
        <v>65</v>
      </c>
      <c r="G658" s="43" t="s">
        <v>55</v>
      </c>
      <c r="H658" s="46" t="s">
        <v>191</v>
      </c>
      <c r="I658" s="54" t="s">
        <v>1465</v>
      </c>
      <c r="J658" s="55" t="s">
        <v>1466</v>
      </c>
      <c r="K658" s="54"/>
      <c r="L658" s="54"/>
    </row>
    <row r="659" ht="34.5" customHeight="1">
      <c r="A659" s="36" t="s">
        <v>1467</v>
      </c>
      <c r="B659" s="37" t="s">
        <v>88</v>
      </c>
      <c r="C659" s="62" t="s">
        <v>92</v>
      </c>
      <c r="D659" s="50" t="s">
        <v>64</v>
      </c>
      <c r="E659" s="42" t="s">
        <v>97</v>
      </c>
      <c r="F659" s="42" t="s">
        <v>67</v>
      </c>
      <c r="G659" s="43" t="s">
        <v>55</v>
      </c>
      <c r="H659" s="36" t="s">
        <v>56</v>
      </c>
      <c r="I659" s="44" t="s">
        <v>1468</v>
      </c>
      <c r="J659" s="45" t="s">
        <v>1469</v>
      </c>
      <c r="K659" s="44"/>
      <c r="L659" s="44"/>
    </row>
    <row r="660" ht="34.5" customHeight="1">
      <c r="A660" s="46" t="s">
        <v>1471</v>
      </c>
      <c r="B660" s="47" t="s">
        <v>88</v>
      </c>
      <c r="C660" s="138" t="s">
        <v>199</v>
      </c>
      <c r="D660" s="50" t="s">
        <v>64</v>
      </c>
      <c r="E660" s="52" t="s">
        <v>200</v>
      </c>
      <c r="F660" s="52" t="s">
        <v>67</v>
      </c>
      <c r="G660" s="43" t="s">
        <v>55</v>
      </c>
      <c r="H660" s="46" t="s">
        <v>56</v>
      </c>
      <c r="I660" s="54" t="s">
        <v>1472</v>
      </c>
      <c r="J660" s="55" t="s">
        <v>1473</v>
      </c>
      <c r="K660" s="54"/>
      <c r="L660" s="54"/>
    </row>
    <row r="661" ht="34.5" customHeight="1">
      <c r="A661" s="36" t="s">
        <v>1474</v>
      </c>
      <c r="B661" s="37" t="s">
        <v>88</v>
      </c>
      <c r="C661" s="138" t="s">
        <v>199</v>
      </c>
      <c r="D661" s="50" t="s">
        <v>64</v>
      </c>
      <c r="E661" s="42" t="s">
        <v>200</v>
      </c>
      <c r="F661" s="42" t="s">
        <v>67</v>
      </c>
      <c r="G661" s="43" t="s">
        <v>55</v>
      </c>
      <c r="H661" s="36" t="s">
        <v>191</v>
      </c>
      <c r="I661" s="44" t="s">
        <v>1475</v>
      </c>
      <c r="J661" s="45" t="s">
        <v>1476</v>
      </c>
      <c r="K661" s="44"/>
      <c r="L661" s="44"/>
    </row>
    <row r="662" ht="34.5" customHeight="1">
      <c r="A662" s="46" t="s">
        <v>1477</v>
      </c>
      <c r="B662" s="47" t="s">
        <v>88</v>
      </c>
      <c r="C662" s="41" t="s">
        <v>52</v>
      </c>
      <c r="D662" s="86" t="s">
        <v>164</v>
      </c>
      <c r="E662" s="52" t="s">
        <v>54</v>
      </c>
      <c r="F662" s="52" t="s">
        <v>165</v>
      </c>
      <c r="G662" s="43" t="s">
        <v>55</v>
      </c>
      <c r="H662" s="46" t="s">
        <v>56</v>
      </c>
      <c r="I662" s="54" t="s">
        <v>1478</v>
      </c>
      <c r="J662" s="55" t="s">
        <v>1479</v>
      </c>
      <c r="K662" s="54"/>
      <c r="L662" s="54"/>
    </row>
    <row r="663" ht="34.5" customHeight="1">
      <c r="A663" s="36" t="s">
        <v>1480</v>
      </c>
      <c r="B663" s="37" t="s">
        <v>88</v>
      </c>
      <c r="C663" s="41" t="s">
        <v>52</v>
      </c>
      <c r="D663" s="86" t="s">
        <v>164</v>
      </c>
      <c r="E663" s="42" t="s">
        <v>54</v>
      </c>
      <c r="F663" s="42" t="s">
        <v>165</v>
      </c>
      <c r="G663" s="43" t="s">
        <v>55</v>
      </c>
      <c r="H663" s="59" t="s">
        <v>187</v>
      </c>
      <c r="I663" s="44" t="s">
        <v>1478</v>
      </c>
      <c r="J663" s="45" t="s">
        <v>1479</v>
      </c>
      <c r="K663" s="44"/>
      <c r="L663" s="44" t="s">
        <v>1481</v>
      </c>
    </row>
    <row r="664" ht="34.5" customHeight="1">
      <c r="A664" s="46" t="s">
        <v>1482</v>
      </c>
      <c r="B664" s="47" t="s">
        <v>88</v>
      </c>
      <c r="C664" s="86" t="s">
        <v>164</v>
      </c>
      <c r="D664" s="50" t="s">
        <v>64</v>
      </c>
      <c r="E664" s="52" t="s">
        <v>165</v>
      </c>
      <c r="F664" s="52" t="s">
        <v>67</v>
      </c>
      <c r="G664" s="43" t="s">
        <v>55</v>
      </c>
      <c r="H664" s="46" t="s">
        <v>191</v>
      </c>
      <c r="I664" s="54" t="s">
        <v>1483</v>
      </c>
      <c r="J664" s="55" t="s">
        <v>1484</v>
      </c>
      <c r="K664" s="54"/>
      <c r="L664" s="54" t="s">
        <v>1485</v>
      </c>
    </row>
    <row r="665" ht="34.5" customHeight="1">
      <c r="A665" s="36" t="s">
        <v>1486</v>
      </c>
      <c r="B665" s="37" t="s">
        <v>88</v>
      </c>
      <c r="C665" s="62" t="s">
        <v>92</v>
      </c>
      <c r="D665" s="50" t="s">
        <v>64</v>
      </c>
      <c r="E665" s="42" t="s">
        <v>97</v>
      </c>
      <c r="F665" s="42" t="s">
        <v>67</v>
      </c>
      <c r="G665" s="43" t="s">
        <v>55</v>
      </c>
      <c r="H665" s="36" t="s">
        <v>173</v>
      </c>
      <c r="I665" s="44" t="s">
        <v>1487</v>
      </c>
      <c r="J665" s="45" t="s">
        <v>1488</v>
      </c>
      <c r="K665" s="44"/>
      <c r="L665" s="44"/>
    </row>
    <row r="666" ht="39.75" customHeight="1">
      <c r="A666" s="46" t="s">
        <v>1489</v>
      </c>
      <c r="B666" s="47" t="s">
        <v>88</v>
      </c>
      <c r="C666" s="41" t="s">
        <v>52</v>
      </c>
      <c r="D666" s="62" t="s">
        <v>92</v>
      </c>
      <c r="E666" s="52" t="s">
        <v>54</v>
      </c>
      <c r="F666" s="52" t="s">
        <v>97</v>
      </c>
      <c r="G666" s="43" t="s">
        <v>55</v>
      </c>
      <c r="H666" s="46" t="s">
        <v>191</v>
      </c>
      <c r="I666" s="54" t="s">
        <v>1490</v>
      </c>
      <c r="J666" s="55" t="s">
        <v>1491</v>
      </c>
      <c r="K666" s="54"/>
      <c r="L666" s="54" t="s">
        <v>1492</v>
      </c>
    </row>
    <row r="667" ht="34.5" customHeight="1">
      <c r="A667" s="36" t="s">
        <v>1493</v>
      </c>
      <c r="B667" s="37" t="s">
        <v>88</v>
      </c>
      <c r="C667" s="49" t="s">
        <v>63</v>
      </c>
      <c r="D667" s="86" t="s">
        <v>164</v>
      </c>
      <c r="E667" s="42" t="s">
        <v>65</v>
      </c>
      <c r="F667" s="42" t="s">
        <v>165</v>
      </c>
      <c r="G667" s="43" t="s">
        <v>55</v>
      </c>
      <c r="H667" s="36" t="s">
        <v>173</v>
      </c>
      <c r="I667" s="44" t="s">
        <v>1494</v>
      </c>
      <c r="J667" s="45" t="s">
        <v>1495</v>
      </c>
      <c r="K667" s="44" t="s">
        <v>1496</v>
      </c>
      <c r="L667" s="44"/>
    </row>
    <row r="668" ht="39.75" customHeight="1">
      <c r="A668" s="46" t="s">
        <v>1497</v>
      </c>
      <c r="B668" s="47" t="s">
        <v>88</v>
      </c>
      <c r="C668" s="149"/>
      <c r="D668" s="149"/>
      <c r="E668" s="52"/>
      <c r="F668" s="52"/>
      <c r="G668" s="150" t="s">
        <v>447</v>
      </c>
      <c r="H668" s="46" t="s">
        <v>198</v>
      </c>
      <c r="I668" s="54"/>
      <c r="J668" s="155"/>
      <c r="K668" s="54"/>
      <c r="L668" s="54" t="s">
        <v>448</v>
      </c>
    </row>
    <row r="669" ht="34.5" customHeight="1">
      <c r="A669" s="36" t="s">
        <v>1498</v>
      </c>
      <c r="B669" s="37" t="s">
        <v>88</v>
      </c>
      <c r="C669" s="62" t="s">
        <v>92</v>
      </c>
      <c r="D669" s="50" t="s">
        <v>64</v>
      </c>
      <c r="E669" s="42" t="s">
        <v>97</v>
      </c>
      <c r="F669" s="42" t="s">
        <v>67</v>
      </c>
      <c r="G669" s="43" t="s">
        <v>55</v>
      </c>
      <c r="H669" s="36" t="s">
        <v>191</v>
      </c>
      <c r="I669" s="44" t="s">
        <v>1499</v>
      </c>
      <c r="J669" s="45" t="s">
        <v>1500</v>
      </c>
      <c r="K669" s="44"/>
      <c r="L669" s="44"/>
    </row>
    <row r="670" ht="34.5" customHeight="1">
      <c r="A670" s="46" t="s">
        <v>1502</v>
      </c>
      <c r="B670" s="47" t="s">
        <v>88</v>
      </c>
      <c r="C670" s="62" t="s">
        <v>92</v>
      </c>
      <c r="D670" s="50" t="s">
        <v>64</v>
      </c>
      <c r="E670" s="52" t="s">
        <v>97</v>
      </c>
      <c r="F670" s="52" t="s">
        <v>67</v>
      </c>
      <c r="G670" s="43" t="s">
        <v>55</v>
      </c>
      <c r="H670" s="46" t="s">
        <v>56</v>
      </c>
      <c r="I670" s="54" t="s">
        <v>1506</v>
      </c>
      <c r="J670" s="55" t="s">
        <v>1507</v>
      </c>
      <c r="K670" s="54"/>
      <c r="L670" s="54"/>
    </row>
    <row r="671" ht="34.5" customHeight="1">
      <c r="A671" s="36" t="s">
        <v>1508</v>
      </c>
      <c r="B671" s="37" t="s">
        <v>88</v>
      </c>
      <c r="C671" s="86" t="s">
        <v>164</v>
      </c>
      <c r="D671" s="164" t="s">
        <v>196</v>
      </c>
      <c r="E671" s="42" t="s">
        <v>165</v>
      </c>
      <c r="F671" s="42" t="s">
        <v>197</v>
      </c>
      <c r="G671" s="43" t="s">
        <v>55</v>
      </c>
      <c r="H671" s="36" t="s">
        <v>56</v>
      </c>
      <c r="I671" s="44" t="s">
        <v>1509</v>
      </c>
      <c r="J671" s="45" t="s">
        <v>1510</v>
      </c>
      <c r="K671" s="44"/>
      <c r="L671" s="44" t="s">
        <v>269</v>
      </c>
    </row>
    <row r="672" ht="34.5" customHeight="1">
      <c r="A672" s="46" t="s">
        <v>1511</v>
      </c>
      <c r="B672" s="47" t="s">
        <v>88</v>
      </c>
      <c r="C672" s="86" t="s">
        <v>164</v>
      </c>
      <c r="D672" s="164" t="s">
        <v>196</v>
      </c>
      <c r="E672" s="52" t="s">
        <v>165</v>
      </c>
      <c r="F672" s="52" t="s">
        <v>197</v>
      </c>
      <c r="G672" s="43" t="s">
        <v>55</v>
      </c>
      <c r="H672" s="53" t="s">
        <v>187</v>
      </c>
      <c r="I672" s="54" t="s">
        <v>1509</v>
      </c>
      <c r="J672" s="55" t="s">
        <v>1510</v>
      </c>
      <c r="K672" s="54"/>
      <c r="L672" s="54" t="s">
        <v>1512</v>
      </c>
    </row>
    <row r="673" ht="34.5" customHeight="1">
      <c r="A673" s="36" t="s">
        <v>1513</v>
      </c>
      <c r="B673" s="37" t="s">
        <v>88</v>
      </c>
      <c r="C673" s="62" t="s">
        <v>92</v>
      </c>
      <c r="D673" s="138" t="s">
        <v>199</v>
      </c>
      <c r="E673" s="42" t="s">
        <v>97</v>
      </c>
      <c r="F673" s="42" t="s">
        <v>200</v>
      </c>
      <c r="G673" s="43" t="s">
        <v>55</v>
      </c>
      <c r="H673" s="36" t="s">
        <v>56</v>
      </c>
      <c r="I673" s="44" t="s">
        <v>1514</v>
      </c>
      <c r="J673" s="45" t="s">
        <v>1515</v>
      </c>
      <c r="K673" s="44"/>
      <c r="L673" s="44" t="s">
        <v>269</v>
      </c>
    </row>
    <row r="674" ht="34.5" customHeight="1">
      <c r="A674" s="46" t="s">
        <v>1516</v>
      </c>
      <c r="B674" s="47" t="s">
        <v>88</v>
      </c>
      <c r="C674" s="86" t="s">
        <v>164</v>
      </c>
      <c r="D674" s="50" t="s">
        <v>64</v>
      </c>
      <c r="E674" s="52" t="s">
        <v>165</v>
      </c>
      <c r="F674" s="52" t="s">
        <v>67</v>
      </c>
      <c r="G674" s="43" t="s">
        <v>55</v>
      </c>
      <c r="H674" s="46" t="s">
        <v>56</v>
      </c>
      <c r="I674" s="54" t="s">
        <v>1517</v>
      </c>
      <c r="J674" s="55" t="s">
        <v>1518</v>
      </c>
      <c r="K674" s="54"/>
      <c r="L674" s="54"/>
    </row>
    <row r="675" ht="34.5" customHeight="1">
      <c r="A675" s="36" t="s">
        <v>1519</v>
      </c>
      <c r="B675" s="37" t="s">
        <v>88</v>
      </c>
      <c r="C675" s="49" t="s">
        <v>63</v>
      </c>
      <c r="D675" s="138" t="s">
        <v>199</v>
      </c>
      <c r="E675" s="42" t="s">
        <v>65</v>
      </c>
      <c r="F675" s="42" t="s">
        <v>200</v>
      </c>
      <c r="G675" s="43" t="s">
        <v>55</v>
      </c>
      <c r="H675" s="36" t="s">
        <v>56</v>
      </c>
      <c r="I675" s="44" t="s">
        <v>1520</v>
      </c>
      <c r="J675" s="45" t="s">
        <v>1521</v>
      </c>
      <c r="K675" s="44"/>
      <c r="L675" s="44" t="s">
        <v>1522</v>
      </c>
    </row>
    <row r="676" ht="39.75" customHeight="1">
      <c r="A676" s="46" t="s">
        <v>1523</v>
      </c>
      <c r="B676" s="47" t="s">
        <v>88</v>
      </c>
      <c r="C676" s="50" t="s">
        <v>64</v>
      </c>
      <c r="D676" s="86" t="s">
        <v>164</v>
      </c>
      <c r="E676" s="52" t="s">
        <v>67</v>
      </c>
      <c r="F676" s="52" t="s">
        <v>165</v>
      </c>
      <c r="G676" s="43" t="s">
        <v>55</v>
      </c>
      <c r="H676" s="46" t="s">
        <v>179</v>
      </c>
      <c r="I676" s="54" t="s">
        <v>1524</v>
      </c>
      <c r="J676" s="55" t="s">
        <v>1525</v>
      </c>
      <c r="K676" s="54"/>
      <c r="L676" s="54" t="s">
        <v>1526</v>
      </c>
    </row>
    <row r="677" ht="34.5" customHeight="1">
      <c r="A677" s="36" t="s">
        <v>1527</v>
      </c>
      <c r="B677" s="37" t="s">
        <v>88</v>
      </c>
      <c r="C677" s="86" t="s">
        <v>164</v>
      </c>
      <c r="D677" s="50" t="s">
        <v>64</v>
      </c>
      <c r="E677" s="42" t="s">
        <v>165</v>
      </c>
      <c r="F677" s="42" t="s">
        <v>67</v>
      </c>
      <c r="G677" s="43" t="s">
        <v>55</v>
      </c>
      <c r="H677" s="36" t="s">
        <v>56</v>
      </c>
      <c r="I677" s="44" t="s">
        <v>1528</v>
      </c>
      <c r="J677" s="45" t="s">
        <v>1529</v>
      </c>
      <c r="K677" s="44"/>
      <c r="L677" s="44"/>
    </row>
    <row r="678" ht="34.5" customHeight="1">
      <c r="A678" s="46" t="s">
        <v>1530</v>
      </c>
      <c r="B678" s="47" t="s">
        <v>1531</v>
      </c>
      <c r="C678" s="41" t="s">
        <v>52</v>
      </c>
      <c r="D678" s="86" t="s">
        <v>164</v>
      </c>
      <c r="E678" s="52" t="s">
        <v>54</v>
      </c>
      <c r="F678" s="52" t="s">
        <v>165</v>
      </c>
      <c r="G678" s="43" t="s">
        <v>55</v>
      </c>
      <c r="H678" s="46" t="s">
        <v>56</v>
      </c>
      <c r="I678" s="54" t="s">
        <v>1532</v>
      </c>
      <c r="J678" s="55" t="s">
        <v>1533</v>
      </c>
      <c r="K678" s="54"/>
      <c r="L678" s="54"/>
    </row>
    <row r="679" ht="34.5" customHeight="1">
      <c r="A679" s="36" t="s">
        <v>1534</v>
      </c>
      <c r="B679" s="37" t="s">
        <v>1531</v>
      </c>
      <c r="C679" s="49" t="s">
        <v>63</v>
      </c>
      <c r="D679" s="50" t="s">
        <v>64</v>
      </c>
      <c r="E679" s="42" t="s">
        <v>65</v>
      </c>
      <c r="F679" s="42" t="s">
        <v>67</v>
      </c>
      <c r="G679" s="43" t="s">
        <v>55</v>
      </c>
      <c r="H679" s="59" t="s">
        <v>68</v>
      </c>
      <c r="I679" s="44" t="s">
        <v>1535</v>
      </c>
      <c r="J679" s="45" t="s">
        <v>1536</v>
      </c>
      <c r="K679" s="44" t="s">
        <v>551</v>
      </c>
      <c r="L679" s="44" t="s">
        <v>1537</v>
      </c>
    </row>
    <row r="680" ht="34.5" customHeight="1">
      <c r="A680" s="46" t="s">
        <v>1538</v>
      </c>
      <c r="B680" s="47" t="s">
        <v>1531</v>
      </c>
      <c r="C680" s="41" t="s">
        <v>52</v>
      </c>
      <c r="D680" s="86" t="s">
        <v>164</v>
      </c>
      <c r="E680" s="52" t="s">
        <v>54</v>
      </c>
      <c r="F680" s="52" t="s">
        <v>165</v>
      </c>
      <c r="G680" s="43" t="s">
        <v>55</v>
      </c>
      <c r="H680" s="53" t="s">
        <v>68</v>
      </c>
      <c r="I680" s="54" t="s">
        <v>1535</v>
      </c>
      <c r="J680" s="55" t="s">
        <v>1536</v>
      </c>
      <c r="K680" s="54" t="s">
        <v>551</v>
      </c>
      <c r="L680" s="54" t="s">
        <v>1537</v>
      </c>
    </row>
    <row r="681" ht="34.5" customHeight="1">
      <c r="A681" s="36" t="s">
        <v>1539</v>
      </c>
      <c r="B681" s="37" t="s">
        <v>1531</v>
      </c>
      <c r="C681" s="62" t="s">
        <v>92</v>
      </c>
      <c r="D681" s="50" t="s">
        <v>64</v>
      </c>
      <c r="E681" s="42" t="s">
        <v>97</v>
      </c>
      <c r="F681" s="42" t="s">
        <v>67</v>
      </c>
      <c r="G681" s="43" t="s">
        <v>55</v>
      </c>
      <c r="H681" s="59" t="s">
        <v>68</v>
      </c>
      <c r="I681" s="44" t="s">
        <v>1535</v>
      </c>
      <c r="J681" s="45" t="s">
        <v>1536</v>
      </c>
      <c r="K681" s="44" t="s">
        <v>551</v>
      </c>
      <c r="L681" s="44" t="s">
        <v>1537</v>
      </c>
    </row>
    <row r="682" ht="34.5" customHeight="1">
      <c r="A682" s="46" t="s">
        <v>1540</v>
      </c>
      <c r="B682" s="47" t="s">
        <v>1541</v>
      </c>
      <c r="C682" s="177" t="s">
        <v>205</v>
      </c>
      <c r="D682" s="50" t="s">
        <v>64</v>
      </c>
      <c r="E682" s="52" t="s">
        <v>206</v>
      </c>
      <c r="F682" s="52" t="s">
        <v>67</v>
      </c>
      <c r="G682" s="43" t="s">
        <v>55</v>
      </c>
      <c r="H682" s="53" t="s">
        <v>166</v>
      </c>
      <c r="I682" s="54" t="s">
        <v>1542</v>
      </c>
      <c r="J682" s="55" t="s">
        <v>1543</v>
      </c>
      <c r="K682" s="54" t="s">
        <v>1544</v>
      </c>
      <c r="L682" s="54" t="s">
        <v>1545</v>
      </c>
    </row>
    <row r="683" ht="34.5" customHeight="1">
      <c r="A683" s="36" t="s">
        <v>1546</v>
      </c>
      <c r="B683" s="37" t="s">
        <v>1541</v>
      </c>
      <c r="C683" s="62" t="s">
        <v>92</v>
      </c>
      <c r="D683" s="86" t="s">
        <v>164</v>
      </c>
      <c r="E683" s="42" t="s">
        <v>97</v>
      </c>
      <c r="F683" s="42" t="s">
        <v>165</v>
      </c>
      <c r="G683" s="43" t="s">
        <v>55</v>
      </c>
      <c r="H683" s="59" t="s">
        <v>166</v>
      </c>
      <c r="I683" s="44" t="s">
        <v>1542</v>
      </c>
      <c r="J683" s="45" t="s">
        <v>1543</v>
      </c>
      <c r="K683" s="44" t="s">
        <v>1544</v>
      </c>
      <c r="L683" s="44" t="s">
        <v>1545</v>
      </c>
    </row>
    <row r="684" ht="34.5" customHeight="1">
      <c r="A684" s="46" t="s">
        <v>1547</v>
      </c>
      <c r="B684" s="47" t="s">
        <v>1541</v>
      </c>
      <c r="C684" s="62" t="s">
        <v>92</v>
      </c>
      <c r="D684" s="50" t="s">
        <v>64</v>
      </c>
      <c r="E684" s="52" t="s">
        <v>97</v>
      </c>
      <c r="F684" s="52" t="s">
        <v>67</v>
      </c>
      <c r="G684" s="43" t="s">
        <v>55</v>
      </c>
      <c r="H684" s="53" t="s">
        <v>166</v>
      </c>
      <c r="I684" s="54" t="s">
        <v>1542</v>
      </c>
      <c r="J684" s="55" t="s">
        <v>1543</v>
      </c>
      <c r="K684" s="54" t="s">
        <v>1544</v>
      </c>
      <c r="L684" s="54" t="s">
        <v>1545</v>
      </c>
    </row>
    <row r="685" ht="34.5" customHeight="1">
      <c r="A685" s="36" t="s">
        <v>1548</v>
      </c>
      <c r="B685" s="37" t="s">
        <v>1541</v>
      </c>
      <c r="C685" s="41" t="s">
        <v>52</v>
      </c>
      <c r="D685" s="62" t="s">
        <v>92</v>
      </c>
      <c r="E685" s="42" t="s">
        <v>54</v>
      </c>
      <c r="F685" s="42" t="s">
        <v>97</v>
      </c>
      <c r="G685" s="43" t="s">
        <v>55</v>
      </c>
      <c r="H685" s="59" t="s">
        <v>166</v>
      </c>
      <c r="I685" s="44" t="s">
        <v>1542</v>
      </c>
      <c r="J685" s="45" t="s">
        <v>1543</v>
      </c>
      <c r="K685" s="44" t="s">
        <v>1544</v>
      </c>
      <c r="L685" s="44" t="s">
        <v>1545</v>
      </c>
    </row>
    <row r="686" ht="34.5" customHeight="1">
      <c r="A686" s="46" t="s">
        <v>1549</v>
      </c>
      <c r="B686" s="47" t="s">
        <v>1541</v>
      </c>
      <c r="C686" s="41" t="s">
        <v>52</v>
      </c>
      <c r="D686" s="62" t="s">
        <v>92</v>
      </c>
      <c r="E686" s="52" t="s">
        <v>54</v>
      </c>
      <c r="F686" s="52" t="s">
        <v>97</v>
      </c>
      <c r="G686" s="43" t="s">
        <v>55</v>
      </c>
      <c r="H686" s="46" t="s">
        <v>56</v>
      </c>
      <c r="I686" s="54" t="s">
        <v>1550</v>
      </c>
      <c r="J686" s="55" t="s">
        <v>1551</v>
      </c>
      <c r="K686" s="54"/>
      <c r="L686" s="54"/>
    </row>
    <row r="687" ht="34.5" customHeight="1">
      <c r="A687" s="36" t="s">
        <v>1552</v>
      </c>
      <c r="B687" s="37" t="s">
        <v>1553</v>
      </c>
      <c r="C687" s="86" t="s">
        <v>164</v>
      </c>
      <c r="D687" s="50" t="s">
        <v>64</v>
      </c>
      <c r="E687" s="42" t="s">
        <v>165</v>
      </c>
      <c r="F687" s="42" t="s">
        <v>67</v>
      </c>
      <c r="G687" s="43" t="s">
        <v>55</v>
      </c>
      <c r="H687" s="59" t="s">
        <v>166</v>
      </c>
      <c r="I687" s="44" t="s">
        <v>1554</v>
      </c>
      <c r="J687" s="45" t="s">
        <v>1555</v>
      </c>
      <c r="K687" s="44"/>
      <c r="L687" s="44" t="s">
        <v>1556</v>
      </c>
    </row>
    <row r="688" ht="34.5" customHeight="1">
      <c r="A688" s="46" t="s">
        <v>1557</v>
      </c>
      <c r="B688" s="47" t="s">
        <v>1553</v>
      </c>
      <c r="C688" s="41" t="s">
        <v>52</v>
      </c>
      <c r="D688" s="79" t="s">
        <v>150</v>
      </c>
      <c r="E688" s="52" t="s">
        <v>54</v>
      </c>
      <c r="F688" s="52" t="s">
        <v>153</v>
      </c>
      <c r="G688" s="43" t="s">
        <v>55</v>
      </c>
      <c r="H688" s="53" t="s">
        <v>166</v>
      </c>
      <c r="I688" s="54" t="s">
        <v>1554</v>
      </c>
      <c r="J688" s="55" t="s">
        <v>1555</v>
      </c>
      <c r="K688" s="54"/>
      <c r="L688" s="54" t="s">
        <v>1556</v>
      </c>
    </row>
    <row r="689" ht="34.5" customHeight="1">
      <c r="A689" s="36" t="s">
        <v>1558</v>
      </c>
      <c r="B689" s="37" t="s">
        <v>1553</v>
      </c>
      <c r="C689" s="49" t="s">
        <v>63</v>
      </c>
      <c r="D689" s="41" t="s">
        <v>52</v>
      </c>
      <c r="E689" s="42" t="s">
        <v>65</v>
      </c>
      <c r="F689" s="42" t="s">
        <v>54</v>
      </c>
      <c r="G689" s="43" t="s">
        <v>55</v>
      </c>
      <c r="H689" s="59" t="s">
        <v>166</v>
      </c>
      <c r="I689" s="44" t="s">
        <v>1554</v>
      </c>
      <c r="J689" s="45" t="s">
        <v>1555</v>
      </c>
      <c r="K689" s="44"/>
      <c r="L689" s="44" t="s">
        <v>1556</v>
      </c>
    </row>
    <row r="690" ht="34.5" customHeight="1">
      <c r="A690" s="46" t="s">
        <v>1559</v>
      </c>
      <c r="B690" s="47" t="s">
        <v>1553</v>
      </c>
      <c r="C690" s="56" t="s">
        <v>76</v>
      </c>
      <c r="D690" s="57" t="s">
        <v>78</v>
      </c>
      <c r="E690" s="52" t="s">
        <v>79</v>
      </c>
      <c r="F690" s="52" t="s">
        <v>81</v>
      </c>
      <c r="G690" s="43" t="s">
        <v>55</v>
      </c>
      <c r="H690" s="46" t="s">
        <v>56</v>
      </c>
      <c r="I690" s="54" t="s">
        <v>1560</v>
      </c>
      <c r="J690" s="55" t="s">
        <v>1561</v>
      </c>
      <c r="K690" s="54"/>
      <c r="L690" s="54"/>
    </row>
    <row r="691" ht="34.5" customHeight="1">
      <c r="A691" s="36" t="s">
        <v>1562</v>
      </c>
      <c r="B691" s="37" t="s">
        <v>1563</v>
      </c>
      <c r="C691" s="49" t="s">
        <v>63</v>
      </c>
      <c r="D691" s="50" t="s">
        <v>64</v>
      </c>
      <c r="E691" s="42" t="s">
        <v>65</v>
      </c>
      <c r="F691" s="42" t="s">
        <v>67</v>
      </c>
      <c r="G691" s="43" t="s">
        <v>55</v>
      </c>
      <c r="H691" s="59" t="s">
        <v>68</v>
      </c>
      <c r="I691" s="44" t="s">
        <v>1564</v>
      </c>
      <c r="J691" s="45" t="s">
        <v>1565</v>
      </c>
      <c r="K691" s="44" t="s">
        <v>1544</v>
      </c>
      <c r="L691" s="44" t="s">
        <v>1566</v>
      </c>
    </row>
    <row r="692" ht="34.5" customHeight="1">
      <c r="A692" s="46" t="s">
        <v>1567</v>
      </c>
      <c r="B692" s="47" t="s">
        <v>1563</v>
      </c>
      <c r="C692" s="49" t="s">
        <v>63</v>
      </c>
      <c r="D692" s="50" t="s">
        <v>64</v>
      </c>
      <c r="E692" s="52" t="s">
        <v>65</v>
      </c>
      <c r="F692" s="52" t="s">
        <v>67</v>
      </c>
      <c r="G692" s="43" t="s">
        <v>55</v>
      </c>
      <c r="H692" s="53" t="s">
        <v>68</v>
      </c>
      <c r="I692" s="54" t="s">
        <v>1564</v>
      </c>
      <c r="J692" s="55" t="s">
        <v>1565</v>
      </c>
      <c r="K692" s="54" t="s">
        <v>1544</v>
      </c>
      <c r="L692" s="54" t="s">
        <v>1566</v>
      </c>
    </row>
    <row r="693" ht="34.5" customHeight="1">
      <c r="A693" s="36" t="s">
        <v>1568</v>
      </c>
      <c r="B693" s="37" t="s">
        <v>1563</v>
      </c>
      <c r="C693" s="49" t="s">
        <v>63</v>
      </c>
      <c r="D693" s="149" t="s">
        <v>503</v>
      </c>
      <c r="E693" s="42" t="s">
        <v>65</v>
      </c>
      <c r="F693" s="42"/>
      <c r="G693" s="150" t="s">
        <v>35</v>
      </c>
      <c r="H693" s="36" t="s">
        <v>56</v>
      </c>
      <c r="I693" s="44" t="s">
        <v>1569</v>
      </c>
      <c r="J693" s="45" t="s">
        <v>1570</v>
      </c>
      <c r="K693" s="44"/>
      <c r="L693" s="44" t="s">
        <v>1571</v>
      </c>
    </row>
    <row r="694" ht="39.75" customHeight="1">
      <c r="A694" s="46" t="s">
        <v>1572</v>
      </c>
      <c r="B694" s="47" t="s">
        <v>1563</v>
      </c>
      <c r="C694" s="49" t="s">
        <v>63</v>
      </c>
      <c r="D694" s="50" t="s">
        <v>64</v>
      </c>
      <c r="E694" s="52" t="s">
        <v>65</v>
      </c>
      <c r="F694" s="52" t="s">
        <v>67</v>
      </c>
      <c r="G694" s="43" t="s">
        <v>55</v>
      </c>
      <c r="H694" s="53" t="s">
        <v>68</v>
      </c>
      <c r="I694" s="54" t="s">
        <v>1564</v>
      </c>
      <c r="J694" s="55" t="s">
        <v>1565</v>
      </c>
      <c r="K694" s="54" t="s">
        <v>1544</v>
      </c>
      <c r="L694" s="54" t="s">
        <v>1573</v>
      </c>
    </row>
    <row r="695" ht="39.75" customHeight="1">
      <c r="A695" s="36" t="s">
        <v>1574</v>
      </c>
      <c r="B695" s="37" t="s">
        <v>1563</v>
      </c>
      <c r="C695" s="49" t="s">
        <v>63</v>
      </c>
      <c r="D695" s="138" t="s">
        <v>199</v>
      </c>
      <c r="E695" s="42" t="s">
        <v>65</v>
      </c>
      <c r="F695" s="42" t="s">
        <v>200</v>
      </c>
      <c r="G695" s="43" t="s">
        <v>55</v>
      </c>
      <c r="H695" s="36" t="s">
        <v>56</v>
      </c>
      <c r="I695" s="44" t="s">
        <v>1575</v>
      </c>
      <c r="J695" s="45" t="s">
        <v>1576</v>
      </c>
      <c r="K695" s="44"/>
      <c r="L695" s="44" t="s">
        <v>1577</v>
      </c>
    </row>
    <row r="696" ht="39.75" customHeight="1">
      <c r="A696" s="46" t="s">
        <v>1578</v>
      </c>
      <c r="B696" s="47" t="s">
        <v>1563</v>
      </c>
      <c r="C696" s="49" t="s">
        <v>63</v>
      </c>
      <c r="D696" s="50" t="s">
        <v>64</v>
      </c>
      <c r="E696" s="52" t="s">
        <v>65</v>
      </c>
      <c r="F696" s="52" t="s">
        <v>67</v>
      </c>
      <c r="G696" s="43" t="s">
        <v>55</v>
      </c>
      <c r="H696" s="53" t="s">
        <v>68</v>
      </c>
      <c r="I696" s="54" t="s">
        <v>1564</v>
      </c>
      <c r="J696" s="55" t="s">
        <v>1565</v>
      </c>
      <c r="K696" s="54" t="s">
        <v>1544</v>
      </c>
      <c r="L696" s="54" t="s">
        <v>1573</v>
      </c>
    </row>
    <row r="697" ht="34.5" customHeight="1">
      <c r="A697" s="36" t="s">
        <v>1579</v>
      </c>
      <c r="B697" s="37" t="s">
        <v>1580</v>
      </c>
      <c r="C697" s="86" t="s">
        <v>164</v>
      </c>
      <c r="D697" s="50" t="s">
        <v>64</v>
      </c>
      <c r="E697" s="42" t="s">
        <v>165</v>
      </c>
      <c r="F697" s="42" t="s">
        <v>67</v>
      </c>
      <c r="G697" s="43" t="s">
        <v>55</v>
      </c>
      <c r="H697" s="36" t="s">
        <v>56</v>
      </c>
      <c r="I697" s="44" t="s">
        <v>1581</v>
      </c>
      <c r="J697" s="45" t="s">
        <v>1582</v>
      </c>
      <c r="K697" s="44"/>
      <c r="L697" s="44" t="s">
        <v>1583</v>
      </c>
    </row>
    <row r="698" ht="34.5" customHeight="1">
      <c r="A698" s="46" t="s">
        <v>1584</v>
      </c>
      <c r="B698" s="47" t="s">
        <v>1580</v>
      </c>
      <c r="C698" s="49" t="s">
        <v>63</v>
      </c>
      <c r="D698" s="50" t="s">
        <v>64</v>
      </c>
      <c r="E698" s="52" t="s">
        <v>65</v>
      </c>
      <c r="F698" s="52" t="s">
        <v>67</v>
      </c>
      <c r="G698" s="43" t="s">
        <v>55</v>
      </c>
      <c r="H698" s="46" t="s">
        <v>56</v>
      </c>
      <c r="I698" s="54" t="s">
        <v>1585</v>
      </c>
      <c r="J698" s="55" t="s">
        <v>1586</v>
      </c>
      <c r="K698" s="54"/>
      <c r="L698" s="54"/>
    </row>
    <row r="699" ht="34.5" customHeight="1">
      <c r="A699" s="36" t="s">
        <v>1587</v>
      </c>
      <c r="B699" s="37" t="s">
        <v>1580</v>
      </c>
      <c r="C699" s="86" t="s">
        <v>164</v>
      </c>
      <c r="D699" s="50" t="s">
        <v>64</v>
      </c>
      <c r="E699" s="42" t="s">
        <v>165</v>
      </c>
      <c r="F699" s="42" t="s">
        <v>67</v>
      </c>
      <c r="G699" s="43" t="s">
        <v>55</v>
      </c>
      <c r="H699" s="36" t="s">
        <v>56</v>
      </c>
      <c r="I699" s="44" t="s">
        <v>1588</v>
      </c>
      <c r="J699" s="45" t="s">
        <v>1589</v>
      </c>
      <c r="K699" s="44"/>
      <c r="L699" s="44"/>
    </row>
    <row r="700" ht="34.5" customHeight="1">
      <c r="A700" s="46" t="s">
        <v>1590</v>
      </c>
      <c r="B700" s="47" t="s">
        <v>1591</v>
      </c>
      <c r="C700" s="49" t="s">
        <v>63</v>
      </c>
      <c r="D700" s="50" t="s">
        <v>64</v>
      </c>
      <c r="E700" s="52" t="s">
        <v>65</v>
      </c>
      <c r="F700" s="52" t="s">
        <v>67</v>
      </c>
      <c r="G700" s="43" t="s">
        <v>55</v>
      </c>
      <c r="H700" s="53" t="s">
        <v>68</v>
      </c>
      <c r="I700" s="54" t="s">
        <v>1592</v>
      </c>
      <c r="J700" s="55" t="s">
        <v>1593</v>
      </c>
      <c r="K700" s="54" t="s">
        <v>1544</v>
      </c>
      <c r="L700" s="54" t="s">
        <v>1566</v>
      </c>
    </row>
    <row r="701" ht="34.5" customHeight="1">
      <c r="A701" s="36" t="s">
        <v>1594</v>
      </c>
      <c r="B701" s="37" t="s">
        <v>1591</v>
      </c>
      <c r="C701" s="49" t="s">
        <v>63</v>
      </c>
      <c r="D701" s="50" t="s">
        <v>64</v>
      </c>
      <c r="E701" s="42" t="s">
        <v>65</v>
      </c>
      <c r="F701" s="42" t="s">
        <v>67</v>
      </c>
      <c r="G701" s="43" t="s">
        <v>55</v>
      </c>
      <c r="H701" s="59" t="s">
        <v>68</v>
      </c>
      <c r="I701" s="44" t="s">
        <v>1592</v>
      </c>
      <c r="J701" s="45" t="s">
        <v>1593</v>
      </c>
      <c r="K701" s="44" t="s">
        <v>1544</v>
      </c>
      <c r="L701" s="44" t="s">
        <v>1566</v>
      </c>
    </row>
    <row r="702" ht="34.5" customHeight="1">
      <c r="A702" s="46" t="s">
        <v>1595</v>
      </c>
      <c r="B702" s="47" t="s">
        <v>1591</v>
      </c>
      <c r="C702" s="62" t="s">
        <v>92</v>
      </c>
      <c r="D702" s="50" t="s">
        <v>64</v>
      </c>
      <c r="E702" s="52" t="s">
        <v>97</v>
      </c>
      <c r="F702" s="52" t="s">
        <v>67</v>
      </c>
      <c r="G702" s="43" t="s">
        <v>55</v>
      </c>
      <c r="H702" s="53" t="s">
        <v>68</v>
      </c>
      <c r="I702" s="54" t="s">
        <v>1592</v>
      </c>
      <c r="J702" s="55" t="s">
        <v>1593</v>
      </c>
      <c r="K702" s="54" t="s">
        <v>1544</v>
      </c>
      <c r="L702" s="54" t="s">
        <v>1566</v>
      </c>
    </row>
    <row r="703" ht="34.5" customHeight="1">
      <c r="A703" s="36" t="s">
        <v>1596</v>
      </c>
      <c r="B703" s="37" t="s">
        <v>1591</v>
      </c>
      <c r="C703" s="138" t="s">
        <v>199</v>
      </c>
      <c r="D703" s="50" t="s">
        <v>64</v>
      </c>
      <c r="E703" s="42" t="s">
        <v>200</v>
      </c>
      <c r="F703" s="42" t="s">
        <v>67</v>
      </c>
      <c r="G703" s="43" t="s">
        <v>55</v>
      </c>
      <c r="H703" s="59" t="s">
        <v>68</v>
      </c>
      <c r="I703" s="44" t="s">
        <v>1592</v>
      </c>
      <c r="J703" s="45" t="s">
        <v>1593</v>
      </c>
      <c r="K703" s="44" t="s">
        <v>1544</v>
      </c>
      <c r="L703" s="44" t="s">
        <v>1566</v>
      </c>
    </row>
    <row r="704" ht="34.5" customHeight="1">
      <c r="A704" s="46" t="s">
        <v>1597</v>
      </c>
      <c r="B704" s="47" t="s">
        <v>1591</v>
      </c>
      <c r="C704" s="56" t="s">
        <v>76</v>
      </c>
      <c r="D704" s="62" t="s">
        <v>92</v>
      </c>
      <c r="E704" s="52" t="s">
        <v>79</v>
      </c>
      <c r="F704" s="52" t="s">
        <v>97</v>
      </c>
      <c r="G704" s="43" t="s">
        <v>55</v>
      </c>
      <c r="H704" s="53" t="s">
        <v>68</v>
      </c>
      <c r="I704" s="54" t="s">
        <v>1592</v>
      </c>
      <c r="J704" s="55" t="s">
        <v>1593</v>
      </c>
      <c r="K704" s="54" t="s">
        <v>1544</v>
      </c>
      <c r="L704" s="54" t="s">
        <v>1566</v>
      </c>
    </row>
    <row r="705" ht="34.5" customHeight="1">
      <c r="A705" s="36" t="s">
        <v>1598</v>
      </c>
      <c r="B705" s="37" t="s">
        <v>1599</v>
      </c>
      <c r="C705" s="86" t="s">
        <v>164</v>
      </c>
      <c r="D705" s="162" t="s">
        <v>212</v>
      </c>
      <c r="E705" s="42" t="s">
        <v>165</v>
      </c>
      <c r="F705" s="42" t="s">
        <v>213</v>
      </c>
      <c r="G705" s="43" t="s">
        <v>55</v>
      </c>
      <c r="H705" s="36" t="s">
        <v>56</v>
      </c>
      <c r="I705" s="44" t="s">
        <v>1600</v>
      </c>
      <c r="J705" s="45" t="s">
        <v>1601</v>
      </c>
      <c r="K705" s="44"/>
      <c r="L705" s="44" t="s">
        <v>1602</v>
      </c>
    </row>
    <row r="706" ht="34.5" customHeight="1">
      <c r="A706" s="46" t="s">
        <v>1603</v>
      </c>
      <c r="B706" s="47" t="s">
        <v>1604</v>
      </c>
      <c r="C706" s="136" t="s">
        <v>210</v>
      </c>
      <c r="D706" s="86" t="s">
        <v>164</v>
      </c>
      <c r="E706" s="52" t="s">
        <v>211</v>
      </c>
      <c r="F706" s="52" t="s">
        <v>165</v>
      </c>
      <c r="G706" s="43" t="s">
        <v>55</v>
      </c>
      <c r="H706" s="46" t="s">
        <v>56</v>
      </c>
      <c r="I706" s="54" t="s">
        <v>1605</v>
      </c>
      <c r="J706" s="55" t="s">
        <v>1606</v>
      </c>
      <c r="K706" s="54"/>
      <c r="L706" s="54"/>
    </row>
    <row r="707" ht="34.5" customHeight="1">
      <c r="A707" s="36" t="s">
        <v>1607</v>
      </c>
      <c r="B707" s="37" t="s">
        <v>1608</v>
      </c>
      <c r="C707" s="138" t="s">
        <v>199</v>
      </c>
      <c r="D707" s="50" t="s">
        <v>64</v>
      </c>
      <c r="E707" s="42" t="s">
        <v>200</v>
      </c>
      <c r="F707" s="42" t="s">
        <v>67</v>
      </c>
      <c r="G707" s="43" t="s">
        <v>55</v>
      </c>
      <c r="H707" s="36" t="s">
        <v>56</v>
      </c>
      <c r="I707" s="44" t="s">
        <v>1609</v>
      </c>
      <c r="J707" s="45" t="s">
        <v>1610</v>
      </c>
      <c r="K707" s="44"/>
      <c r="L707" s="44"/>
    </row>
    <row r="708" ht="34.5" customHeight="1">
      <c r="A708" s="46" t="s">
        <v>1611</v>
      </c>
      <c r="B708" s="47" t="s">
        <v>1608</v>
      </c>
      <c r="C708" s="49" t="s">
        <v>63</v>
      </c>
      <c r="D708" s="50" t="s">
        <v>64</v>
      </c>
      <c r="E708" s="52" t="s">
        <v>65</v>
      </c>
      <c r="F708" s="52" t="s">
        <v>67</v>
      </c>
      <c r="G708" s="43" t="s">
        <v>55</v>
      </c>
      <c r="H708" s="46" t="s">
        <v>56</v>
      </c>
      <c r="I708" s="54" t="s">
        <v>1612</v>
      </c>
      <c r="J708" s="55" t="s">
        <v>1613</v>
      </c>
      <c r="K708" s="54"/>
      <c r="L708" s="54"/>
    </row>
    <row r="709" ht="34.5" customHeight="1">
      <c r="A709" s="36" t="s">
        <v>1614</v>
      </c>
      <c r="B709" s="37" t="s">
        <v>1608</v>
      </c>
      <c r="C709" s="169" t="s">
        <v>176</v>
      </c>
      <c r="D709" s="50" t="s">
        <v>64</v>
      </c>
      <c r="E709" s="42" t="s">
        <v>178</v>
      </c>
      <c r="F709" s="42" t="s">
        <v>67</v>
      </c>
      <c r="G709" s="43" t="s">
        <v>55</v>
      </c>
      <c r="H709" s="36" t="s">
        <v>195</v>
      </c>
      <c r="I709" s="44" t="s">
        <v>1615</v>
      </c>
      <c r="J709" s="45" t="s">
        <v>1616</v>
      </c>
      <c r="K709" s="44"/>
      <c r="L709" s="44" t="s">
        <v>1617</v>
      </c>
    </row>
    <row r="710" ht="34.5" customHeight="1">
      <c r="A710" s="46" t="s">
        <v>1618</v>
      </c>
      <c r="B710" s="47" t="s">
        <v>1608</v>
      </c>
      <c r="C710" s="49" t="s">
        <v>63</v>
      </c>
      <c r="D710" s="62" t="s">
        <v>92</v>
      </c>
      <c r="E710" s="52" t="s">
        <v>65</v>
      </c>
      <c r="F710" s="52" t="s">
        <v>97</v>
      </c>
      <c r="G710" s="43" t="s">
        <v>55</v>
      </c>
      <c r="H710" s="46" t="s">
        <v>56</v>
      </c>
      <c r="I710" s="54" t="s">
        <v>1619</v>
      </c>
      <c r="J710" s="55" t="s">
        <v>1620</v>
      </c>
      <c r="K710" s="54"/>
      <c r="L710" s="54"/>
    </row>
    <row r="711" ht="34.5" customHeight="1">
      <c r="A711" s="36" t="s">
        <v>1621</v>
      </c>
      <c r="B711" s="37" t="s">
        <v>1622</v>
      </c>
      <c r="C711" s="57" t="s">
        <v>78</v>
      </c>
      <c r="D711" s="50" t="s">
        <v>64</v>
      </c>
      <c r="E711" s="42" t="s">
        <v>81</v>
      </c>
      <c r="F711" s="42" t="s">
        <v>67</v>
      </c>
      <c r="G711" s="43" t="s">
        <v>55</v>
      </c>
      <c r="H711" s="36" t="s">
        <v>56</v>
      </c>
      <c r="I711" s="44" t="s">
        <v>1623</v>
      </c>
      <c r="J711" s="45" t="s">
        <v>1624</v>
      </c>
      <c r="K711" s="44"/>
      <c r="L711" s="44"/>
    </row>
    <row r="712" ht="34.5" customHeight="1">
      <c r="A712" s="46" t="s">
        <v>1625</v>
      </c>
      <c r="B712" s="47" t="s">
        <v>1626</v>
      </c>
      <c r="C712" s="50" t="s">
        <v>64</v>
      </c>
      <c r="D712" s="86" t="s">
        <v>164</v>
      </c>
      <c r="E712" s="52" t="s">
        <v>67</v>
      </c>
      <c r="F712" s="52" t="s">
        <v>165</v>
      </c>
      <c r="G712" s="43" t="s">
        <v>55</v>
      </c>
      <c r="H712" s="46" t="s">
        <v>56</v>
      </c>
      <c r="I712" s="54" t="s">
        <v>1627</v>
      </c>
      <c r="J712" s="55" t="s">
        <v>1628</v>
      </c>
      <c r="K712" s="54"/>
      <c r="L712" s="54"/>
    </row>
    <row r="713" ht="34.5" customHeight="1">
      <c r="A713" s="36" t="s">
        <v>1629</v>
      </c>
      <c r="B713" s="37" t="s">
        <v>1630</v>
      </c>
      <c r="C713" s="62" t="s">
        <v>92</v>
      </c>
      <c r="D713" s="41" t="s">
        <v>52</v>
      </c>
      <c r="E713" s="42" t="s">
        <v>97</v>
      </c>
      <c r="F713" s="42" t="s">
        <v>54</v>
      </c>
      <c r="G713" s="43" t="s">
        <v>55</v>
      </c>
      <c r="H713" s="36" t="s">
        <v>56</v>
      </c>
      <c r="I713" s="44" t="s">
        <v>1631</v>
      </c>
      <c r="J713" s="45" t="s">
        <v>1632</v>
      </c>
      <c r="K713" s="44"/>
      <c r="L713" s="44"/>
    </row>
    <row r="714" ht="34.5" customHeight="1">
      <c r="A714" s="46" t="s">
        <v>1633</v>
      </c>
      <c r="B714" s="47" t="s">
        <v>1634</v>
      </c>
      <c r="C714" s="138" t="s">
        <v>199</v>
      </c>
      <c r="D714" s="50" t="s">
        <v>64</v>
      </c>
      <c r="E714" s="52" t="s">
        <v>200</v>
      </c>
      <c r="F714" s="52" t="s">
        <v>67</v>
      </c>
      <c r="G714" s="43" t="s">
        <v>55</v>
      </c>
      <c r="H714" s="46" t="s">
        <v>56</v>
      </c>
      <c r="I714" s="54" t="s">
        <v>1635</v>
      </c>
      <c r="J714" s="55" t="s">
        <v>1636</v>
      </c>
      <c r="K714" s="54"/>
      <c r="L714" s="54"/>
    </row>
    <row r="715" ht="34.5" customHeight="1">
      <c r="A715" s="36" t="s">
        <v>1637</v>
      </c>
      <c r="B715" s="37" t="s">
        <v>1634</v>
      </c>
      <c r="C715" s="178" t="s">
        <v>203</v>
      </c>
      <c r="D715" s="50" t="s">
        <v>64</v>
      </c>
      <c r="E715" s="42" t="s">
        <v>204</v>
      </c>
      <c r="F715" s="42" t="s">
        <v>67</v>
      </c>
      <c r="G715" s="43" t="s">
        <v>55</v>
      </c>
      <c r="H715" s="36" t="s">
        <v>56</v>
      </c>
      <c r="I715" s="44" t="s">
        <v>1638</v>
      </c>
      <c r="J715" s="45" t="s">
        <v>1639</v>
      </c>
      <c r="K715" s="44"/>
      <c r="L715" s="44"/>
    </row>
    <row r="716" ht="34.5" customHeight="1">
      <c r="A716" s="46" t="s">
        <v>1640</v>
      </c>
      <c r="B716" s="47" t="s">
        <v>1641</v>
      </c>
      <c r="C716" s="62" t="s">
        <v>92</v>
      </c>
      <c r="D716" s="50" t="s">
        <v>64</v>
      </c>
      <c r="E716" s="52" t="s">
        <v>97</v>
      </c>
      <c r="F716" s="52" t="s">
        <v>67</v>
      </c>
      <c r="G716" s="43" t="s">
        <v>55</v>
      </c>
      <c r="H716" s="46" t="s">
        <v>56</v>
      </c>
      <c r="I716" s="54" t="s">
        <v>1642</v>
      </c>
      <c r="J716" s="55" t="s">
        <v>1643</v>
      </c>
      <c r="K716" s="54"/>
      <c r="L716" s="54"/>
    </row>
    <row r="717" ht="34.5" customHeight="1">
      <c r="A717" s="36" t="s">
        <v>1644</v>
      </c>
      <c r="B717" s="37" t="s">
        <v>1641</v>
      </c>
      <c r="C717" s="50" t="s">
        <v>64</v>
      </c>
      <c r="D717" s="62" t="s">
        <v>92</v>
      </c>
      <c r="E717" s="42" t="s">
        <v>67</v>
      </c>
      <c r="F717" s="42" t="s">
        <v>97</v>
      </c>
      <c r="G717" s="43" t="s">
        <v>55</v>
      </c>
      <c r="H717" s="36" t="s">
        <v>56</v>
      </c>
      <c r="I717" s="44" t="s">
        <v>1645</v>
      </c>
      <c r="J717" s="45" t="s">
        <v>1646</v>
      </c>
      <c r="K717" s="44"/>
      <c r="L717" s="44" t="s">
        <v>1647</v>
      </c>
    </row>
    <row r="718" ht="34.5" customHeight="1">
      <c r="A718" s="46" t="s">
        <v>1648</v>
      </c>
      <c r="B718" s="47" t="s">
        <v>1649</v>
      </c>
      <c r="C718" s="138" t="s">
        <v>199</v>
      </c>
      <c r="D718" s="50" t="s">
        <v>64</v>
      </c>
      <c r="E718" s="52" t="s">
        <v>200</v>
      </c>
      <c r="F718" s="52" t="s">
        <v>67</v>
      </c>
      <c r="G718" s="43" t="s">
        <v>55</v>
      </c>
      <c r="H718" s="46" t="s">
        <v>56</v>
      </c>
      <c r="I718" s="54" t="s">
        <v>1650</v>
      </c>
      <c r="J718" s="55" t="s">
        <v>1651</v>
      </c>
      <c r="K718" s="54"/>
      <c r="L718" s="54"/>
    </row>
    <row r="719" ht="34.5" customHeight="1">
      <c r="A719" s="36" t="s">
        <v>1652</v>
      </c>
      <c r="B719" s="37" t="s">
        <v>1653</v>
      </c>
      <c r="C719" s="49" t="s">
        <v>63</v>
      </c>
      <c r="D719" s="50" t="s">
        <v>64</v>
      </c>
      <c r="E719" s="42" t="s">
        <v>65</v>
      </c>
      <c r="F719" s="42" t="s">
        <v>67</v>
      </c>
      <c r="G719" s="43" t="s">
        <v>55</v>
      </c>
      <c r="H719" s="36" t="s">
        <v>56</v>
      </c>
      <c r="I719" s="44" t="s">
        <v>1654</v>
      </c>
      <c r="J719" s="45" t="s">
        <v>1655</v>
      </c>
      <c r="K719" s="44"/>
      <c r="L719" s="44"/>
    </row>
    <row r="720" ht="34.5" customHeight="1">
      <c r="A720" s="46" t="s">
        <v>1656</v>
      </c>
      <c r="B720" s="47" t="s">
        <v>1657</v>
      </c>
      <c r="C720" s="41" t="s">
        <v>52</v>
      </c>
      <c r="D720" s="49" t="s">
        <v>63</v>
      </c>
      <c r="E720" s="52" t="s">
        <v>54</v>
      </c>
      <c r="F720" s="52" t="s">
        <v>65</v>
      </c>
      <c r="G720" s="43" t="s">
        <v>55</v>
      </c>
      <c r="H720" s="46" t="s">
        <v>56</v>
      </c>
      <c r="I720" s="54" t="s">
        <v>1658</v>
      </c>
      <c r="J720" s="55" t="s">
        <v>1659</v>
      </c>
      <c r="K720" s="54"/>
      <c r="L720" s="54" t="s">
        <v>1660</v>
      </c>
    </row>
    <row r="721" ht="34.5" customHeight="1">
      <c r="A721" s="36" t="s">
        <v>1661</v>
      </c>
      <c r="B721" s="37" t="s">
        <v>1657</v>
      </c>
      <c r="C721" s="62" t="s">
        <v>92</v>
      </c>
      <c r="D721" s="50" t="s">
        <v>64</v>
      </c>
      <c r="E721" s="42" t="s">
        <v>97</v>
      </c>
      <c r="F721" s="42" t="s">
        <v>67</v>
      </c>
      <c r="G721" s="43" t="s">
        <v>55</v>
      </c>
      <c r="H721" s="36" t="s">
        <v>56</v>
      </c>
      <c r="I721" s="44" t="s">
        <v>1663</v>
      </c>
      <c r="J721" s="45" t="s">
        <v>1664</v>
      </c>
      <c r="K721" s="44"/>
      <c r="L721" s="44"/>
    </row>
    <row r="722" ht="34.5" customHeight="1">
      <c r="A722" s="46" t="s">
        <v>1665</v>
      </c>
      <c r="B722" s="47" t="s">
        <v>1667</v>
      </c>
      <c r="C722" s="49" t="s">
        <v>63</v>
      </c>
      <c r="D722" s="50" t="s">
        <v>64</v>
      </c>
      <c r="E722" s="52" t="s">
        <v>65</v>
      </c>
      <c r="F722" s="52" t="s">
        <v>67</v>
      </c>
      <c r="G722" s="43" t="s">
        <v>55</v>
      </c>
      <c r="H722" s="46" t="s">
        <v>56</v>
      </c>
      <c r="I722" s="54" t="s">
        <v>1668</v>
      </c>
      <c r="J722" s="55" t="s">
        <v>1669</v>
      </c>
      <c r="K722" s="54"/>
      <c r="L722" s="54"/>
    </row>
    <row r="723" ht="34.5" customHeight="1">
      <c r="A723" s="36" t="s">
        <v>1670</v>
      </c>
      <c r="B723" s="37" t="s">
        <v>1667</v>
      </c>
      <c r="C723" s="62" t="s">
        <v>92</v>
      </c>
      <c r="D723" s="41" t="s">
        <v>52</v>
      </c>
      <c r="E723" s="42" t="s">
        <v>97</v>
      </c>
      <c r="F723" s="42" t="s">
        <v>54</v>
      </c>
      <c r="G723" s="43" t="s">
        <v>55</v>
      </c>
      <c r="H723" s="36" t="s">
        <v>56</v>
      </c>
      <c r="I723" s="44" t="s">
        <v>1671</v>
      </c>
      <c r="J723" s="45" t="s">
        <v>1672</v>
      </c>
      <c r="K723" s="44"/>
      <c r="L723" s="44"/>
    </row>
    <row r="724" ht="34.5" customHeight="1">
      <c r="A724" s="46" t="s">
        <v>1674</v>
      </c>
      <c r="B724" s="47" t="s">
        <v>1675</v>
      </c>
      <c r="C724" s="138" t="s">
        <v>199</v>
      </c>
      <c r="D724" s="50" t="s">
        <v>64</v>
      </c>
      <c r="E724" s="52" t="s">
        <v>200</v>
      </c>
      <c r="F724" s="52" t="s">
        <v>67</v>
      </c>
      <c r="G724" s="43" t="s">
        <v>55</v>
      </c>
      <c r="H724" s="46" t="s">
        <v>56</v>
      </c>
      <c r="I724" s="54" t="s">
        <v>1676</v>
      </c>
      <c r="J724" s="55" t="s">
        <v>1677</v>
      </c>
      <c r="K724" s="54"/>
      <c r="L724" s="54"/>
    </row>
    <row r="725" ht="34.5" customHeight="1">
      <c r="A725" s="36" t="s">
        <v>1679</v>
      </c>
      <c r="B725" s="37" t="s">
        <v>1675</v>
      </c>
      <c r="C725" s="62" t="s">
        <v>92</v>
      </c>
      <c r="D725" s="50" t="s">
        <v>64</v>
      </c>
      <c r="E725" s="42" t="s">
        <v>97</v>
      </c>
      <c r="F725" s="42" t="s">
        <v>67</v>
      </c>
      <c r="G725" s="43" t="s">
        <v>55</v>
      </c>
      <c r="H725" s="36" t="s">
        <v>56</v>
      </c>
      <c r="I725" s="44" t="s">
        <v>1680</v>
      </c>
      <c r="J725" s="45" t="s">
        <v>1681</v>
      </c>
      <c r="K725" s="44"/>
      <c r="L725" s="44" t="s">
        <v>1682</v>
      </c>
    </row>
    <row r="726" ht="34.5" customHeight="1">
      <c r="A726" s="46" t="s">
        <v>1683</v>
      </c>
      <c r="B726" s="47" t="s">
        <v>1684</v>
      </c>
      <c r="C726" s="50" t="s">
        <v>64</v>
      </c>
      <c r="D726" s="62" t="s">
        <v>92</v>
      </c>
      <c r="E726" s="52" t="s">
        <v>67</v>
      </c>
      <c r="F726" s="52" t="s">
        <v>97</v>
      </c>
      <c r="G726" s="43" t="s">
        <v>55</v>
      </c>
      <c r="H726" s="46" t="s">
        <v>56</v>
      </c>
      <c r="I726" s="54" t="s">
        <v>1685</v>
      </c>
      <c r="J726" s="55" t="s">
        <v>1686</v>
      </c>
      <c r="K726" s="54"/>
      <c r="L726" s="54"/>
    </row>
    <row r="727" ht="34.5" customHeight="1">
      <c r="A727" s="36" t="s">
        <v>1687</v>
      </c>
      <c r="B727" s="37" t="s">
        <v>1684</v>
      </c>
      <c r="C727" s="50" t="s">
        <v>64</v>
      </c>
      <c r="D727" s="62" t="s">
        <v>92</v>
      </c>
      <c r="E727" s="42" t="s">
        <v>67</v>
      </c>
      <c r="F727" s="42" t="s">
        <v>97</v>
      </c>
      <c r="G727" s="43" t="s">
        <v>55</v>
      </c>
      <c r="H727" s="36" t="s">
        <v>56</v>
      </c>
      <c r="I727" s="44" t="s">
        <v>1689</v>
      </c>
      <c r="J727" s="45" t="s">
        <v>1690</v>
      </c>
      <c r="K727" s="44"/>
      <c r="L727" s="44"/>
    </row>
    <row r="728" ht="34.5" customHeight="1">
      <c r="A728" s="46" t="s">
        <v>1691</v>
      </c>
      <c r="B728" s="47" t="s">
        <v>1684</v>
      </c>
      <c r="C728" s="86" t="s">
        <v>164</v>
      </c>
      <c r="D728" s="49" t="s">
        <v>63</v>
      </c>
      <c r="E728" s="52" t="s">
        <v>165</v>
      </c>
      <c r="F728" s="52" t="s">
        <v>65</v>
      </c>
      <c r="G728" s="43" t="s">
        <v>55</v>
      </c>
      <c r="H728" s="46" t="s">
        <v>56</v>
      </c>
      <c r="I728" s="54" t="s">
        <v>1692</v>
      </c>
      <c r="J728" s="55" t="s">
        <v>1693</v>
      </c>
      <c r="K728" s="54"/>
      <c r="L728" s="54"/>
    </row>
    <row r="729" ht="34.5" customHeight="1">
      <c r="A729" s="36" t="s">
        <v>1694</v>
      </c>
      <c r="B729" s="37" t="s">
        <v>1684</v>
      </c>
      <c r="C729" s="49" t="s">
        <v>63</v>
      </c>
      <c r="D729" s="41" t="s">
        <v>52</v>
      </c>
      <c r="E729" s="42" t="s">
        <v>65</v>
      </c>
      <c r="F729" s="42" t="s">
        <v>54</v>
      </c>
      <c r="G729" s="43" t="s">
        <v>55</v>
      </c>
      <c r="H729" s="36" t="s">
        <v>56</v>
      </c>
      <c r="I729" s="44" t="s">
        <v>1695</v>
      </c>
      <c r="J729" s="45" t="s">
        <v>1696</v>
      </c>
      <c r="K729" s="44"/>
      <c r="L729" s="44"/>
    </row>
    <row r="730" ht="34.5" customHeight="1">
      <c r="A730" s="46" t="s">
        <v>1697</v>
      </c>
      <c r="B730" s="47" t="s">
        <v>1698</v>
      </c>
      <c r="C730" s="49" t="s">
        <v>63</v>
      </c>
      <c r="D730" s="62" t="s">
        <v>92</v>
      </c>
      <c r="E730" s="52" t="s">
        <v>65</v>
      </c>
      <c r="F730" s="52" t="s">
        <v>97</v>
      </c>
      <c r="G730" s="43" t="s">
        <v>55</v>
      </c>
      <c r="H730" s="46" t="s">
        <v>56</v>
      </c>
      <c r="I730" s="54" t="s">
        <v>1699</v>
      </c>
      <c r="J730" s="55" t="s">
        <v>1700</v>
      </c>
      <c r="K730" s="54"/>
      <c r="L730" s="54" t="s">
        <v>1701</v>
      </c>
    </row>
    <row r="731" ht="34.5" customHeight="1">
      <c r="A731" s="36" t="s">
        <v>1702</v>
      </c>
      <c r="B731" s="37" t="s">
        <v>1703</v>
      </c>
      <c r="C731" s="49" t="s">
        <v>63</v>
      </c>
      <c r="D731" s="50" t="s">
        <v>64</v>
      </c>
      <c r="E731" s="42" t="s">
        <v>65</v>
      </c>
      <c r="F731" s="42" t="s">
        <v>67</v>
      </c>
      <c r="G731" s="43" t="s">
        <v>55</v>
      </c>
      <c r="H731" s="36" t="s">
        <v>56</v>
      </c>
      <c r="I731" s="44" t="s">
        <v>1704</v>
      </c>
      <c r="J731" s="45" t="s">
        <v>1705</v>
      </c>
      <c r="K731" s="44"/>
      <c r="L731" s="44"/>
    </row>
    <row r="732" ht="34.5" customHeight="1">
      <c r="A732" s="46" t="s">
        <v>1706</v>
      </c>
      <c r="B732" s="47" t="s">
        <v>1707</v>
      </c>
      <c r="C732" s="138" t="s">
        <v>199</v>
      </c>
      <c r="D732" s="136" t="s">
        <v>210</v>
      </c>
      <c r="E732" s="52" t="s">
        <v>200</v>
      </c>
      <c r="F732" s="52" t="s">
        <v>211</v>
      </c>
      <c r="G732" s="43" t="s">
        <v>55</v>
      </c>
      <c r="H732" s="46" t="s">
        <v>56</v>
      </c>
      <c r="I732" s="54" t="s">
        <v>1708</v>
      </c>
      <c r="J732" s="55" t="s">
        <v>1709</v>
      </c>
      <c r="K732" s="54"/>
      <c r="L732" s="54"/>
    </row>
    <row r="733" ht="34.5" customHeight="1">
      <c r="A733" s="36" t="s">
        <v>1710</v>
      </c>
      <c r="B733" s="37" t="s">
        <v>1711</v>
      </c>
      <c r="C733" s="49" t="s">
        <v>63</v>
      </c>
      <c r="D733" s="50" t="s">
        <v>64</v>
      </c>
      <c r="E733" s="42" t="s">
        <v>65</v>
      </c>
      <c r="F733" s="42" t="s">
        <v>67</v>
      </c>
      <c r="G733" s="43" t="s">
        <v>55</v>
      </c>
      <c r="H733" s="36" t="s">
        <v>56</v>
      </c>
      <c r="I733" s="44" t="s">
        <v>1712</v>
      </c>
      <c r="J733" s="45" t="s">
        <v>1713</v>
      </c>
      <c r="K733" s="44"/>
      <c r="L733" s="44"/>
    </row>
    <row r="734" ht="34.5" customHeight="1">
      <c r="A734" s="46" t="s">
        <v>1714</v>
      </c>
      <c r="B734" s="47" t="s">
        <v>1715</v>
      </c>
      <c r="C734" s="62" t="s">
        <v>92</v>
      </c>
      <c r="D734" s="86" t="s">
        <v>164</v>
      </c>
      <c r="E734" s="52" t="s">
        <v>97</v>
      </c>
      <c r="F734" s="52" t="s">
        <v>165</v>
      </c>
      <c r="G734" s="43" t="s">
        <v>55</v>
      </c>
      <c r="H734" s="46" t="s">
        <v>56</v>
      </c>
      <c r="I734" s="54" t="s">
        <v>1716</v>
      </c>
      <c r="J734" s="55" t="s">
        <v>1717</v>
      </c>
      <c r="K734" s="54"/>
      <c r="L734" s="54"/>
    </row>
    <row r="735" ht="34.5" customHeight="1">
      <c r="A735" s="36" t="s">
        <v>1718</v>
      </c>
      <c r="B735" s="37" t="s">
        <v>1719</v>
      </c>
      <c r="C735" s="41" t="s">
        <v>52</v>
      </c>
      <c r="D735" s="86" t="s">
        <v>164</v>
      </c>
      <c r="E735" s="42" t="s">
        <v>54</v>
      </c>
      <c r="F735" s="42" t="s">
        <v>165</v>
      </c>
      <c r="G735" s="43" t="s">
        <v>55</v>
      </c>
      <c r="H735" s="36" t="s">
        <v>56</v>
      </c>
      <c r="I735" s="44" t="s">
        <v>1720</v>
      </c>
      <c r="J735" s="45" t="s">
        <v>1721</v>
      </c>
      <c r="K735" s="44"/>
      <c r="L735" s="44"/>
    </row>
    <row r="736" ht="34.5" customHeight="1">
      <c r="A736" s="46" t="s">
        <v>1722</v>
      </c>
      <c r="B736" s="47" t="s">
        <v>1723</v>
      </c>
      <c r="C736" s="138" t="s">
        <v>199</v>
      </c>
      <c r="D736" s="50" t="s">
        <v>64</v>
      </c>
      <c r="E736" s="52" t="s">
        <v>200</v>
      </c>
      <c r="F736" s="52" t="s">
        <v>67</v>
      </c>
      <c r="G736" s="43" t="s">
        <v>55</v>
      </c>
      <c r="H736" s="46" t="s">
        <v>56</v>
      </c>
      <c r="I736" s="54" t="s">
        <v>1724</v>
      </c>
      <c r="J736" s="55" t="s">
        <v>1725</v>
      </c>
      <c r="K736" s="54"/>
      <c r="L736" s="54"/>
    </row>
    <row r="737" ht="39.75" customHeight="1">
      <c r="A737" s="36" t="s">
        <v>1726</v>
      </c>
      <c r="B737" s="37" t="s">
        <v>1727</v>
      </c>
      <c r="C737" s="49" t="s">
        <v>63</v>
      </c>
      <c r="D737" s="86" t="s">
        <v>164</v>
      </c>
      <c r="E737" s="42" t="s">
        <v>65</v>
      </c>
      <c r="F737" s="42" t="s">
        <v>165</v>
      </c>
      <c r="G737" s="43" t="s">
        <v>55</v>
      </c>
      <c r="H737" s="36" t="s">
        <v>56</v>
      </c>
      <c r="I737" s="44" t="s">
        <v>1728</v>
      </c>
      <c r="J737" s="45" t="s">
        <v>1729</v>
      </c>
      <c r="K737" s="44" t="s">
        <v>1730</v>
      </c>
      <c r="L737" s="44" t="s">
        <v>1731</v>
      </c>
    </row>
    <row r="738" ht="34.5" customHeight="1">
      <c r="A738" s="46" t="s">
        <v>1732</v>
      </c>
      <c r="B738" s="47" t="s">
        <v>1733</v>
      </c>
      <c r="C738" s="86" t="s">
        <v>164</v>
      </c>
      <c r="D738" s="50" t="s">
        <v>64</v>
      </c>
      <c r="E738" s="52" t="s">
        <v>165</v>
      </c>
      <c r="F738" s="52" t="s">
        <v>67</v>
      </c>
      <c r="G738" s="43" t="s">
        <v>55</v>
      </c>
      <c r="H738" s="46" t="s">
        <v>56</v>
      </c>
      <c r="I738" s="54" t="s">
        <v>1734</v>
      </c>
      <c r="J738" s="55" t="s">
        <v>1735</v>
      </c>
      <c r="K738" s="54"/>
      <c r="L738" s="54"/>
    </row>
    <row r="739" ht="34.5" customHeight="1">
      <c r="A739" s="36" t="s">
        <v>1736</v>
      </c>
      <c r="B739" s="37" t="s">
        <v>1733</v>
      </c>
      <c r="C739" s="49" t="s">
        <v>63</v>
      </c>
      <c r="D739" s="50" t="s">
        <v>64</v>
      </c>
      <c r="E739" s="42" t="s">
        <v>65</v>
      </c>
      <c r="F739" s="42" t="s">
        <v>67</v>
      </c>
      <c r="G739" s="43" t="s">
        <v>55</v>
      </c>
      <c r="H739" s="36" t="s">
        <v>56</v>
      </c>
      <c r="I739" s="44" t="s">
        <v>1737</v>
      </c>
      <c r="J739" s="45" t="s">
        <v>1738</v>
      </c>
      <c r="K739" s="44"/>
      <c r="L739" s="44"/>
    </row>
    <row r="740" ht="34.5" customHeight="1">
      <c r="A740" s="46" t="s">
        <v>1739</v>
      </c>
      <c r="B740" s="47" t="s">
        <v>1740</v>
      </c>
      <c r="C740" s="41" t="s">
        <v>52</v>
      </c>
      <c r="D740" s="86" t="s">
        <v>164</v>
      </c>
      <c r="E740" s="52" t="s">
        <v>54</v>
      </c>
      <c r="F740" s="52" t="s">
        <v>165</v>
      </c>
      <c r="G740" s="43" t="s">
        <v>55</v>
      </c>
      <c r="H740" s="46" t="s">
        <v>56</v>
      </c>
      <c r="I740" s="54" t="s">
        <v>1741</v>
      </c>
      <c r="J740" s="55" t="s">
        <v>1742</v>
      </c>
      <c r="K740" s="54"/>
      <c r="L740" s="54"/>
    </row>
    <row r="741" ht="34.5" customHeight="1">
      <c r="A741" s="36" t="s">
        <v>1743</v>
      </c>
      <c r="B741" s="37" t="s">
        <v>1744</v>
      </c>
      <c r="C741" s="57" t="s">
        <v>78</v>
      </c>
      <c r="D741" s="50" t="s">
        <v>64</v>
      </c>
      <c r="E741" s="42" t="s">
        <v>81</v>
      </c>
      <c r="F741" s="42" t="s">
        <v>67</v>
      </c>
      <c r="G741" s="43" t="s">
        <v>55</v>
      </c>
      <c r="H741" s="36" t="s">
        <v>56</v>
      </c>
      <c r="I741" s="44" t="s">
        <v>1745</v>
      </c>
      <c r="J741" s="45" t="s">
        <v>1746</v>
      </c>
      <c r="K741" s="44"/>
      <c r="L741" s="44"/>
    </row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0CBD15C-5510-4544-B3BE-32D1F374C07A}" filter="1" showAutoFilter="1">
      <autoFilter ref="$A$6:$L$741"/>
    </customSheetView>
  </customSheetViews>
  <mergeCells count="3">
    <mergeCell ref="A1:L2"/>
    <mergeCell ref="A3:L3"/>
    <mergeCell ref="A4:L4"/>
  </mergeCells>
  <hyperlinks>
    <hyperlink r:id="rId2" location="'Colour Guide'!A1" ref="A4"/>
    <hyperlink r:id="rId3" ref="J7"/>
    <hyperlink r:id="rId4" ref="J8"/>
    <hyperlink r:id="rId5" ref="J9"/>
    <hyperlink r:id="rId6" ref="J10"/>
    <hyperlink r:id="rId7" ref="J11"/>
    <hyperlink r:id="rId8" ref="J12"/>
    <hyperlink r:id="rId9" ref="J13"/>
    <hyperlink r:id="rId10" ref="J14"/>
    <hyperlink r:id="rId11" ref="J15"/>
    <hyperlink r:id="rId12" ref="J16"/>
    <hyperlink r:id="rId13" ref="J17"/>
    <hyperlink r:id="rId14" ref="J18"/>
    <hyperlink r:id="rId15" ref="J19"/>
    <hyperlink r:id="rId16" ref="J20"/>
    <hyperlink r:id="rId17" ref="J21"/>
    <hyperlink r:id="rId18" ref="J22"/>
    <hyperlink r:id="rId19" ref="J23"/>
    <hyperlink r:id="rId20" ref="J24"/>
    <hyperlink r:id="rId21" ref="J25"/>
    <hyperlink r:id="rId22" ref="J26"/>
    <hyperlink r:id="rId23" ref="J27"/>
    <hyperlink r:id="rId24" ref="J28"/>
    <hyperlink r:id="rId25" ref="J29"/>
    <hyperlink r:id="rId26" ref="J30"/>
    <hyperlink r:id="rId27" ref="J31"/>
    <hyperlink r:id="rId28" ref="J32"/>
    <hyperlink r:id="rId29" ref="J33"/>
    <hyperlink r:id="rId30" ref="J34"/>
    <hyperlink r:id="rId31" ref="J35"/>
    <hyperlink r:id="rId32" ref="J36"/>
    <hyperlink r:id="rId33" ref="J37"/>
    <hyperlink r:id="rId34" ref="J38"/>
    <hyperlink r:id="rId35" ref="J39"/>
    <hyperlink r:id="rId36" ref="J40"/>
    <hyperlink r:id="rId37" ref="J41"/>
    <hyperlink r:id="rId38" ref="J42"/>
    <hyperlink r:id="rId39" ref="J43"/>
    <hyperlink r:id="rId40" ref="J44"/>
    <hyperlink r:id="rId41" ref="J45"/>
    <hyperlink r:id="rId42" ref="J46"/>
    <hyperlink r:id="rId43" ref="J47"/>
    <hyperlink r:id="rId44" ref="J48"/>
    <hyperlink r:id="rId45" ref="J49"/>
    <hyperlink r:id="rId46" ref="J50"/>
    <hyperlink r:id="rId47" ref="J51"/>
    <hyperlink r:id="rId48" ref="J52"/>
    <hyperlink r:id="rId49" ref="J53"/>
    <hyperlink r:id="rId50" ref="J54"/>
    <hyperlink r:id="rId51" ref="J55"/>
    <hyperlink r:id="rId52" ref="J56"/>
    <hyperlink r:id="rId53" ref="J57"/>
    <hyperlink r:id="rId54" ref="J58"/>
    <hyperlink r:id="rId55" ref="J59"/>
    <hyperlink r:id="rId56" ref="J60"/>
    <hyperlink r:id="rId57" ref="J61"/>
    <hyperlink r:id="rId58" ref="J62"/>
    <hyperlink r:id="rId59" ref="J63"/>
    <hyperlink r:id="rId60" ref="J64"/>
    <hyperlink r:id="rId61" ref="J65"/>
    <hyperlink r:id="rId62" ref="J66"/>
    <hyperlink r:id="rId63" ref="J67"/>
    <hyperlink r:id="rId64" ref="J68"/>
    <hyperlink r:id="rId65" ref="J69"/>
    <hyperlink r:id="rId66" ref="J70"/>
    <hyperlink r:id="rId67" ref="J71"/>
    <hyperlink r:id="rId68" ref="J72"/>
    <hyperlink r:id="rId69" ref="J73"/>
    <hyperlink r:id="rId70" ref="J74"/>
    <hyperlink r:id="rId71" ref="J75"/>
    <hyperlink r:id="rId72" ref="J76"/>
    <hyperlink r:id="rId73" ref="J77"/>
    <hyperlink r:id="rId74" ref="J78"/>
    <hyperlink r:id="rId75" ref="J79"/>
    <hyperlink r:id="rId76" ref="J80"/>
    <hyperlink r:id="rId77" ref="J81"/>
    <hyperlink r:id="rId78" ref="J82"/>
    <hyperlink r:id="rId79" ref="J83"/>
    <hyperlink r:id="rId80" ref="J84"/>
    <hyperlink r:id="rId81" ref="J85"/>
    <hyperlink r:id="rId82" ref="J86"/>
    <hyperlink r:id="rId83" ref="J87"/>
    <hyperlink r:id="rId84" ref="J88"/>
    <hyperlink r:id="rId85" ref="J89"/>
    <hyperlink r:id="rId86" ref="J90"/>
    <hyperlink r:id="rId87" ref="J91"/>
    <hyperlink r:id="rId88" ref="J92"/>
    <hyperlink r:id="rId89" ref="J93"/>
    <hyperlink r:id="rId90" ref="J94"/>
    <hyperlink r:id="rId91" ref="J96"/>
    <hyperlink r:id="rId92" ref="J97"/>
    <hyperlink r:id="rId93" ref="J98"/>
    <hyperlink r:id="rId94" ref="J99"/>
    <hyperlink r:id="rId95" ref="J100"/>
    <hyperlink r:id="rId96" ref="J101"/>
    <hyperlink r:id="rId97" ref="J102"/>
    <hyperlink r:id="rId98" ref="J103"/>
    <hyperlink r:id="rId99" ref="J104"/>
    <hyperlink r:id="rId100" ref="J105"/>
    <hyperlink r:id="rId101" ref="J106"/>
    <hyperlink r:id="rId102" ref="J107"/>
    <hyperlink r:id="rId103" ref="J108"/>
    <hyperlink r:id="rId104" ref="J109"/>
    <hyperlink r:id="rId105" ref="J110"/>
    <hyperlink r:id="rId106" ref="J111"/>
    <hyperlink r:id="rId107" ref="J112"/>
    <hyperlink r:id="rId108" ref="J113"/>
    <hyperlink r:id="rId109" ref="J115"/>
    <hyperlink r:id="rId110" ref="J116"/>
    <hyperlink r:id="rId111" ref="J117"/>
    <hyperlink r:id="rId112" ref="J118"/>
    <hyperlink r:id="rId113" ref="J119"/>
    <hyperlink r:id="rId114" ref="J120"/>
    <hyperlink r:id="rId115" ref="J121"/>
    <hyperlink r:id="rId116" ref="J123"/>
    <hyperlink r:id="rId117" ref="J124"/>
    <hyperlink r:id="rId118" ref="J125"/>
    <hyperlink r:id="rId119" ref="J126"/>
    <hyperlink r:id="rId120" ref="J127"/>
    <hyperlink r:id="rId121" ref="J128"/>
    <hyperlink r:id="rId122" ref="J129"/>
    <hyperlink r:id="rId123" ref="J130"/>
    <hyperlink r:id="rId124" ref="J131"/>
    <hyperlink r:id="rId125" ref="J132"/>
    <hyperlink r:id="rId126" ref="J133"/>
    <hyperlink r:id="rId127" ref="J134"/>
    <hyperlink r:id="rId128" ref="J135"/>
    <hyperlink r:id="rId129" ref="J136"/>
    <hyperlink r:id="rId130" ref="J137"/>
    <hyperlink r:id="rId131" ref="J138"/>
    <hyperlink r:id="rId132" ref="J139"/>
    <hyperlink r:id="rId133" ref="J140"/>
    <hyperlink r:id="rId134" ref="J141"/>
    <hyperlink r:id="rId135" ref="J142"/>
    <hyperlink r:id="rId136" ref="J143"/>
    <hyperlink r:id="rId137" ref="J144"/>
    <hyperlink r:id="rId138" ref="J145"/>
    <hyperlink r:id="rId139" ref="J146"/>
    <hyperlink r:id="rId140" ref="J147"/>
    <hyperlink r:id="rId141" ref="J148"/>
    <hyperlink r:id="rId142" ref="J150"/>
    <hyperlink r:id="rId143" ref="J151"/>
    <hyperlink r:id="rId144" ref="J152"/>
    <hyperlink r:id="rId145" ref="J153"/>
    <hyperlink r:id="rId146" ref="J154"/>
    <hyperlink r:id="rId147" ref="J155"/>
    <hyperlink r:id="rId148" ref="J156"/>
    <hyperlink r:id="rId149" ref="J157"/>
    <hyperlink r:id="rId150" ref="J158"/>
    <hyperlink r:id="rId151" ref="J159"/>
    <hyperlink r:id="rId152" ref="J160"/>
    <hyperlink r:id="rId153" ref="J161"/>
    <hyperlink r:id="rId154" ref="J162"/>
    <hyperlink r:id="rId155" ref="J163"/>
    <hyperlink r:id="rId156" ref="J164"/>
    <hyperlink r:id="rId157" ref="J165"/>
    <hyperlink r:id="rId158" ref="J166"/>
    <hyperlink r:id="rId159" ref="J167"/>
    <hyperlink r:id="rId160" ref="J168"/>
    <hyperlink r:id="rId161" ref="J169"/>
    <hyperlink r:id="rId162" ref="J170"/>
    <hyperlink r:id="rId163" ref="J171"/>
    <hyperlink r:id="rId164" ref="J172"/>
    <hyperlink r:id="rId165" ref="J173"/>
    <hyperlink r:id="rId166" ref="J174"/>
    <hyperlink r:id="rId167" ref="J175"/>
    <hyperlink r:id="rId168" ref="J176"/>
    <hyperlink r:id="rId169" ref="J177"/>
    <hyperlink r:id="rId170" ref="J178"/>
    <hyperlink r:id="rId171" ref="J179"/>
    <hyperlink r:id="rId172" ref="J180"/>
    <hyperlink r:id="rId173" ref="J181"/>
    <hyperlink r:id="rId174" ref="J182"/>
    <hyperlink r:id="rId175" ref="J183"/>
    <hyperlink r:id="rId176" ref="J184"/>
    <hyperlink r:id="rId177" ref="J185"/>
    <hyperlink r:id="rId178" ref="J186"/>
    <hyperlink r:id="rId179" ref="J187"/>
    <hyperlink r:id="rId180" ref="J188"/>
    <hyperlink r:id="rId181" ref="J189"/>
    <hyperlink r:id="rId182" ref="J190"/>
    <hyperlink r:id="rId183" ref="J191"/>
    <hyperlink r:id="rId184" ref="J192"/>
    <hyperlink r:id="rId185" ref="J193"/>
    <hyperlink r:id="rId186" ref="J194"/>
    <hyperlink r:id="rId187" ref="J195"/>
    <hyperlink r:id="rId188" ref="J196"/>
    <hyperlink r:id="rId189" ref="J197"/>
    <hyperlink r:id="rId190" ref="J198"/>
    <hyperlink r:id="rId191" ref="J199"/>
    <hyperlink r:id="rId192" ref="J200"/>
    <hyperlink r:id="rId193" ref="J201"/>
    <hyperlink r:id="rId194" ref="J202"/>
    <hyperlink r:id="rId195" ref="J203"/>
    <hyperlink r:id="rId196" ref="J204"/>
    <hyperlink r:id="rId197" ref="J205"/>
    <hyperlink r:id="rId198" ref="J206"/>
    <hyperlink r:id="rId199" ref="J207"/>
    <hyperlink r:id="rId200" ref="J208"/>
    <hyperlink r:id="rId201" ref="J209"/>
    <hyperlink r:id="rId202" ref="J210"/>
    <hyperlink r:id="rId203" ref="J211"/>
    <hyperlink r:id="rId204" ref="J212"/>
    <hyperlink r:id="rId205" ref="J213"/>
    <hyperlink r:id="rId206" ref="J214"/>
    <hyperlink r:id="rId207" ref="J215"/>
    <hyperlink r:id="rId208" ref="J216"/>
    <hyperlink r:id="rId209" ref="J217"/>
    <hyperlink r:id="rId210" ref="J218"/>
    <hyperlink r:id="rId211" ref="J219"/>
    <hyperlink r:id="rId212" ref="J220"/>
    <hyperlink r:id="rId213" ref="J221"/>
    <hyperlink r:id="rId214" ref="J222"/>
    <hyperlink r:id="rId215" ref="J223"/>
    <hyperlink r:id="rId216" ref="J224"/>
    <hyperlink r:id="rId217" ref="J225"/>
    <hyperlink r:id="rId218" ref="J226"/>
    <hyperlink r:id="rId219" ref="J227"/>
    <hyperlink r:id="rId220" ref="J228"/>
    <hyperlink r:id="rId221" ref="J229"/>
    <hyperlink r:id="rId222" ref="J230"/>
    <hyperlink r:id="rId223" ref="J231"/>
    <hyperlink r:id="rId224" ref="J232"/>
    <hyperlink r:id="rId225" ref="J233"/>
    <hyperlink r:id="rId226" ref="J234"/>
    <hyperlink r:id="rId227" ref="J235"/>
    <hyperlink r:id="rId228" ref="J236"/>
    <hyperlink r:id="rId229" ref="J237"/>
    <hyperlink r:id="rId230" ref="J238"/>
    <hyperlink r:id="rId231" ref="J239"/>
    <hyperlink r:id="rId232" ref="J240"/>
    <hyperlink r:id="rId233" ref="J241"/>
    <hyperlink r:id="rId234" ref="J242"/>
    <hyperlink r:id="rId235" ref="J243"/>
    <hyperlink r:id="rId236" ref="J244"/>
    <hyperlink r:id="rId237" ref="J245"/>
    <hyperlink r:id="rId238" ref="J246"/>
    <hyperlink r:id="rId239" ref="J247"/>
    <hyperlink r:id="rId240" ref="J248"/>
    <hyperlink r:id="rId241" ref="J249"/>
    <hyperlink r:id="rId242" ref="J250"/>
    <hyperlink r:id="rId243" ref="J251"/>
    <hyperlink r:id="rId244" ref="J252"/>
    <hyperlink r:id="rId245" ref="J253"/>
    <hyperlink r:id="rId246" ref="J254"/>
    <hyperlink r:id="rId247" ref="J255"/>
    <hyperlink r:id="rId248" ref="J256"/>
    <hyperlink r:id="rId249" ref="J257"/>
    <hyperlink r:id="rId250" ref="J258"/>
    <hyperlink r:id="rId251" ref="J259"/>
    <hyperlink r:id="rId252" ref="J260"/>
    <hyperlink r:id="rId253" ref="J261"/>
    <hyperlink r:id="rId254" ref="J262"/>
    <hyperlink r:id="rId255" ref="J263"/>
    <hyperlink r:id="rId256" ref="J264"/>
    <hyperlink r:id="rId257" ref="J265"/>
    <hyperlink r:id="rId258" ref="J266"/>
    <hyperlink r:id="rId259" ref="J267"/>
    <hyperlink r:id="rId260" ref="J268"/>
    <hyperlink r:id="rId261" ref="J269"/>
    <hyperlink r:id="rId262" ref="J270"/>
    <hyperlink r:id="rId263" ref="J271"/>
    <hyperlink r:id="rId264" ref="J272"/>
    <hyperlink r:id="rId265" ref="J273"/>
    <hyperlink r:id="rId266" ref="J274"/>
    <hyperlink r:id="rId267" ref="J275"/>
    <hyperlink r:id="rId268" ref="J276"/>
    <hyperlink r:id="rId269" ref="J277"/>
    <hyperlink r:id="rId270" ref="J278"/>
    <hyperlink r:id="rId271" ref="J279"/>
    <hyperlink r:id="rId272" ref="J280"/>
    <hyperlink r:id="rId273" ref="J281"/>
    <hyperlink r:id="rId274" ref="J282"/>
    <hyperlink r:id="rId275" ref="J283"/>
    <hyperlink r:id="rId276" ref="J284"/>
    <hyperlink r:id="rId277" ref="J285"/>
    <hyperlink r:id="rId278" ref="J286"/>
    <hyperlink r:id="rId279" ref="J287"/>
    <hyperlink r:id="rId280" ref="J288"/>
    <hyperlink r:id="rId281" ref="J289"/>
    <hyperlink r:id="rId282" ref="J290"/>
    <hyperlink r:id="rId283" ref="J291"/>
    <hyperlink r:id="rId284" ref="J292"/>
    <hyperlink r:id="rId285" ref="J293"/>
    <hyperlink r:id="rId286" ref="J294"/>
    <hyperlink r:id="rId287" ref="J295"/>
    <hyperlink r:id="rId288" ref="J296"/>
    <hyperlink r:id="rId289" ref="J297"/>
    <hyperlink r:id="rId290" ref="J298"/>
    <hyperlink r:id="rId291" ref="J299"/>
    <hyperlink r:id="rId292" ref="J300"/>
    <hyperlink r:id="rId293" ref="J301"/>
    <hyperlink r:id="rId294" ref="J302"/>
    <hyperlink r:id="rId295" ref="J303"/>
    <hyperlink r:id="rId296" ref="J304"/>
    <hyperlink r:id="rId297" ref="J305"/>
    <hyperlink r:id="rId298" ref="J306"/>
    <hyperlink r:id="rId299" ref="J307"/>
    <hyperlink r:id="rId300" ref="J308"/>
    <hyperlink r:id="rId301" ref="J309"/>
    <hyperlink r:id="rId302" ref="J310"/>
    <hyperlink r:id="rId303" ref="J311"/>
    <hyperlink r:id="rId304" ref="J312"/>
    <hyperlink r:id="rId305" ref="J313"/>
    <hyperlink r:id="rId306" ref="J314"/>
    <hyperlink r:id="rId307" ref="J315"/>
    <hyperlink r:id="rId308" ref="J316"/>
    <hyperlink r:id="rId309" ref="J317"/>
    <hyperlink r:id="rId310" ref="J318"/>
    <hyperlink r:id="rId311" ref="J319"/>
    <hyperlink r:id="rId312" ref="J320"/>
    <hyperlink r:id="rId313" ref="J321"/>
    <hyperlink r:id="rId314" ref="J322"/>
    <hyperlink r:id="rId315" ref="J323"/>
    <hyperlink r:id="rId316" ref="J324"/>
    <hyperlink r:id="rId317" ref="J325"/>
    <hyperlink r:id="rId318" ref="J326"/>
    <hyperlink r:id="rId319" ref="J327"/>
    <hyperlink r:id="rId320" ref="J328"/>
    <hyperlink r:id="rId321" ref="J329"/>
    <hyperlink r:id="rId322" ref="J330"/>
    <hyperlink r:id="rId323" ref="J331"/>
    <hyperlink r:id="rId324" ref="J332"/>
    <hyperlink r:id="rId325" ref="J333"/>
    <hyperlink r:id="rId326" ref="J334"/>
    <hyperlink r:id="rId327" ref="J335"/>
    <hyperlink r:id="rId328" ref="J336"/>
    <hyperlink r:id="rId329" ref="J337"/>
    <hyperlink r:id="rId330" ref="J338"/>
    <hyperlink r:id="rId331" ref="J339"/>
    <hyperlink r:id="rId332" ref="J340"/>
    <hyperlink r:id="rId333" ref="J341"/>
    <hyperlink r:id="rId334" ref="J342"/>
    <hyperlink r:id="rId335" ref="J343"/>
    <hyperlink r:id="rId336" ref="J344"/>
    <hyperlink r:id="rId337" ref="J345"/>
    <hyperlink r:id="rId338" ref="J346"/>
    <hyperlink r:id="rId339" ref="J347"/>
    <hyperlink r:id="rId340" ref="J348"/>
    <hyperlink r:id="rId341" ref="J349"/>
    <hyperlink r:id="rId342" ref="J350"/>
    <hyperlink r:id="rId343" ref="J351"/>
    <hyperlink r:id="rId344" ref="J352"/>
    <hyperlink r:id="rId345" ref="J353"/>
    <hyperlink r:id="rId346" ref="J354"/>
    <hyperlink r:id="rId347" ref="J355"/>
    <hyperlink r:id="rId348" ref="J356"/>
    <hyperlink r:id="rId349" ref="J357"/>
    <hyperlink r:id="rId350" ref="J358"/>
    <hyperlink r:id="rId351" ref="J359"/>
    <hyperlink r:id="rId352" ref="J360"/>
    <hyperlink r:id="rId353" ref="J361"/>
    <hyperlink r:id="rId354" ref="J362"/>
    <hyperlink r:id="rId355" ref="J363"/>
    <hyperlink r:id="rId356" ref="J364"/>
    <hyperlink r:id="rId357" ref="J365"/>
    <hyperlink r:id="rId358" ref="J366"/>
    <hyperlink r:id="rId359" ref="J370"/>
    <hyperlink r:id="rId360" ref="J372"/>
    <hyperlink r:id="rId361" ref="J373"/>
    <hyperlink r:id="rId362" ref="J381"/>
    <hyperlink r:id="rId363" ref="J384"/>
    <hyperlink r:id="rId364" ref="J385"/>
    <hyperlink r:id="rId365" ref="J387"/>
    <hyperlink r:id="rId366" ref="J389"/>
    <hyperlink r:id="rId367" ref="J391"/>
    <hyperlink r:id="rId368" ref="J394"/>
    <hyperlink r:id="rId369" ref="J399"/>
    <hyperlink r:id="rId370" ref="J400"/>
    <hyperlink r:id="rId371" ref="J401"/>
    <hyperlink r:id="rId372" ref="J407"/>
    <hyperlink r:id="rId373" ref="J410"/>
    <hyperlink r:id="rId374" ref="J411"/>
    <hyperlink r:id="rId375" ref="J417"/>
    <hyperlink r:id="rId376" ref="J418"/>
    <hyperlink r:id="rId377" ref="J419"/>
    <hyperlink r:id="rId378" ref="J421"/>
    <hyperlink r:id="rId379" ref="J422"/>
    <hyperlink r:id="rId380" ref="J425"/>
    <hyperlink r:id="rId381" ref="J426"/>
    <hyperlink r:id="rId382" ref="J429"/>
    <hyperlink r:id="rId383" ref="J430"/>
    <hyperlink r:id="rId384" ref="J431"/>
    <hyperlink r:id="rId385" ref="J432"/>
    <hyperlink r:id="rId386" ref="J437"/>
    <hyperlink r:id="rId387" ref="J440"/>
    <hyperlink r:id="rId388" ref="J442"/>
    <hyperlink r:id="rId389" ref="J448"/>
    <hyperlink r:id="rId390" ref="J455"/>
    <hyperlink r:id="rId391" ref="J456"/>
    <hyperlink r:id="rId392" ref="J459"/>
    <hyperlink r:id="rId393" ref="J460"/>
    <hyperlink r:id="rId394" ref="J461"/>
    <hyperlink r:id="rId395" ref="J468"/>
    <hyperlink r:id="rId396" ref="J470"/>
    <hyperlink r:id="rId397" ref="J473"/>
    <hyperlink r:id="rId398" ref="J474"/>
    <hyperlink r:id="rId399" ref="J476"/>
    <hyperlink r:id="rId400" ref="J482"/>
    <hyperlink r:id="rId401" ref="J485"/>
    <hyperlink r:id="rId402" ref="J486"/>
    <hyperlink r:id="rId403" ref="J489"/>
    <hyperlink r:id="rId404" ref="J490"/>
    <hyperlink r:id="rId405" ref="J491"/>
    <hyperlink r:id="rId406" ref="J493"/>
    <hyperlink r:id="rId407" ref="J504"/>
    <hyperlink r:id="rId408" ref="J506"/>
    <hyperlink r:id="rId409" ref="J507"/>
    <hyperlink r:id="rId410" ref="J509"/>
    <hyperlink r:id="rId411" ref="J512"/>
    <hyperlink r:id="rId412" ref="J513"/>
    <hyperlink r:id="rId413" ref="J518"/>
    <hyperlink r:id="rId414" ref="J519"/>
    <hyperlink r:id="rId415" ref="J521"/>
    <hyperlink r:id="rId416" ref="J523"/>
    <hyperlink r:id="rId417" ref="J527"/>
    <hyperlink r:id="rId418" ref="J530"/>
    <hyperlink r:id="rId419" ref="J531"/>
    <hyperlink r:id="rId420" ref="J532"/>
    <hyperlink r:id="rId421" ref="J533"/>
    <hyperlink r:id="rId422" ref="J534"/>
    <hyperlink r:id="rId423" ref="J535"/>
    <hyperlink r:id="rId424" ref="J536"/>
    <hyperlink r:id="rId425" ref="J539"/>
    <hyperlink r:id="rId426" ref="J542"/>
    <hyperlink r:id="rId427" ref="J546"/>
    <hyperlink r:id="rId428" ref="J550"/>
    <hyperlink r:id="rId429" ref="J553"/>
    <hyperlink r:id="rId430" ref="J555"/>
    <hyperlink r:id="rId431" ref="J556"/>
    <hyperlink r:id="rId432" ref="J557"/>
    <hyperlink r:id="rId433" ref="J559"/>
    <hyperlink r:id="rId434" ref="J560"/>
    <hyperlink r:id="rId435" ref="J562"/>
    <hyperlink r:id="rId436" ref="J563"/>
    <hyperlink r:id="rId437" ref="J564"/>
    <hyperlink r:id="rId438" ref="J568"/>
    <hyperlink r:id="rId439" ref="J572"/>
    <hyperlink r:id="rId440" ref="J573"/>
    <hyperlink r:id="rId441" ref="J575"/>
    <hyperlink r:id="rId442" ref="J576"/>
    <hyperlink r:id="rId443" ref="J580"/>
    <hyperlink r:id="rId444" ref="J582"/>
    <hyperlink r:id="rId445" ref="J584"/>
    <hyperlink r:id="rId446" ref="J585"/>
    <hyperlink r:id="rId447" ref="J588"/>
    <hyperlink r:id="rId448" ref="J589"/>
    <hyperlink r:id="rId449" ref="J591"/>
    <hyperlink r:id="rId450" ref="J592"/>
    <hyperlink r:id="rId451" ref="J594"/>
    <hyperlink r:id="rId452" ref="J595"/>
    <hyperlink r:id="rId453" ref="J596"/>
    <hyperlink r:id="rId454" ref="J598"/>
    <hyperlink r:id="rId455" ref="J600"/>
    <hyperlink r:id="rId456" ref="J604"/>
    <hyperlink r:id="rId457" ref="J605"/>
    <hyperlink r:id="rId458" ref="J606"/>
    <hyperlink r:id="rId459" ref="J607"/>
    <hyperlink r:id="rId460" ref="J608"/>
    <hyperlink r:id="rId461" ref="J609"/>
    <hyperlink r:id="rId462" ref="J611"/>
    <hyperlink r:id="rId463" ref="J614"/>
    <hyperlink r:id="rId464" ref="J615"/>
    <hyperlink r:id="rId465" ref="J616"/>
    <hyperlink r:id="rId466" ref="J617"/>
    <hyperlink r:id="rId467" ref="J618"/>
    <hyperlink r:id="rId468" ref="J621"/>
    <hyperlink r:id="rId469" ref="J623"/>
    <hyperlink r:id="rId470" ref="J624"/>
    <hyperlink r:id="rId471" ref="J625"/>
    <hyperlink r:id="rId472" ref="J626"/>
    <hyperlink r:id="rId473" ref="J627"/>
    <hyperlink r:id="rId474" ref="J629"/>
    <hyperlink r:id="rId475" ref="J634"/>
    <hyperlink r:id="rId476" ref="J637"/>
    <hyperlink r:id="rId477" ref="J638"/>
    <hyperlink r:id="rId478" ref="J640"/>
    <hyperlink r:id="rId479" ref="J642"/>
    <hyperlink r:id="rId480" ref="J643"/>
    <hyperlink r:id="rId481" ref="J644"/>
    <hyperlink r:id="rId482" ref="J645"/>
    <hyperlink r:id="rId483" ref="J646"/>
    <hyperlink r:id="rId484" ref="J647"/>
    <hyperlink r:id="rId485" ref="J648"/>
    <hyperlink r:id="rId486" ref="J649"/>
    <hyperlink r:id="rId487" ref="J650"/>
    <hyperlink r:id="rId488" ref="J651"/>
    <hyperlink r:id="rId489" ref="J652"/>
    <hyperlink r:id="rId490" ref="J653"/>
    <hyperlink r:id="rId491" ref="J654"/>
    <hyperlink r:id="rId492" ref="J655"/>
    <hyperlink r:id="rId493" ref="J656"/>
    <hyperlink r:id="rId494" ref="J657"/>
    <hyperlink r:id="rId495" ref="J658"/>
    <hyperlink r:id="rId496" ref="J659"/>
    <hyperlink r:id="rId497" ref="J660"/>
    <hyperlink r:id="rId498" ref="J661"/>
    <hyperlink r:id="rId499" ref="J662"/>
    <hyperlink r:id="rId500" ref="J663"/>
    <hyperlink r:id="rId501" ref="J664"/>
    <hyperlink r:id="rId502" ref="J665"/>
    <hyperlink r:id="rId503" ref="J666"/>
    <hyperlink r:id="rId504" ref="J667"/>
    <hyperlink r:id="rId505" ref="J669"/>
    <hyperlink r:id="rId506" ref="J670"/>
    <hyperlink r:id="rId507" ref="J671"/>
    <hyperlink r:id="rId508" ref="J672"/>
    <hyperlink r:id="rId509" ref="J673"/>
    <hyperlink r:id="rId510" ref="J674"/>
    <hyperlink r:id="rId511" ref="J675"/>
    <hyperlink r:id="rId512" ref="J676"/>
    <hyperlink r:id="rId513" ref="J677"/>
    <hyperlink r:id="rId514" ref="J678"/>
    <hyperlink r:id="rId515" ref="J679"/>
    <hyperlink r:id="rId516" ref="J680"/>
    <hyperlink r:id="rId517" ref="J681"/>
    <hyperlink r:id="rId518" ref="J682"/>
    <hyperlink r:id="rId519" ref="J683"/>
    <hyperlink r:id="rId520" ref="J684"/>
    <hyperlink r:id="rId521" ref="J685"/>
    <hyperlink r:id="rId522" ref="J686"/>
    <hyperlink r:id="rId523" ref="J687"/>
    <hyperlink r:id="rId524" ref="J688"/>
    <hyperlink r:id="rId525" ref="J689"/>
    <hyperlink r:id="rId526" ref="J690"/>
    <hyperlink r:id="rId527" ref="J691"/>
    <hyperlink r:id="rId528" ref="J692"/>
    <hyperlink r:id="rId529" ref="J693"/>
    <hyperlink r:id="rId530" ref="J694"/>
    <hyperlink r:id="rId531" ref="J695"/>
    <hyperlink r:id="rId532" ref="J696"/>
    <hyperlink r:id="rId533" ref="J697"/>
    <hyperlink r:id="rId534" ref="J698"/>
    <hyperlink r:id="rId535" ref="J699"/>
    <hyperlink r:id="rId536" ref="J700"/>
    <hyperlink r:id="rId537" ref="J701"/>
    <hyperlink r:id="rId538" ref="J702"/>
    <hyperlink r:id="rId539" ref="J703"/>
    <hyperlink r:id="rId540" ref="J704"/>
    <hyperlink r:id="rId541" ref="J705"/>
    <hyperlink r:id="rId542" ref="J706"/>
    <hyperlink r:id="rId543" ref="J707"/>
    <hyperlink r:id="rId544" ref="J708"/>
    <hyperlink r:id="rId545" ref="J709"/>
    <hyperlink r:id="rId546" ref="J710"/>
    <hyperlink r:id="rId547" ref="J711"/>
    <hyperlink r:id="rId548" ref="J712"/>
    <hyperlink r:id="rId549" ref="J713"/>
    <hyperlink r:id="rId550" ref="J714"/>
    <hyperlink r:id="rId551" ref="J715"/>
    <hyperlink r:id="rId552" ref="J716"/>
    <hyperlink r:id="rId553" ref="J717"/>
    <hyperlink r:id="rId554" ref="J718"/>
    <hyperlink r:id="rId555" ref="J719"/>
    <hyperlink r:id="rId556" ref="J720"/>
    <hyperlink r:id="rId557" ref="J721"/>
    <hyperlink r:id="rId558" ref="J722"/>
    <hyperlink r:id="rId559" ref="J723"/>
    <hyperlink r:id="rId560" ref="J724"/>
    <hyperlink r:id="rId561" ref="J725"/>
    <hyperlink r:id="rId562" ref="J726"/>
    <hyperlink r:id="rId563" ref="J727"/>
    <hyperlink r:id="rId564" ref="J728"/>
    <hyperlink r:id="rId565" ref="J729"/>
    <hyperlink r:id="rId566" ref="J730"/>
    <hyperlink r:id="rId567" ref="J731"/>
    <hyperlink r:id="rId568" ref="J732"/>
    <hyperlink r:id="rId569" ref="J733"/>
    <hyperlink r:id="rId570" ref="J734"/>
    <hyperlink r:id="rId571" ref="J735"/>
    <hyperlink r:id="rId572" ref="J736"/>
    <hyperlink r:id="rId573" ref="J737"/>
    <hyperlink r:id="rId574" ref="J738"/>
    <hyperlink r:id="rId575" ref="J739"/>
    <hyperlink r:id="rId576" ref="J740"/>
    <hyperlink r:id="rId577" ref="J741"/>
  </hyperlinks>
  <printOptions/>
  <pageMargins bottom="1.0" footer="0.0" header="0.0" left="0.75" right="0.75" top="1.0"/>
  <pageSetup fitToHeight="0" paperSize="8" orientation="landscape"/>
  <drawing r:id="rId578"/>
  <legacyDrawing r:id="rId579"/>
  <tableParts count="1">
    <tablePart r:id="rId58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pageSetUpPr/>
  </sheetPr>
  <sheetViews>
    <sheetView showGridLines="0" workbookViewId="0">
      <pane ySplit="11.0" topLeftCell="A12" activePane="bottomLeft" state="frozen"/>
      <selection activeCell="B13" sqref="B13" pane="bottomLeft"/>
    </sheetView>
  </sheetViews>
  <sheetFormatPr customHeight="1" defaultColWidth="14.43" defaultRowHeight="15.0"/>
  <cols>
    <col customWidth="1" min="1" max="12" width="12.0"/>
    <col customWidth="1" min="13" max="26" width="8.71"/>
  </cols>
  <sheetData>
    <row r="1" ht="21.0" customHeight="1">
      <c r="A1" s="12" t="s">
        <v>5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0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30.75" customHeight="1">
      <c r="A3" s="13" t="s">
        <v>8</v>
      </c>
    </row>
    <row r="4" ht="27.75" customHeight="1">
      <c r="A4" s="14" t="s">
        <v>9</v>
      </c>
    </row>
    <row r="5" ht="21.0" customHeight="1"/>
    <row r="6" ht="25.5" customHeight="1">
      <c r="A6" s="15" t="s">
        <v>10</v>
      </c>
      <c r="B6" s="10"/>
      <c r="C6" s="11"/>
      <c r="D6" s="15" t="s">
        <v>11</v>
      </c>
      <c r="E6" s="10"/>
      <c r="F6" s="11"/>
      <c r="G6" s="17" t="s">
        <v>12</v>
      </c>
      <c r="H6" s="10"/>
      <c r="I6" s="11"/>
      <c r="J6" s="17" t="s">
        <v>13</v>
      </c>
      <c r="K6" s="10"/>
      <c r="L6" s="11"/>
    </row>
    <row r="7" ht="21.0" customHeight="1">
      <c r="A7" s="21">
        <f>COUNTA('Club Colours'!$A$7:$A$741)</f>
        <v>735</v>
      </c>
      <c r="B7" s="2"/>
      <c r="C7" s="3"/>
      <c r="D7" s="21">
        <f>COUNTIF('Club Colours'!$G$7:$G$741,"Both colours")</f>
        <v>567</v>
      </c>
      <c r="E7" s="2"/>
      <c r="F7" s="3"/>
      <c r="G7" s="25">
        <f>COUNTIF('Club Colours'!$G$7:$G$741,"Primary only")</f>
        <v>8</v>
      </c>
      <c r="H7" s="2"/>
      <c r="I7" s="3"/>
      <c r="J7" s="25">
        <f>COUNTIF('Club Colours'!$G$7:$G$741,"Needs verification")</f>
        <v>160</v>
      </c>
      <c r="K7" s="2"/>
      <c r="L7" s="3"/>
    </row>
    <row r="8" ht="21.0" customHeight="1">
      <c r="A8" s="4"/>
      <c r="B8" s="5"/>
      <c r="C8" s="6"/>
      <c r="D8" s="4"/>
      <c r="E8" s="5"/>
      <c r="F8" s="6"/>
      <c r="G8" s="4"/>
      <c r="H8" s="5"/>
      <c r="I8" s="6"/>
      <c r="J8" s="4"/>
      <c r="K8" s="5"/>
      <c r="L8" s="6"/>
    </row>
    <row r="9" ht="21.0" customHeight="1"/>
    <row r="10" ht="34.5" customHeight="1">
      <c r="A10" s="27" t="s">
        <v>28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</row>
    <row r="11" ht="21.0" customHeight="1"/>
    <row r="12" ht="21.0" customHeight="1">
      <c r="A12" s="28" t="s">
        <v>30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</row>
    <row r="13" ht="36.75" customHeight="1">
      <c r="A13" s="31" t="s">
        <v>31</v>
      </c>
      <c r="B13" s="10"/>
      <c r="C13" s="10"/>
      <c r="D13" s="11"/>
      <c r="E13" s="32" t="s">
        <v>23</v>
      </c>
      <c r="F13" s="32" t="s">
        <v>34</v>
      </c>
      <c r="G13" s="32" t="s">
        <v>35</v>
      </c>
      <c r="H13" s="32" t="s">
        <v>36</v>
      </c>
      <c r="I13" s="31" t="s">
        <v>37</v>
      </c>
      <c r="J13" s="10"/>
      <c r="K13" s="10"/>
      <c r="L13" s="11"/>
    </row>
    <row r="14" ht="27.0" customHeight="1">
      <c r="A14" s="13" t="s">
        <v>24</v>
      </c>
      <c r="E14" s="34">
        <f>COUNTIF('Club Colours'!$B$7:$B$741,A14)</f>
        <v>68</v>
      </c>
      <c r="F14" s="34">
        <f>COUNTIFS('Club Colours'!$B$7:$B$741,A14,'Club Colours'!$G$7:$G$741,"Both colours")</f>
        <v>68</v>
      </c>
      <c r="G14" s="34">
        <f>COUNTIFS('Club Colours'!$B$7:$B$741,A14,'Club Colours'!$G$7:$G$741,"Primary only")</f>
        <v>0</v>
      </c>
      <c r="H14" s="34">
        <f>COUNTIFS('Club Colours'!$B$7:$B$741,A14,'Club Colours'!$G$7:$G$741,"Needs verification")</f>
        <v>0</v>
      </c>
      <c r="I14" s="40">
        <f t="shared" ref="I14:I23" si="1">IFERROR(F14/E14,0)</f>
        <v>1</v>
      </c>
    </row>
    <row r="15" ht="27.0" customHeight="1">
      <c r="A15" s="13" t="s">
        <v>39</v>
      </c>
      <c r="E15" s="34">
        <f>COUNTIF('Club Colours'!$B$7:$B$741,A15)</f>
        <v>82</v>
      </c>
      <c r="F15" s="34">
        <f>COUNTIFS('Club Colours'!$B$7:$B$741,A15,'Club Colours'!$G$7:$G$741,"Both colours")</f>
        <v>77</v>
      </c>
      <c r="G15" s="34">
        <f>COUNTIFS('Club Colours'!$B$7:$B$741,A15,'Club Colours'!$G$7:$G$741,"Primary only")</f>
        <v>1</v>
      </c>
      <c r="H15" s="34">
        <f>COUNTIFS('Club Colours'!$B$7:$B$741,A15,'Club Colours'!$G$7:$G$741,"Needs verification")</f>
        <v>4</v>
      </c>
      <c r="I15" s="40">
        <f t="shared" si="1"/>
        <v>0.9390243902</v>
      </c>
    </row>
    <row r="16" ht="27.0" customHeight="1">
      <c r="A16" s="13" t="s">
        <v>51</v>
      </c>
      <c r="E16" s="34">
        <f>COUNTIF('Club Colours'!$B$7:$B$741,A16)</f>
        <v>100</v>
      </c>
      <c r="F16" s="34">
        <f>COUNTIFS('Club Colours'!$B$7:$B$741,A16,'Club Colours'!$G$7:$G$741,"Both colours")</f>
        <v>97</v>
      </c>
      <c r="G16" s="34">
        <f>COUNTIFS('Club Colours'!$B$7:$B$741,A16,'Club Colours'!$G$7:$G$741,"Primary only")</f>
        <v>3</v>
      </c>
      <c r="H16" s="34">
        <f>COUNTIFS('Club Colours'!$B$7:$B$741,A16,'Club Colours'!$G$7:$G$741,"Needs verification")</f>
        <v>0</v>
      </c>
      <c r="I16" s="40">
        <f t="shared" si="1"/>
        <v>0.97</v>
      </c>
    </row>
    <row r="17" ht="27.0" customHeight="1">
      <c r="A17" s="13" t="s">
        <v>60</v>
      </c>
      <c r="E17" s="34">
        <f>COUNTIF('Club Colours'!$B$7:$B$741,A17)</f>
        <v>56</v>
      </c>
      <c r="F17" s="34">
        <f>COUNTIFS('Club Colours'!$B$7:$B$741,A17,'Club Colours'!$G$7:$G$741,"Both colours")</f>
        <v>56</v>
      </c>
      <c r="G17" s="34">
        <f>COUNTIFS('Club Colours'!$B$7:$B$741,A17,'Club Colours'!$G$7:$G$741,"Primary only")</f>
        <v>0</v>
      </c>
      <c r="H17" s="34">
        <f>COUNTIFS('Club Colours'!$B$7:$B$741,A17,'Club Colours'!$G$7:$G$741,"Needs verification")</f>
        <v>0</v>
      </c>
      <c r="I17" s="40">
        <f t="shared" si="1"/>
        <v>1</v>
      </c>
    </row>
    <row r="18" ht="27.0" customHeight="1">
      <c r="A18" s="13" t="s">
        <v>66</v>
      </c>
      <c r="E18" s="34">
        <f>COUNTIF('Club Colours'!$B$7:$B$741,A18)</f>
        <v>54</v>
      </c>
      <c r="F18" s="34">
        <f>COUNTIFS('Club Colours'!$B$7:$B$741,A18,'Club Colours'!$G$7:$G$741,"Both colours")</f>
        <v>53</v>
      </c>
      <c r="G18" s="34">
        <f>COUNTIFS('Club Colours'!$B$7:$B$741,A18,'Club Colours'!$G$7:$G$741,"Primary only")</f>
        <v>1</v>
      </c>
      <c r="H18" s="34">
        <f>COUNTIFS('Club Colours'!$B$7:$B$741,A18,'Club Colours'!$G$7:$G$741,"Needs verification")</f>
        <v>0</v>
      </c>
      <c r="I18" s="40">
        <f t="shared" si="1"/>
        <v>0.9814814815</v>
      </c>
    </row>
    <row r="19" ht="27.0" customHeight="1">
      <c r="A19" s="13" t="s">
        <v>71</v>
      </c>
      <c r="E19" s="34">
        <f>COUNTIF('Club Colours'!$B$7:$B$741,A19)</f>
        <v>134</v>
      </c>
      <c r="F19" s="34">
        <f>COUNTIFS('Club Colours'!$B$7:$B$741,A19,'Club Colours'!$G$7:$G$741,"Both colours")</f>
        <v>46</v>
      </c>
      <c r="G19" s="34">
        <f>COUNTIFS('Club Colours'!$B$7:$B$741,A19,'Club Colours'!$G$7:$G$741,"Primary only")</f>
        <v>2</v>
      </c>
      <c r="H19" s="34">
        <f>COUNTIFS('Club Colours'!$B$7:$B$741,A19,'Club Colours'!$G$7:$G$741,"Needs verification")</f>
        <v>86</v>
      </c>
      <c r="I19" s="40">
        <f t="shared" si="1"/>
        <v>0.3432835821</v>
      </c>
    </row>
    <row r="20" ht="27.0" customHeight="1">
      <c r="A20" s="13" t="s">
        <v>82</v>
      </c>
      <c r="E20" s="34">
        <f>COUNTIF('Club Colours'!$B$7:$B$741,A20)</f>
        <v>143</v>
      </c>
      <c r="F20" s="34">
        <f>COUNTIFS('Club Colours'!$B$7:$B$741,A20,'Club Colours'!$G$7:$G$741,"Both colours")</f>
        <v>74</v>
      </c>
      <c r="G20" s="34">
        <f>COUNTIFS('Club Colours'!$B$7:$B$741,A20,'Club Colours'!$G$7:$G$741,"Primary only")</f>
        <v>0</v>
      </c>
      <c r="H20" s="34">
        <f>COUNTIFS('Club Colours'!$B$7:$B$741,A20,'Club Colours'!$G$7:$G$741,"Needs verification")</f>
        <v>69</v>
      </c>
      <c r="I20" s="40">
        <f t="shared" si="1"/>
        <v>0.5174825175</v>
      </c>
    </row>
    <row r="21" ht="27.0" customHeight="1">
      <c r="A21" s="13" t="s">
        <v>88</v>
      </c>
      <c r="E21" s="34">
        <f>COUNTIF('Club Colours'!$B$7:$B$741,A21)</f>
        <v>34</v>
      </c>
      <c r="F21" s="34">
        <f>COUNTIFS('Club Colours'!$B$7:$B$741,A21,'Club Colours'!$G$7:$G$741,"Both colours")</f>
        <v>33</v>
      </c>
      <c r="G21" s="34">
        <f>COUNTIFS('Club Colours'!$B$7:$B$741,A21,'Club Colours'!$G$7:$G$741,"Primary only")</f>
        <v>0</v>
      </c>
      <c r="H21" s="34">
        <f>COUNTIFS('Club Colours'!$B$7:$B$741,A21,'Club Colours'!$G$7:$G$741,"Needs verification")</f>
        <v>1</v>
      </c>
      <c r="I21" s="40">
        <f t="shared" si="1"/>
        <v>0.9705882353</v>
      </c>
    </row>
    <row r="22" ht="27.0" customHeight="1">
      <c r="A22" s="13" t="s">
        <v>90</v>
      </c>
      <c r="E22" s="34">
        <f>$A$7-SUM(E14:E21)</f>
        <v>64</v>
      </c>
      <c r="F22" s="34">
        <f>$D$7-SUM(F14:F21)</f>
        <v>63</v>
      </c>
      <c r="G22" s="34">
        <f>$G$7-SUM(G14:G21)</f>
        <v>1</v>
      </c>
      <c r="H22" s="34">
        <f>$J$7-SUM(H14:H21)</f>
        <v>0</v>
      </c>
      <c r="I22" s="40">
        <f t="shared" si="1"/>
        <v>0.984375</v>
      </c>
    </row>
    <row r="23" ht="27.0" customHeight="1">
      <c r="A23" s="64" t="s">
        <v>100</v>
      </c>
      <c r="B23" s="10"/>
      <c r="C23" s="10"/>
      <c r="D23" s="11"/>
      <c r="E23" s="66">
        <f t="shared" ref="E23:H23" si="2">SUM(E14:E22)</f>
        <v>735</v>
      </c>
      <c r="F23" s="66">
        <f t="shared" si="2"/>
        <v>567</v>
      </c>
      <c r="G23" s="66">
        <f t="shared" si="2"/>
        <v>8</v>
      </c>
      <c r="H23" s="66">
        <f t="shared" si="2"/>
        <v>160</v>
      </c>
      <c r="I23" s="68">
        <f t="shared" si="1"/>
        <v>0.7714285714</v>
      </c>
      <c r="J23" s="10"/>
      <c r="K23" s="10"/>
      <c r="L23" s="11"/>
    </row>
    <row r="24" ht="21.0" customHeight="1"/>
    <row r="25" ht="21.0" customHeight="1">
      <c r="A25" s="28" t="s">
        <v>107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</row>
    <row r="26" ht="24.0" customHeight="1">
      <c r="A26" s="70" t="s">
        <v>110</v>
      </c>
      <c r="D26" s="13" t="s">
        <v>112</v>
      </c>
    </row>
    <row r="27" ht="24.0" customHeight="1"/>
    <row r="28" ht="24.0" customHeight="1">
      <c r="A28" s="70" t="s">
        <v>114</v>
      </c>
      <c r="D28" s="13" t="s">
        <v>115</v>
      </c>
    </row>
    <row r="29" ht="24.0" customHeight="1"/>
    <row r="30" ht="24.0" customHeight="1">
      <c r="A30" s="70" t="s">
        <v>119</v>
      </c>
      <c r="D30" s="13" t="s">
        <v>122</v>
      </c>
    </row>
    <row r="31" ht="24.0" customHeight="1"/>
    <row r="32" ht="24.0" customHeight="1">
      <c r="A32" s="70" t="s">
        <v>125</v>
      </c>
      <c r="D32" s="13" t="s">
        <v>126</v>
      </c>
    </row>
    <row r="33" ht="24.0" customHeight="1"/>
    <row r="34" ht="24.0" customHeight="1">
      <c r="A34" s="70" t="s">
        <v>128</v>
      </c>
      <c r="D34" s="13" t="s">
        <v>130</v>
      </c>
    </row>
    <row r="35" ht="24.0" customHeight="1"/>
    <row r="36" ht="24.0" customHeight="1">
      <c r="A36" s="70" t="s">
        <v>131</v>
      </c>
      <c r="D36" s="13" t="s">
        <v>133</v>
      </c>
    </row>
    <row r="37" ht="24.0" customHeight="1"/>
    <row r="38" ht="24.0" customHeight="1">
      <c r="A38" s="70" t="s">
        <v>135</v>
      </c>
      <c r="D38" s="13" t="s">
        <v>136</v>
      </c>
    </row>
    <row r="39" ht="24.0" customHeight="1"/>
    <row r="40" ht="24.0" customHeight="1">
      <c r="A40" s="70" t="s">
        <v>138</v>
      </c>
      <c r="D40" s="13" t="s">
        <v>139</v>
      </c>
    </row>
    <row r="41" ht="24.0" customHeight="1"/>
    <row r="42" ht="21.0" customHeight="1"/>
    <row r="43" ht="21.0" customHeight="1"/>
    <row r="44" ht="21.0" customHeight="1">
      <c r="A44" s="28" t="s">
        <v>140</v>
      </c>
      <c r="B44" s="10"/>
      <c r="C44" s="10"/>
      <c r="D44" s="10"/>
      <c r="E44" s="10"/>
      <c r="F44" s="11"/>
      <c r="H44" s="28" t="s">
        <v>142</v>
      </c>
      <c r="I44" s="10"/>
      <c r="J44" s="10"/>
      <c r="K44" s="10"/>
      <c r="L44" s="11"/>
    </row>
    <row r="45" ht="28.5" customHeight="1">
      <c r="A45" s="76" t="s">
        <v>144</v>
      </c>
      <c r="F45" s="65">
        <f>COUNTIF('Club Colours'!$H$7:$H$741,A45)</f>
        <v>3</v>
      </c>
      <c r="H45" s="82" t="s">
        <v>154</v>
      </c>
      <c r="I45" s="10"/>
      <c r="J45" s="11"/>
      <c r="K45" s="83" t="s">
        <v>158</v>
      </c>
    </row>
    <row r="46" ht="28.5" customHeight="1">
      <c r="A46" s="76" t="s">
        <v>56</v>
      </c>
      <c r="F46" s="65">
        <f>COUNTIF('Club Colours'!$H$7:$H$741,A46)</f>
        <v>195</v>
      </c>
      <c r="H46" s="84" t="s">
        <v>159</v>
      </c>
      <c r="I46" s="10"/>
      <c r="J46" s="11"/>
      <c r="K46" s="83" t="s">
        <v>162</v>
      </c>
    </row>
    <row r="47" ht="28.5" customHeight="1">
      <c r="A47" s="76" t="s">
        <v>163</v>
      </c>
      <c r="F47" s="65">
        <f>COUNTIF('Club Colours'!$H$7:$H$741,A47)</f>
        <v>35</v>
      </c>
      <c r="H47" s="87" t="s">
        <v>164</v>
      </c>
      <c r="I47" s="10"/>
      <c r="J47" s="11"/>
      <c r="K47" s="83" t="s">
        <v>165</v>
      </c>
    </row>
    <row r="48" ht="28.5" customHeight="1">
      <c r="A48" s="76" t="s">
        <v>166</v>
      </c>
      <c r="F48" s="65">
        <f>COUNTIF('Club Colours'!$H$7:$H$741,A48)</f>
        <v>72</v>
      </c>
      <c r="H48" s="90" t="s">
        <v>92</v>
      </c>
      <c r="I48" s="10"/>
      <c r="J48" s="11"/>
      <c r="K48" s="83" t="s">
        <v>97</v>
      </c>
    </row>
    <row r="49" ht="28.5" customHeight="1">
      <c r="A49" s="76" t="s">
        <v>68</v>
      </c>
      <c r="F49" s="65">
        <f>COUNTIF('Club Colours'!$H$7:$H$741,A49)</f>
        <v>225</v>
      </c>
      <c r="H49" s="91" t="s">
        <v>170</v>
      </c>
      <c r="I49" s="10"/>
      <c r="J49" s="11"/>
      <c r="K49" s="83" t="s">
        <v>172</v>
      </c>
    </row>
    <row r="50" ht="28.5" customHeight="1">
      <c r="A50" s="76" t="s">
        <v>173</v>
      </c>
      <c r="F50" s="65">
        <f>COUNTIF('Club Colours'!$H$7:$H$741,A50)</f>
        <v>6</v>
      </c>
      <c r="H50" s="93" t="s">
        <v>176</v>
      </c>
      <c r="I50" s="10"/>
      <c r="J50" s="11"/>
      <c r="K50" s="83" t="s">
        <v>178</v>
      </c>
    </row>
    <row r="51" ht="28.5" customHeight="1">
      <c r="A51" s="76" t="s">
        <v>179</v>
      </c>
      <c r="F51" s="65">
        <f>COUNTIF('Club Colours'!$H$7:$H$741,A51)</f>
        <v>1</v>
      </c>
      <c r="H51" s="95" t="s">
        <v>180</v>
      </c>
      <c r="I51" s="10"/>
      <c r="J51" s="11"/>
      <c r="K51" s="83" t="s">
        <v>182</v>
      </c>
    </row>
    <row r="52" ht="28.5" customHeight="1">
      <c r="A52" s="76" t="s">
        <v>184</v>
      </c>
      <c r="F52" s="65">
        <f>COUNTIF('Club Colours'!$H$7:$H$741,A52)</f>
        <v>1</v>
      </c>
      <c r="H52" s="98" t="s">
        <v>76</v>
      </c>
      <c r="I52" s="10"/>
      <c r="J52" s="11"/>
      <c r="K52" s="83" t="s">
        <v>79</v>
      </c>
    </row>
    <row r="53" ht="28.5" customHeight="1">
      <c r="A53" s="76" t="s">
        <v>187</v>
      </c>
      <c r="F53" s="65">
        <f>COUNTIF('Club Colours'!$H$7:$H$741,A53)</f>
        <v>26</v>
      </c>
      <c r="H53" s="99" t="s">
        <v>189</v>
      </c>
      <c r="I53" s="10"/>
      <c r="J53" s="11"/>
      <c r="K53" s="83" t="s">
        <v>190</v>
      </c>
    </row>
    <row r="54" ht="28.5" customHeight="1">
      <c r="A54" s="76" t="s">
        <v>191</v>
      </c>
      <c r="F54" s="65">
        <f>COUNTIF('Club Colours'!$H$7:$H$741,A54)</f>
        <v>6</v>
      </c>
      <c r="H54" s="102" t="s">
        <v>192</v>
      </c>
      <c r="I54" s="10"/>
      <c r="J54" s="11"/>
      <c r="K54" s="83" t="s">
        <v>193</v>
      </c>
    </row>
    <row r="55" ht="28.5" customHeight="1">
      <c r="A55" s="76" t="s">
        <v>195</v>
      </c>
      <c r="F55" s="65">
        <f>COUNTIF('Club Colours'!$H$7:$H$741,A55)</f>
        <v>5</v>
      </c>
      <c r="H55" s="104" t="s">
        <v>196</v>
      </c>
      <c r="I55" s="10"/>
      <c r="J55" s="11"/>
      <c r="K55" s="83" t="s">
        <v>197</v>
      </c>
    </row>
    <row r="56" ht="28.5" customHeight="1">
      <c r="A56" s="76" t="s">
        <v>198</v>
      </c>
      <c r="F56" s="65">
        <f>COUNTIF('Club Colours'!$H$7:$H$741,A56)</f>
        <v>160</v>
      </c>
      <c r="H56" s="106" t="s">
        <v>199</v>
      </c>
      <c r="I56" s="10"/>
      <c r="J56" s="11"/>
      <c r="K56" s="83" t="s">
        <v>200</v>
      </c>
    </row>
    <row r="57" ht="21.0" customHeight="1">
      <c r="H57" s="108" t="s">
        <v>201</v>
      </c>
      <c r="I57" s="10"/>
      <c r="J57" s="11"/>
      <c r="K57" s="83" t="s">
        <v>202</v>
      </c>
    </row>
    <row r="58" ht="21.0" customHeight="1">
      <c r="H58" s="109" t="s">
        <v>203</v>
      </c>
      <c r="I58" s="10"/>
      <c r="J58" s="11"/>
      <c r="K58" s="83" t="s">
        <v>204</v>
      </c>
    </row>
    <row r="59" ht="21.0" customHeight="1">
      <c r="H59" s="110" t="s">
        <v>205</v>
      </c>
      <c r="I59" s="10"/>
      <c r="J59" s="11"/>
      <c r="K59" s="83" t="s">
        <v>206</v>
      </c>
    </row>
    <row r="60" ht="21.0" customHeight="1">
      <c r="H60" s="111" t="s">
        <v>150</v>
      </c>
      <c r="I60" s="10"/>
      <c r="J60" s="11"/>
      <c r="K60" s="83" t="s">
        <v>153</v>
      </c>
    </row>
    <row r="61" ht="21.0" customHeight="1">
      <c r="H61" s="112" t="s">
        <v>208</v>
      </c>
      <c r="I61" s="10"/>
      <c r="J61" s="11"/>
      <c r="K61" s="83" t="s">
        <v>209</v>
      </c>
    </row>
    <row r="62" ht="21.0" customHeight="1">
      <c r="H62" s="113" t="s">
        <v>210</v>
      </c>
      <c r="I62" s="10"/>
      <c r="J62" s="11"/>
      <c r="K62" s="83" t="s">
        <v>211</v>
      </c>
    </row>
    <row r="63" ht="21.0" customHeight="1">
      <c r="H63" s="114" t="s">
        <v>212</v>
      </c>
      <c r="I63" s="10"/>
      <c r="J63" s="11"/>
      <c r="K63" s="83" t="s">
        <v>213</v>
      </c>
    </row>
    <row r="64" ht="21.0" customHeight="1">
      <c r="H64" s="116" t="s">
        <v>63</v>
      </c>
      <c r="I64" s="10"/>
      <c r="J64" s="11"/>
      <c r="K64" s="83" t="s">
        <v>65</v>
      </c>
    </row>
    <row r="65" ht="21.0" customHeight="1">
      <c r="H65" s="117" t="s">
        <v>50</v>
      </c>
      <c r="I65" s="10"/>
      <c r="J65" s="11"/>
      <c r="K65" s="83" t="s">
        <v>53</v>
      </c>
    </row>
    <row r="66" ht="21.0" customHeight="1">
      <c r="H66" s="118" t="s">
        <v>78</v>
      </c>
      <c r="I66" s="10"/>
      <c r="J66" s="11"/>
      <c r="K66" s="83" t="s">
        <v>81</v>
      </c>
    </row>
    <row r="67" ht="21.0" customHeight="1">
      <c r="H67" s="119" t="s">
        <v>124</v>
      </c>
      <c r="I67" s="10"/>
      <c r="J67" s="11"/>
      <c r="K67" s="83" t="s">
        <v>134</v>
      </c>
    </row>
    <row r="68" ht="21.0" customHeight="1">
      <c r="H68" s="120" t="s">
        <v>218</v>
      </c>
      <c r="I68" s="10"/>
      <c r="J68" s="11"/>
      <c r="K68" s="83" t="s">
        <v>219</v>
      </c>
    </row>
    <row r="69" ht="21.0" customHeight="1">
      <c r="H69" s="121" t="s">
        <v>64</v>
      </c>
      <c r="I69" s="122"/>
      <c r="J69" s="122"/>
      <c r="K69" s="83" t="s">
        <v>67</v>
      </c>
    </row>
    <row r="70" ht="21.0" customHeight="1">
      <c r="H70" s="123" t="s">
        <v>52</v>
      </c>
      <c r="I70" s="10"/>
      <c r="J70" s="11"/>
      <c r="K70" s="83" t="s">
        <v>54</v>
      </c>
    </row>
    <row r="71" ht="21.0" customHeight="1"/>
    <row r="72" ht="21.0" customHeight="1"/>
    <row r="73" ht="21.0" customHeight="1"/>
    <row r="74" ht="21.0" customHeight="1"/>
    <row r="75" ht="21.0" customHeight="1"/>
    <row r="76" ht="21.0" customHeight="1"/>
    <row r="77" ht="21.0" customHeight="1"/>
    <row r="78" ht="21.0" customHeight="1"/>
    <row r="79" ht="21.0" customHeight="1"/>
    <row r="80" ht="21.0" customHeight="1"/>
    <row r="81" ht="21.0" customHeight="1"/>
    <row r="82" ht="21.0" customHeight="1"/>
    <row r="83" ht="21.0" customHeight="1"/>
    <row r="84" ht="21.0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8">
    <mergeCell ref="A32:C33"/>
    <mergeCell ref="A34:C35"/>
    <mergeCell ref="A36:C37"/>
    <mergeCell ref="A38:C39"/>
    <mergeCell ref="A40:C41"/>
    <mergeCell ref="A44:F44"/>
    <mergeCell ref="A45:E45"/>
    <mergeCell ref="A46:E46"/>
    <mergeCell ref="D32:L33"/>
    <mergeCell ref="D34:L35"/>
    <mergeCell ref="D36:L37"/>
    <mergeCell ref="D38:L39"/>
    <mergeCell ref="D40:L41"/>
    <mergeCell ref="H44:L44"/>
    <mergeCell ref="K45:L45"/>
    <mergeCell ref="K46:L46"/>
    <mergeCell ref="H45:J45"/>
    <mergeCell ref="H46:J46"/>
    <mergeCell ref="A47:E47"/>
    <mergeCell ref="H47:J47"/>
    <mergeCell ref="K47:L47"/>
    <mergeCell ref="H48:J48"/>
    <mergeCell ref="K48:L48"/>
    <mergeCell ref="A48:E48"/>
    <mergeCell ref="A49:E49"/>
    <mergeCell ref="H49:J49"/>
    <mergeCell ref="K49:L49"/>
    <mergeCell ref="A50:E50"/>
    <mergeCell ref="K50:L50"/>
    <mergeCell ref="A51:E51"/>
    <mergeCell ref="K51:L51"/>
    <mergeCell ref="H50:J50"/>
    <mergeCell ref="H51:J51"/>
    <mergeCell ref="A52:E52"/>
    <mergeCell ref="H52:J52"/>
    <mergeCell ref="K52:L52"/>
    <mergeCell ref="H53:J53"/>
    <mergeCell ref="K53:L53"/>
    <mergeCell ref="A53:E53"/>
    <mergeCell ref="A54:E54"/>
    <mergeCell ref="H54:J54"/>
    <mergeCell ref="K54:L54"/>
    <mergeCell ref="A55:E55"/>
    <mergeCell ref="K55:L55"/>
    <mergeCell ref="A56:E56"/>
    <mergeCell ref="K56:L56"/>
    <mergeCell ref="H55:J55"/>
    <mergeCell ref="H56:J56"/>
    <mergeCell ref="H57:J57"/>
    <mergeCell ref="K57:L57"/>
    <mergeCell ref="H58:J58"/>
    <mergeCell ref="K58:L58"/>
    <mergeCell ref="K59:L59"/>
    <mergeCell ref="H59:J59"/>
    <mergeCell ref="H60:J60"/>
    <mergeCell ref="K60:L60"/>
    <mergeCell ref="H61:J61"/>
    <mergeCell ref="K61:L61"/>
    <mergeCell ref="H62:J62"/>
    <mergeCell ref="K62:L62"/>
    <mergeCell ref="H67:J67"/>
    <mergeCell ref="H68:J68"/>
    <mergeCell ref="K68:L68"/>
    <mergeCell ref="H69:J69"/>
    <mergeCell ref="K69:L69"/>
    <mergeCell ref="H70:J70"/>
    <mergeCell ref="K70:L70"/>
    <mergeCell ref="H64:J64"/>
    <mergeCell ref="K64:L64"/>
    <mergeCell ref="H65:J65"/>
    <mergeCell ref="K65:L65"/>
    <mergeCell ref="H66:J66"/>
    <mergeCell ref="K66:L66"/>
    <mergeCell ref="K67:L67"/>
    <mergeCell ref="A1:L2"/>
    <mergeCell ref="A3:L3"/>
    <mergeCell ref="A4:L4"/>
    <mergeCell ref="A6:C6"/>
    <mergeCell ref="D6:F6"/>
    <mergeCell ref="G6:I6"/>
    <mergeCell ref="J6:L6"/>
    <mergeCell ref="A7:C8"/>
    <mergeCell ref="D7:F8"/>
    <mergeCell ref="G7:I8"/>
    <mergeCell ref="J7:L8"/>
    <mergeCell ref="A10:L10"/>
    <mergeCell ref="A12:L12"/>
    <mergeCell ref="I13:L13"/>
    <mergeCell ref="A13:D13"/>
    <mergeCell ref="A14:D14"/>
    <mergeCell ref="A15:D15"/>
    <mergeCell ref="A16:D16"/>
    <mergeCell ref="A17:D17"/>
    <mergeCell ref="A18:D18"/>
    <mergeCell ref="A19:D19"/>
    <mergeCell ref="I14:L14"/>
    <mergeCell ref="I15:L15"/>
    <mergeCell ref="I16:L16"/>
    <mergeCell ref="I17:L17"/>
    <mergeCell ref="I18:L18"/>
    <mergeCell ref="I19:L19"/>
    <mergeCell ref="I20:L20"/>
    <mergeCell ref="A20:D20"/>
    <mergeCell ref="A21:D21"/>
    <mergeCell ref="A22:D22"/>
    <mergeCell ref="A23:D23"/>
    <mergeCell ref="A26:C27"/>
    <mergeCell ref="A28:C29"/>
    <mergeCell ref="A30:C31"/>
    <mergeCell ref="I21:L21"/>
    <mergeCell ref="I22:L22"/>
    <mergeCell ref="I23:L23"/>
    <mergeCell ref="A25:L25"/>
    <mergeCell ref="D26:L27"/>
    <mergeCell ref="D28:L29"/>
    <mergeCell ref="D30:L31"/>
    <mergeCell ref="H63:J63"/>
    <mergeCell ref="K63:L63"/>
  </mergeCells>
  <hyperlinks>
    <hyperlink r:id="rId2" location="'Club Colours'!A1" ref="A4"/>
  </hyperlinks>
  <printOptions/>
  <pageMargins bottom="1.0" footer="0.0" header="0.0" left="0.75" right="0.75" top="1.0"/>
  <pageSetup paperSize="8" orientation="landscape"/>
  <drawing r:id="rId3"/>
  <legacy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72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83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0.0" customHeight="1">
      <c r="A7" s="73" t="s">
        <v>61</v>
      </c>
      <c r="B7" s="75" t="s">
        <v>24</v>
      </c>
      <c r="C7" s="73" t="s">
        <v>141</v>
      </c>
      <c r="D7" s="77">
        <v>1.0</v>
      </c>
      <c r="E7" s="77" t="s">
        <v>146</v>
      </c>
      <c r="F7" s="77" t="s">
        <v>148</v>
      </c>
      <c r="G7" s="77" t="s">
        <v>149</v>
      </c>
      <c r="H7" s="77" t="s">
        <v>151</v>
      </c>
      <c r="I7" s="75"/>
      <c r="J7" s="81" t="s">
        <v>152</v>
      </c>
      <c r="K7" s="45" t="s">
        <v>155</v>
      </c>
      <c r="L7" s="88" t="s">
        <v>63</v>
      </c>
      <c r="M7" s="50" t="s">
        <v>64</v>
      </c>
      <c r="N7" s="43" t="s">
        <v>55</v>
      </c>
      <c r="O7" s="59" t="s">
        <v>68</v>
      </c>
      <c r="P7" s="45" t="s">
        <v>70</v>
      </c>
      <c r="Q7" s="44" t="s">
        <v>74</v>
      </c>
    </row>
    <row r="8" ht="30.0" customHeight="1">
      <c r="A8" s="94" t="s">
        <v>75</v>
      </c>
      <c r="B8" s="96" t="s">
        <v>24</v>
      </c>
      <c r="C8" s="94" t="s">
        <v>141</v>
      </c>
      <c r="D8" s="97">
        <v>1.0</v>
      </c>
      <c r="E8" s="97" t="s">
        <v>146</v>
      </c>
      <c r="F8" s="97" t="s">
        <v>148</v>
      </c>
      <c r="G8" s="97" t="s">
        <v>149</v>
      </c>
      <c r="H8" s="97" t="s">
        <v>151</v>
      </c>
      <c r="I8" s="96"/>
      <c r="J8" s="100" t="s">
        <v>152</v>
      </c>
      <c r="K8" s="101" t="s">
        <v>155</v>
      </c>
      <c r="L8" s="103" t="s">
        <v>76</v>
      </c>
      <c r="M8" s="57" t="s">
        <v>78</v>
      </c>
      <c r="N8" s="43" t="s">
        <v>55</v>
      </c>
      <c r="O8" s="105" t="s">
        <v>68</v>
      </c>
      <c r="P8" s="101" t="s">
        <v>70</v>
      </c>
      <c r="Q8" s="107" t="s">
        <v>74</v>
      </c>
    </row>
    <row r="9" ht="30.0" customHeight="1">
      <c r="A9" s="73" t="s">
        <v>161</v>
      </c>
      <c r="B9" s="75" t="s">
        <v>24</v>
      </c>
      <c r="C9" s="73" t="s">
        <v>141</v>
      </c>
      <c r="D9" s="77">
        <v>1.0</v>
      </c>
      <c r="E9" s="77" t="s">
        <v>146</v>
      </c>
      <c r="F9" s="77" t="s">
        <v>148</v>
      </c>
      <c r="G9" s="77" t="s">
        <v>149</v>
      </c>
      <c r="H9" s="77" t="s">
        <v>151</v>
      </c>
      <c r="I9" s="75"/>
      <c r="J9" s="81" t="s">
        <v>152</v>
      </c>
      <c r="K9" s="45" t="s">
        <v>155</v>
      </c>
      <c r="L9" s="88" t="s">
        <v>63</v>
      </c>
      <c r="M9" s="86" t="s">
        <v>164</v>
      </c>
      <c r="N9" s="43" t="s">
        <v>55</v>
      </c>
      <c r="O9" s="115" t="s">
        <v>56</v>
      </c>
      <c r="P9" s="45" t="s">
        <v>168</v>
      </c>
      <c r="Q9" s="44"/>
    </row>
    <row r="10" ht="30.0" customHeight="1">
      <c r="A10" s="94" t="s">
        <v>181</v>
      </c>
      <c r="B10" s="96" t="s">
        <v>24</v>
      </c>
      <c r="C10" s="94" t="s">
        <v>141</v>
      </c>
      <c r="D10" s="97">
        <v>1.0</v>
      </c>
      <c r="E10" s="97" t="s">
        <v>146</v>
      </c>
      <c r="F10" s="97" t="s">
        <v>148</v>
      </c>
      <c r="G10" s="97" t="s">
        <v>149</v>
      </c>
      <c r="H10" s="97" t="s">
        <v>151</v>
      </c>
      <c r="I10" s="96"/>
      <c r="J10" s="100" t="s">
        <v>152</v>
      </c>
      <c r="K10" s="101" t="s">
        <v>155</v>
      </c>
      <c r="L10" s="88" t="s">
        <v>63</v>
      </c>
      <c r="M10" s="50" t="s">
        <v>64</v>
      </c>
      <c r="N10" s="43" t="s">
        <v>55</v>
      </c>
      <c r="O10" s="124" t="s">
        <v>56</v>
      </c>
      <c r="P10" s="101" t="s">
        <v>185</v>
      </c>
      <c r="Q10" s="107" t="s">
        <v>186</v>
      </c>
    </row>
    <row r="11" ht="30.0" customHeight="1">
      <c r="A11" s="73" t="s">
        <v>188</v>
      </c>
      <c r="B11" s="75" t="s">
        <v>24</v>
      </c>
      <c r="C11" s="73" t="s">
        <v>141</v>
      </c>
      <c r="D11" s="77">
        <v>1.0</v>
      </c>
      <c r="E11" s="77" t="s">
        <v>146</v>
      </c>
      <c r="F11" s="77" t="s">
        <v>148</v>
      </c>
      <c r="G11" s="77" t="s">
        <v>149</v>
      </c>
      <c r="H11" s="77" t="s">
        <v>151</v>
      </c>
      <c r="I11" s="75"/>
      <c r="J11" s="81" t="s">
        <v>152</v>
      </c>
      <c r="K11" s="45" t="s">
        <v>155</v>
      </c>
      <c r="L11" s="125" t="s">
        <v>92</v>
      </c>
      <c r="M11" s="50" t="s">
        <v>64</v>
      </c>
      <c r="N11" s="43" t="s">
        <v>55</v>
      </c>
      <c r="O11" s="59" t="s">
        <v>68</v>
      </c>
      <c r="P11" s="45" t="s">
        <v>70</v>
      </c>
      <c r="Q11" s="44" t="s">
        <v>74</v>
      </c>
    </row>
    <row r="12" ht="30.0" customHeight="1">
      <c r="A12" s="94" t="s">
        <v>227</v>
      </c>
      <c r="B12" s="96" t="s">
        <v>24</v>
      </c>
      <c r="C12" s="94" t="s">
        <v>141</v>
      </c>
      <c r="D12" s="97">
        <v>1.0</v>
      </c>
      <c r="E12" s="97" t="s">
        <v>146</v>
      </c>
      <c r="F12" s="97" t="s">
        <v>148</v>
      </c>
      <c r="G12" s="97" t="s">
        <v>149</v>
      </c>
      <c r="H12" s="97" t="s">
        <v>151</v>
      </c>
      <c r="I12" s="96"/>
      <c r="J12" s="100" t="s">
        <v>152</v>
      </c>
      <c r="K12" s="101" t="s">
        <v>155</v>
      </c>
      <c r="L12" s="125" t="s">
        <v>92</v>
      </c>
      <c r="M12" s="50" t="s">
        <v>64</v>
      </c>
      <c r="N12" s="43" t="s">
        <v>55</v>
      </c>
      <c r="O12" s="105" t="s">
        <v>68</v>
      </c>
      <c r="P12" s="101" t="s">
        <v>70</v>
      </c>
      <c r="Q12" s="107" t="s">
        <v>74</v>
      </c>
    </row>
    <row r="13" ht="30.0" customHeight="1">
      <c r="A13" s="73" t="s">
        <v>229</v>
      </c>
      <c r="B13" s="75" t="s">
        <v>24</v>
      </c>
      <c r="C13" s="73" t="s">
        <v>141</v>
      </c>
      <c r="D13" s="77">
        <v>1.0</v>
      </c>
      <c r="E13" s="77" t="s">
        <v>146</v>
      </c>
      <c r="F13" s="77" t="s">
        <v>148</v>
      </c>
      <c r="G13" s="77" t="s">
        <v>149</v>
      </c>
      <c r="H13" s="77" t="s">
        <v>151</v>
      </c>
      <c r="I13" s="75"/>
      <c r="J13" s="81" t="s">
        <v>152</v>
      </c>
      <c r="K13" s="45" t="s">
        <v>155</v>
      </c>
      <c r="L13" s="126" t="s">
        <v>78</v>
      </c>
      <c r="M13" s="50" t="s">
        <v>64</v>
      </c>
      <c r="N13" s="43" t="s">
        <v>55</v>
      </c>
      <c r="O13" s="115" t="s">
        <v>56</v>
      </c>
      <c r="P13" s="45" t="s">
        <v>230</v>
      </c>
      <c r="Q13" s="44" t="s">
        <v>231</v>
      </c>
    </row>
    <row r="14" ht="30.0" customHeight="1">
      <c r="A14" s="94" t="s">
        <v>232</v>
      </c>
      <c r="B14" s="96" t="s">
        <v>24</v>
      </c>
      <c r="C14" s="94" t="s">
        <v>141</v>
      </c>
      <c r="D14" s="97">
        <v>1.0</v>
      </c>
      <c r="E14" s="97" t="s">
        <v>146</v>
      </c>
      <c r="F14" s="97" t="s">
        <v>148</v>
      </c>
      <c r="G14" s="97" t="s">
        <v>149</v>
      </c>
      <c r="H14" s="97" t="s">
        <v>151</v>
      </c>
      <c r="I14" s="96"/>
      <c r="J14" s="100" t="s">
        <v>152</v>
      </c>
      <c r="K14" s="101" t="s">
        <v>155</v>
      </c>
      <c r="L14" s="88" t="s">
        <v>63</v>
      </c>
      <c r="M14" s="62" t="s">
        <v>92</v>
      </c>
      <c r="N14" s="43" t="s">
        <v>55</v>
      </c>
      <c r="O14" s="105" t="s">
        <v>68</v>
      </c>
      <c r="P14" s="101" t="s">
        <v>70</v>
      </c>
      <c r="Q14" s="107" t="s">
        <v>74</v>
      </c>
    </row>
    <row r="15" ht="30.0" customHeight="1">
      <c r="A15" s="73" t="s">
        <v>235</v>
      </c>
      <c r="B15" s="75" t="s">
        <v>24</v>
      </c>
      <c r="C15" s="73" t="s">
        <v>141</v>
      </c>
      <c r="D15" s="77">
        <v>1.0</v>
      </c>
      <c r="E15" s="77" t="s">
        <v>146</v>
      </c>
      <c r="F15" s="77" t="s">
        <v>148</v>
      </c>
      <c r="G15" s="77" t="s">
        <v>149</v>
      </c>
      <c r="H15" s="77" t="s">
        <v>151</v>
      </c>
      <c r="I15" s="75"/>
      <c r="J15" s="81" t="s">
        <v>152</v>
      </c>
      <c r="K15" s="45" t="s">
        <v>155</v>
      </c>
      <c r="L15" s="125" t="s">
        <v>92</v>
      </c>
      <c r="M15" s="50" t="s">
        <v>64</v>
      </c>
      <c r="N15" s="43" t="s">
        <v>55</v>
      </c>
      <c r="O15" s="59" t="s">
        <v>68</v>
      </c>
      <c r="P15" s="45" t="s">
        <v>70</v>
      </c>
      <c r="Q15" s="44" t="s">
        <v>74</v>
      </c>
    </row>
    <row r="16" ht="30.0" customHeight="1">
      <c r="A16" s="94" t="s">
        <v>239</v>
      </c>
      <c r="B16" s="96" t="s">
        <v>24</v>
      </c>
      <c r="C16" s="94" t="s">
        <v>141</v>
      </c>
      <c r="D16" s="97">
        <v>1.0</v>
      </c>
      <c r="E16" s="97" t="s">
        <v>146</v>
      </c>
      <c r="F16" s="97" t="s">
        <v>148</v>
      </c>
      <c r="G16" s="97" t="s">
        <v>149</v>
      </c>
      <c r="H16" s="97" t="s">
        <v>151</v>
      </c>
      <c r="I16" s="96"/>
      <c r="J16" s="100" t="s">
        <v>152</v>
      </c>
      <c r="K16" s="101" t="s">
        <v>155</v>
      </c>
      <c r="L16" s="127" t="s">
        <v>64</v>
      </c>
      <c r="M16" s="86" t="s">
        <v>164</v>
      </c>
      <c r="N16" s="43" t="s">
        <v>55</v>
      </c>
      <c r="O16" s="105" t="s">
        <v>68</v>
      </c>
      <c r="P16" s="101" t="s">
        <v>70</v>
      </c>
      <c r="Q16" s="107" t="s">
        <v>74</v>
      </c>
    </row>
    <row r="17" ht="30.0" customHeight="1">
      <c r="A17" s="73" t="s">
        <v>244</v>
      </c>
      <c r="B17" s="75" t="s">
        <v>24</v>
      </c>
      <c r="C17" s="73" t="s">
        <v>141</v>
      </c>
      <c r="D17" s="77">
        <v>1.0</v>
      </c>
      <c r="E17" s="77" t="s">
        <v>146</v>
      </c>
      <c r="F17" s="77" t="s">
        <v>148</v>
      </c>
      <c r="G17" s="77" t="s">
        <v>149</v>
      </c>
      <c r="H17" s="77" t="s">
        <v>151</v>
      </c>
      <c r="I17" s="75"/>
      <c r="J17" s="81" t="s">
        <v>152</v>
      </c>
      <c r="K17" s="45" t="s">
        <v>155</v>
      </c>
      <c r="L17" s="130" t="s">
        <v>159</v>
      </c>
      <c r="M17" s="86" t="s">
        <v>164</v>
      </c>
      <c r="N17" s="43" t="s">
        <v>55</v>
      </c>
      <c r="O17" s="59" t="s">
        <v>68</v>
      </c>
      <c r="P17" s="45" t="s">
        <v>70</v>
      </c>
      <c r="Q17" s="44" t="s">
        <v>74</v>
      </c>
    </row>
    <row r="18" ht="30.0" customHeight="1">
      <c r="A18" s="94" t="s">
        <v>246</v>
      </c>
      <c r="B18" s="96" t="s">
        <v>24</v>
      </c>
      <c r="C18" s="94" t="s">
        <v>141</v>
      </c>
      <c r="D18" s="97">
        <v>1.0</v>
      </c>
      <c r="E18" s="97" t="s">
        <v>146</v>
      </c>
      <c r="F18" s="97" t="s">
        <v>148</v>
      </c>
      <c r="G18" s="97" t="s">
        <v>149</v>
      </c>
      <c r="H18" s="97" t="s">
        <v>151</v>
      </c>
      <c r="I18" s="96"/>
      <c r="J18" s="100" t="s">
        <v>152</v>
      </c>
      <c r="K18" s="101" t="s">
        <v>155</v>
      </c>
      <c r="L18" s="125" t="s">
        <v>92</v>
      </c>
      <c r="M18" s="50" t="s">
        <v>64</v>
      </c>
      <c r="N18" s="43" t="s">
        <v>55</v>
      </c>
      <c r="O18" s="105" t="s">
        <v>68</v>
      </c>
      <c r="P18" s="101" t="s">
        <v>70</v>
      </c>
      <c r="Q18" s="107" t="s">
        <v>74</v>
      </c>
    </row>
    <row r="19" ht="39.75" customHeight="1">
      <c r="A19" s="73" t="s">
        <v>247</v>
      </c>
      <c r="B19" s="75" t="s">
        <v>24</v>
      </c>
      <c r="C19" s="73" t="s">
        <v>141</v>
      </c>
      <c r="D19" s="77">
        <v>1.0</v>
      </c>
      <c r="E19" s="77" t="s">
        <v>146</v>
      </c>
      <c r="F19" s="77" t="s">
        <v>148</v>
      </c>
      <c r="G19" s="77" t="s">
        <v>149</v>
      </c>
      <c r="H19" s="77" t="s">
        <v>151</v>
      </c>
      <c r="I19" s="75"/>
      <c r="J19" s="81" t="s">
        <v>152</v>
      </c>
      <c r="K19" s="45" t="s">
        <v>155</v>
      </c>
      <c r="L19" s="127" t="s">
        <v>64</v>
      </c>
      <c r="M19" s="62" t="s">
        <v>92</v>
      </c>
      <c r="N19" s="43" t="s">
        <v>55</v>
      </c>
      <c r="O19" s="59" t="s">
        <v>68</v>
      </c>
      <c r="P19" s="45" t="s">
        <v>70</v>
      </c>
      <c r="Q19" s="44" t="s">
        <v>249</v>
      </c>
    </row>
    <row r="20" ht="30.0" customHeight="1">
      <c r="A20" s="94" t="s">
        <v>258</v>
      </c>
      <c r="B20" s="96" t="s">
        <v>24</v>
      </c>
      <c r="C20" s="94" t="s">
        <v>141</v>
      </c>
      <c r="D20" s="97">
        <v>1.0</v>
      </c>
      <c r="E20" s="97" t="s">
        <v>146</v>
      </c>
      <c r="F20" s="97" t="s">
        <v>148</v>
      </c>
      <c r="G20" s="97" t="s">
        <v>149</v>
      </c>
      <c r="H20" s="97" t="s">
        <v>151</v>
      </c>
      <c r="I20" s="96"/>
      <c r="J20" s="100" t="s">
        <v>152</v>
      </c>
      <c r="K20" s="101" t="s">
        <v>155</v>
      </c>
      <c r="L20" s="88" t="s">
        <v>63</v>
      </c>
      <c r="M20" s="50" t="s">
        <v>64</v>
      </c>
      <c r="N20" s="43" t="s">
        <v>55</v>
      </c>
      <c r="O20" s="124" t="s">
        <v>56</v>
      </c>
      <c r="P20" s="101" t="s">
        <v>261</v>
      </c>
      <c r="Q20" s="107" t="s">
        <v>262</v>
      </c>
    </row>
    <row r="21" ht="30.0" customHeight="1">
      <c r="A21" s="73" t="s">
        <v>270</v>
      </c>
      <c r="B21" s="75" t="s">
        <v>24</v>
      </c>
      <c r="C21" s="73" t="s">
        <v>141</v>
      </c>
      <c r="D21" s="77">
        <v>1.0</v>
      </c>
      <c r="E21" s="77" t="s">
        <v>146</v>
      </c>
      <c r="F21" s="77" t="s">
        <v>148</v>
      </c>
      <c r="G21" s="77" t="s">
        <v>149</v>
      </c>
      <c r="H21" s="77" t="s">
        <v>151</v>
      </c>
      <c r="I21" s="75"/>
      <c r="J21" s="81" t="s">
        <v>152</v>
      </c>
      <c r="K21" s="45" t="s">
        <v>155</v>
      </c>
      <c r="L21" s="126" t="s">
        <v>78</v>
      </c>
      <c r="M21" s="50" t="s">
        <v>64</v>
      </c>
      <c r="N21" s="43" t="s">
        <v>55</v>
      </c>
      <c r="O21" s="59" t="s">
        <v>68</v>
      </c>
      <c r="P21" s="45" t="s">
        <v>70</v>
      </c>
      <c r="Q21" s="44" t="s">
        <v>74</v>
      </c>
    </row>
    <row r="22" ht="39.75" customHeight="1">
      <c r="A22" s="94" t="s">
        <v>275</v>
      </c>
      <c r="B22" s="96" t="s">
        <v>24</v>
      </c>
      <c r="C22" s="94" t="s">
        <v>141</v>
      </c>
      <c r="D22" s="97">
        <v>1.0</v>
      </c>
      <c r="E22" s="97" t="s">
        <v>146</v>
      </c>
      <c r="F22" s="97" t="s">
        <v>148</v>
      </c>
      <c r="G22" s="97" t="s">
        <v>149</v>
      </c>
      <c r="H22" s="97" t="s">
        <v>151</v>
      </c>
      <c r="I22" s="96"/>
      <c r="J22" s="100" t="s">
        <v>152</v>
      </c>
      <c r="K22" s="101" t="s">
        <v>155</v>
      </c>
      <c r="L22" s="88" t="s">
        <v>63</v>
      </c>
      <c r="M22" s="50" t="s">
        <v>64</v>
      </c>
      <c r="N22" s="43" t="s">
        <v>55</v>
      </c>
      <c r="O22" s="105" t="s">
        <v>68</v>
      </c>
      <c r="P22" s="101" t="s">
        <v>70</v>
      </c>
      <c r="Q22" s="107" t="s">
        <v>277</v>
      </c>
    </row>
    <row r="23" ht="30.0" customHeight="1">
      <c r="A23" s="73" t="s">
        <v>290</v>
      </c>
      <c r="B23" s="75" t="s">
        <v>24</v>
      </c>
      <c r="C23" s="73" t="s">
        <v>141</v>
      </c>
      <c r="D23" s="77">
        <v>1.0</v>
      </c>
      <c r="E23" s="77" t="s">
        <v>146</v>
      </c>
      <c r="F23" s="77" t="s">
        <v>148</v>
      </c>
      <c r="G23" s="77" t="s">
        <v>149</v>
      </c>
      <c r="H23" s="77" t="s">
        <v>151</v>
      </c>
      <c r="I23" s="75"/>
      <c r="J23" s="81" t="s">
        <v>152</v>
      </c>
      <c r="K23" s="45" t="s">
        <v>155</v>
      </c>
      <c r="L23" s="137" t="s">
        <v>164</v>
      </c>
      <c r="M23" s="50" t="s">
        <v>64</v>
      </c>
      <c r="N23" s="43" t="s">
        <v>55</v>
      </c>
      <c r="O23" s="59" t="s">
        <v>68</v>
      </c>
      <c r="P23" s="45" t="s">
        <v>70</v>
      </c>
      <c r="Q23" s="44" t="s">
        <v>74</v>
      </c>
    </row>
    <row r="24" ht="30.0" customHeight="1">
      <c r="A24" s="94" t="s">
        <v>295</v>
      </c>
      <c r="B24" s="96" t="s">
        <v>24</v>
      </c>
      <c r="C24" s="94" t="s">
        <v>141</v>
      </c>
      <c r="D24" s="97">
        <v>1.0</v>
      </c>
      <c r="E24" s="97" t="s">
        <v>146</v>
      </c>
      <c r="F24" s="97" t="s">
        <v>148</v>
      </c>
      <c r="G24" s="97" t="s">
        <v>149</v>
      </c>
      <c r="H24" s="97" t="s">
        <v>151</v>
      </c>
      <c r="I24" s="96"/>
      <c r="J24" s="100" t="s">
        <v>152</v>
      </c>
      <c r="K24" s="101" t="s">
        <v>155</v>
      </c>
      <c r="L24" s="88" t="s">
        <v>63</v>
      </c>
      <c r="M24" s="50" t="s">
        <v>64</v>
      </c>
      <c r="N24" s="43" t="s">
        <v>55</v>
      </c>
      <c r="O24" s="105" t="s">
        <v>68</v>
      </c>
      <c r="P24" s="101" t="s">
        <v>70</v>
      </c>
      <c r="Q24" s="107" t="s">
        <v>74</v>
      </c>
    </row>
    <row r="25" ht="30.0" customHeight="1">
      <c r="A25" s="73" t="s">
        <v>303</v>
      </c>
      <c r="B25" s="75" t="s">
        <v>24</v>
      </c>
      <c r="C25" s="73" t="s">
        <v>141</v>
      </c>
      <c r="D25" s="77">
        <v>1.0</v>
      </c>
      <c r="E25" s="77" t="s">
        <v>146</v>
      </c>
      <c r="F25" s="77" t="s">
        <v>148</v>
      </c>
      <c r="G25" s="77" t="s">
        <v>149</v>
      </c>
      <c r="H25" s="77" t="s">
        <v>151</v>
      </c>
      <c r="I25" s="75"/>
      <c r="J25" s="81" t="s">
        <v>152</v>
      </c>
      <c r="K25" s="45" t="s">
        <v>155</v>
      </c>
      <c r="L25" s="88" t="s">
        <v>63</v>
      </c>
      <c r="M25" s="50" t="s">
        <v>64</v>
      </c>
      <c r="N25" s="43" t="s">
        <v>55</v>
      </c>
      <c r="O25" s="59" t="s">
        <v>68</v>
      </c>
      <c r="P25" s="45" t="s">
        <v>70</v>
      </c>
      <c r="Q25" s="44" t="s">
        <v>74</v>
      </c>
    </row>
    <row r="26" ht="30.0" customHeight="1">
      <c r="A26" s="94" t="s">
        <v>310</v>
      </c>
      <c r="B26" s="96" t="s">
        <v>24</v>
      </c>
      <c r="C26" s="94" t="s">
        <v>141</v>
      </c>
      <c r="D26" s="97">
        <v>1.0</v>
      </c>
      <c r="E26" s="97" t="s">
        <v>146</v>
      </c>
      <c r="F26" s="97" t="s">
        <v>148</v>
      </c>
      <c r="G26" s="97" t="s">
        <v>149</v>
      </c>
      <c r="H26" s="97" t="s">
        <v>151</v>
      </c>
      <c r="I26" s="96"/>
      <c r="J26" s="100" t="s">
        <v>152</v>
      </c>
      <c r="K26" s="101" t="s">
        <v>155</v>
      </c>
      <c r="L26" s="127" t="s">
        <v>64</v>
      </c>
      <c r="M26" s="79" t="s">
        <v>150</v>
      </c>
      <c r="N26" s="43" t="s">
        <v>55</v>
      </c>
      <c r="O26" s="105" t="s">
        <v>68</v>
      </c>
      <c r="P26" s="101" t="s">
        <v>70</v>
      </c>
      <c r="Q26" s="107" t="s">
        <v>74</v>
      </c>
    </row>
    <row r="27" ht="30.0" hidden="1" customHeight="1">
      <c r="A27" s="73" t="s">
        <v>89</v>
      </c>
      <c r="B27" s="75" t="s">
        <v>24</v>
      </c>
      <c r="C27" s="73" t="s">
        <v>248</v>
      </c>
      <c r="D27" s="77">
        <v>2.0</v>
      </c>
      <c r="E27" s="77" t="s">
        <v>146</v>
      </c>
      <c r="F27" s="77" t="s">
        <v>148</v>
      </c>
      <c r="G27" s="77" t="s">
        <v>149</v>
      </c>
      <c r="H27" s="77" t="s">
        <v>151</v>
      </c>
      <c r="I27" s="75"/>
      <c r="J27" s="81" t="s">
        <v>251</v>
      </c>
      <c r="K27" s="45" t="s">
        <v>253</v>
      </c>
      <c r="L27" s="125" t="s">
        <v>92</v>
      </c>
      <c r="M27" s="50" t="s">
        <v>64</v>
      </c>
      <c r="N27" s="43" t="s">
        <v>55</v>
      </c>
      <c r="O27" s="59" t="s">
        <v>68</v>
      </c>
      <c r="P27" s="45" t="s">
        <v>70</v>
      </c>
      <c r="Q27" s="44" t="s">
        <v>74</v>
      </c>
    </row>
    <row r="28" ht="30.0" hidden="1" customHeight="1">
      <c r="A28" s="94" t="s">
        <v>102</v>
      </c>
      <c r="B28" s="96" t="s">
        <v>24</v>
      </c>
      <c r="C28" s="94" t="s">
        <v>248</v>
      </c>
      <c r="D28" s="97">
        <v>2.0</v>
      </c>
      <c r="E28" s="97" t="s">
        <v>146</v>
      </c>
      <c r="F28" s="97" t="s">
        <v>148</v>
      </c>
      <c r="G28" s="97" t="s">
        <v>149</v>
      </c>
      <c r="H28" s="97" t="s">
        <v>151</v>
      </c>
      <c r="I28" s="96"/>
      <c r="J28" s="100" t="s">
        <v>251</v>
      </c>
      <c r="K28" s="101" t="s">
        <v>253</v>
      </c>
      <c r="L28" s="125" t="s">
        <v>92</v>
      </c>
      <c r="M28" s="50" t="s">
        <v>64</v>
      </c>
      <c r="N28" s="43" t="s">
        <v>55</v>
      </c>
      <c r="O28" s="105" t="s">
        <v>68</v>
      </c>
      <c r="P28" s="101" t="s">
        <v>70</v>
      </c>
      <c r="Q28" s="107" t="s">
        <v>74</v>
      </c>
    </row>
    <row r="29" ht="30.0" hidden="1" customHeight="1">
      <c r="A29" s="73" t="s">
        <v>145</v>
      </c>
      <c r="B29" s="75" t="s">
        <v>24</v>
      </c>
      <c r="C29" s="73" t="s">
        <v>248</v>
      </c>
      <c r="D29" s="77">
        <v>2.0</v>
      </c>
      <c r="E29" s="77" t="s">
        <v>146</v>
      </c>
      <c r="F29" s="77" t="s">
        <v>148</v>
      </c>
      <c r="G29" s="77" t="s">
        <v>149</v>
      </c>
      <c r="H29" s="77" t="s">
        <v>151</v>
      </c>
      <c r="I29" s="75"/>
      <c r="J29" s="81" t="s">
        <v>251</v>
      </c>
      <c r="K29" s="45" t="s">
        <v>253</v>
      </c>
      <c r="L29" s="127" t="s">
        <v>64</v>
      </c>
      <c r="M29" s="79" t="s">
        <v>150</v>
      </c>
      <c r="N29" s="43" t="s">
        <v>55</v>
      </c>
      <c r="O29" s="115" t="s">
        <v>56</v>
      </c>
      <c r="P29" s="45" t="s">
        <v>157</v>
      </c>
      <c r="Q29" s="44" t="s">
        <v>160</v>
      </c>
    </row>
    <row r="30" ht="30.0" hidden="1" customHeight="1">
      <c r="A30" s="94" t="s">
        <v>194</v>
      </c>
      <c r="B30" s="96" t="s">
        <v>24</v>
      </c>
      <c r="C30" s="94" t="s">
        <v>248</v>
      </c>
      <c r="D30" s="97">
        <v>2.0</v>
      </c>
      <c r="E30" s="97" t="s">
        <v>146</v>
      </c>
      <c r="F30" s="97" t="s">
        <v>148</v>
      </c>
      <c r="G30" s="97" t="s">
        <v>149</v>
      </c>
      <c r="H30" s="97" t="s">
        <v>151</v>
      </c>
      <c r="I30" s="96"/>
      <c r="J30" s="100" t="s">
        <v>251</v>
      </c>
      <c r="K30" s="101" t="s">
        <v>253</v>
      </c>
      <c r="L30" s="88" t="s">
        <v>63</v>
      </c>
      <c r="M30" s="50" t="s">
        <v>64</v>
      </c>
      <c r="N30" s="43" t="s">
        <v>55</v>
      </c>
      <c r="O30" s="105" t="s">
        <v>68</v>
      </c>
      <c r="P30" s="101" t="s">
        <v>70</v>
      </c>
      <c r="Q30" s="107" t="s">
        <v>74</v>
      </c>
    </row>
    <row r="31" ht="30.0" hidden="1" customHeight="1">
      <c r="A31" s="73" t="s">
        <v>217</v>
      </c>
      <c r="B31" s="75" t="s">
        <v>24</v>
      </c>
      <c r="C31" s="73" t="s">
        <v>248</v>
      </c>
      <c r="D31" s="77">
        <v>2.0</v>
      </c>
      <c r="E31" s="77" t="s">
        <v>146</v>
      </c>
      <c r="F31" s="77" t="s">
        <v>148</v>
      </c>
      <c r="G31" s="77" t="s">
        <v>149</v>
      </c>
      <c r="H31" s="77" t="s">
        <v>151</v>
      </c>
      <c r="I31" s="75"/>
      <c r="J31" s="81" t="s">
        <v>251</v>
      </c>
      <c r="K31" s="45" t="s">
        <v>253</v>
      </c>
      <c r="L31" s="103" t="s">
        <v>76</v>
      </c>
      <c r="M31" s="57" t="s">
        <v>78</v>
      </c>
      <c r="N31" s="43" t="s">
        <v>55</v>
      </c>
      <c r="O31" s="59" t="s">
        <v>68</v>
      </c>
      <c r="P31" s="45" t="s">
        <v>70</v>
      </c>
      <c r="Q31" s="44" t="s">
        <v>74</v>
      </c>
    </row>
    <row r="32" ht="30.0" hidden="1" customHeight="1">
      <c r="A32" s="94" t="s">
        <v>226</v>
      </c>
      <c r="B32" s="96" t="s">
        <v>24</v>
      </c>
      <c r="C32" s="94" t="s">
        <v>248</v>
      </c>
      <c r="D32" s="97">
        <v>2.0</v>
      </c>
      <c r="E32" s="97" t="s">
        <v>146</v>
      </c>
      <c r="F32" s="97" t="s">
        <v>148</v>
      </c>
      <c r="G32" s="97" t="s">
        <v>149</v>
      </c>
      <c r="H32" s="97" t="s">
        <v>151</v>
      </c>
      <c r="I32" s="139" t="s">
        <v>350</v>
      </c>
      <c r="J32" s="100" t="s">
        <v>251</v>
      </c>
      <c r="K32" s="101" t="s">
        <v>253</v>
      </c>
      <c r="L32" s="125" t="s">
        <v>92</v>
      </c>
      <c r="M32" s="50" t="s">
        <v>64</v>
      </c>
      <c r="N32" s="43" t="s">
        <v>55</v>
      </c>
      <c r="O32" s="105" t="s">
        <v>68</v>
      </c>
      <c r="P32" s="101" t="s">
        <v>70</v>
      </c>
      <c r="Q32" s="107" t="s">
        <v>74</v>
      </c>
    </row>
    <row r="33" ht="30.0" hidden="1" customHeight="1">
      <c r="A33" s="73" t="s">
        <v>228</v>
      </c>
      <c r="B33" s="75" t="s">
        <v>24</v>
      </c>
      <c r="C33" s="73" t="s">
        <v>248</v>
      </c>
      <c r="D33" s="77">
        <v>2.0</v>
      </c>
      <c r="E33" s="77" t="s">
        <v>146</v>
      </c>
      <c r="F33" s="77" t="s">
        <v>148</v>
      </c>
      <c r="G33" s="77" t="s">
        <v>149</v>
      </c>
      <c r="H33" s="77" t="s">
        <v>151</v>
      </c>
      <c r="I33" s="75"/>
      <c r="J33" s="81" t="s">
        <v>251</v>
      </c>
      <c r="K33" s="45" t="s">
        <v>253</v>
      </c>
      <c r="L33" s="88" t="s">
        <v>63</v>
      </c>
      <c r="M33" s="50" t="s">
        <v>64</v>
      </c>
      <c r="N33" s="43" t="s">
        <v>55</v>
      </c>
      <c r="O33" s="59" t="s">
        <v>68</v>
      </c>
      <c r="P33" s="45" t="s">
        <v>70</v>
      </c>
      <c r="Q33" s="44" t="s">
        <v>74</v>
      </c>
    </row>
    <row r="34" ht="30.0" hidden="1" customHeight="1">
      <c r="A34" s="94" t="s">
        <v>236</v>
      </c>
      <c r="B34" s="96" t="s">
        <v>24</v>
      </c>
      <c r="C34" s="94" t="s">
        <v>248</v>
      </c>
      <c r="D34" s="97">
        <v>2.0</v>
      </c>
      <c r="E34" s="97" t="s">
        <v>146</v>
      </c>
      <c r="F34" s="97" t="s">
        <v>148</v>
      </c>
      <c r="G34" s="97" t="s">
        <v>149</v>
      </c>
      <c r="H34" s="97" t="s">
        <v>151</v>
      </c>
      <c r="I34" s="96"/>
      <c r="J34" s="100" t="s">
        <v>251</v>
      </c>
      <c r="K34" s="101" t="s">
        <v>253</v>
      </c>
      <c r="L34" s="127" t="s">
        <v>64</v>
      </c>
      <c r="M34" s="86" t="s">
        <v>164</v>
      </c>
      <c r="N34" s="43" t="s">
        <v>55</v>
      </c>
      <c r="O34" s="105" t="s">
        <v>68</v>
      </c>
      <c r="P34" s="101" t="s">
        <v>70</v>
      </c>
      <c r="Q34" s="107" t="s">
        <v>74</v>
      </c>
    </row>
    <row r="35" ht="30.0" hidden="1" customHeight="1">
      <c r="A35" s="73" t="s">
        <v>255</v>
      </c>
      <c r="B35" s="75" t="s">
        <v>24</v>
      </c>
      <c r="C35" s="73" t="s">
        <v>248</v>
      </c>
      <c r="D35" s="77">
        <v>2.0</v>
      </c>
      <c r="E35" s="77" t="s">
        <v>146</v>
      </c>
      <c r="F35" s="77" t="s">
        <v>148</v>
      </c>
      <c r="G35" s="77" t="s">
        <v>149</v>
      </c>
      <c r="H35" s="77" t="s">
        <v>151</v>
      </c>
      <c r="I35" s="75"/>
      <c r="J35" s="81" t="s">
        <v>251</v>
      </c>
      <c r="K35" s="45" t="s">
        <v>253</v>
      </c>
      <c r="L35" s="88" t="s">
        <v>63</v>
      </c>
      <c r="M35" s="50" t="s">
        <v>64</v>
      </c>
      <c r="N35" s="43" t="s">
        <v>55</v>
      </c>
      <c r="O35" s="59" t="s">
        <v>68</v>
      </c>
      <c r="P35" s="45" t="s">
        <v>70</v>
      </c>
      <c r="Q35" s="44" t="s">
        <v>74</v>
      </c>
    </row>
    <row r="36" ht="30.0" hidden="1" customHeight="1">
      <c r="A36" s="94" t="s">
        <v>283</v>
      </c>
      <c r="B36" s="96" t="s">
        <v>24</v>
      </c>
      <c r="C36" s="94" t="s">
        <v>248</v>
      </c>
      <c r="D36" s="97">
        <v>2.0</v>
      </c>
      <c r="E36" s="97" t="s">
        <v>146</v>
      </c>
      <c r="F36" s="97" t="s">
        <v>148</v>
      </c>
      <c r="G36" s="97" t="s">
        <v>149</v>
      </c>
      <c r="H36" s="97" t="s">
        <v>151</v>
      </c>
      <c r="I36" s="96"/>
      <c r="J36" s="100" t="s">
        <v>251</v>
      </c>
      <c r="K36" s="101" t="s">
        <v>253</v>
      </c>
      <c r="L36" s="88" t="s">
        <v>63</v>
      </c>
      <c r="M36" s="50" t="s">
        <v>64</v>
      </c>
      <c r="N36" s="43" t="s">
        <v>55</v>
      </c>
      <c r="O36" s="105" t="s">
        <v>68</v>
      </c>
      <c r="P36" s="101" t="s">
        <v>70</v>
      </c>
      <c r="Q36" s="107" t="s">
        <v>74</v>
      </c>
    </row>
    <row r="37" ht="30.0" hidden="1" customHeight="1">
      <c r="A37" s="73" t="s">
        <v>286</v>
      </c>
      <c r="B37" s="75" t="s">
        <v>24</v>
      </c>
      <c r="C37" s="73" t="s">
        <v>248</v>
      </c>
      <c r="D37" s="77">
        <v>2.0</v>
      </c>
      <c r="E37" s="77" t="s">
        <v>146</v>
      </c>
      <c r="F37" s="77" t="s">
        <v>148</v>
      </c>
      <c r="G37" s="77" t="s">
        <v>149</v>
      </c>
      <c r="H37" s="77" t="s">
        <v>151</v>
      </c>
      <c r="I37" s="75"/>
      <c r="J37" s="81" t="s">
        <v>251</v>
      </c>
      <c r="K37" s="45" t="s">
        <v>253</v>
      </c>
      <c r="L37" s="125" t="s">
        <v>92</v>
      </c>
      <c r="M37" s="50" t="s">
        <v>64</v>
      </c>
      <c r="N37" s="43" t="s">
        <v>55</v>
      </c>
      <c r="O37" s="59" t="s">
        <v>68</v>
      </c>
      <c r="P37" s="45" t="s">
        <v>70</v>
      </c>
      <c r="Q37" s="44" t="s">
        <v>74</v>
      </c>
    </row>
    <row r="38" ht="30.0" hidden="1" customHeight="1">
      <c r="A38" s="94" t="s">
        <v>298</v>
      </c>
      <c r="B38" s="96" t="s">
        <v>24</v>
      </c>
      <c r="C38" s="94" t="s">
        <v>248</v>
      </c>
      <c r="D38" s="97">
        <v>2.0</v>
      </c>
      <c r="E38" s="97" t="s">
        <v>146</v>
      </c>
      <c r="F38" s="97" t="s">
        <v>148</v>
      </c>
      <c r="G38" s="97" t="s">
        <v>149</v>
      </c>
      <c r="H38" s="97" t="s">
        <v>151</v>
      </c>
      <c r="I38" s="96"/>
      <c r="J38" s="100" t="s">
        <v>251</v>
      </c>
      <c r="K38" s="101" t="s">
        <v>253</v>
      </c>
      <c r="L38" s="140" t="s">
        <v>52</v>
      </c>
      <c r="M38" s="138" t="s">
        <v>199</v>
      </c>
      <c r="N38" s="43" t="s">
        <v>55</v>
      </c>
      <c r="O38" s="105" t="s">
        <v>68</v>
      </c>
      <c r="P38" s="101" t="s">
        <v>70</v>
      </c>
      <c r="Q38" s="107" t="s">
        <v>74</v>
      </c>
    </row>
    <row r="39" ht="39.75" hidden="1" customHeight="1">
      <c r="A39" s="73" t="s">
        <v>321</v>
      </c>
      <c r="B39" s="75" t="s">
        <v>24</v>
      </c>
      <c r="C39" s="73" t="s">
        <v>248</v>
      </c>
      <c r="D39" s="77">
        <v>2.0</v>
      </c>
      <c r="E39" s="77" t="s">
        <v>146</v>
      </c>
      <c r="F39" s="77" t="s">
        <v>148</v>
      </c>
      <c r="G39" s="77" t="s">
        <v>149</v>
      </c>
      <c r="H39" s="77" t="s">
        <v>151</v>
      </c>
      <c r="I39" s="75"/>
      <c r="J39" s="81" t="s">
        <v>251</v>
      </c>
      <c r="K39" s="45" t="s">
        <v>253</v>
      </c>
      <c r="L39" s="125" t="s">
        <v>92</v>
      </c>
      <c r="M39" s="50" t="s">
        <v>64</v>
      </c>
      <c r="N39" s="43" t="s">
        <v>55</v>
      </c>
      <c r="O39" s="59" t="s">
        <v>68</v>
      </c>
      <c r="P39" s="45" t="s">
        <v>70</v>
      </c>
      <c r="Q39" s="44" t="s">
        <v>325</v>
      </c>
    </row>
    <row r="40" ht="30.0" hidden="1" customHeight="1">
      <c r="A40" s="94" t="s">
        <v>326</v>
      </c>
      <c r="B40" s="96" t="s">
        <v>24</v>
      </c>
      <c r="C40" s="94" t="s">
        <v>248</v>
      </c>
      <c r="D40" s="97">
        <v>2.0</v>
      </c>
      <c r="E40" s="97" t="s">
        <v>146</v>
      </c>
      <c r="F40" s="97" t="s">
        <v>148</v>
      </c>
      <c r="G40" s="97" t="s">
        <v>149</v>
      </c>
      <c r="H40" s="97" t="s">
        <v>151</v>
      </c>
      <c r="I40" s="96"/>
      <c r="J40" s="100" t="s">
        <v>251</v>
      </c>
      <c r="K40" s="101" t="s">
        <v>253</v>
      </c>
      <c r="L40" s="127" t="s">
        <v>64</v>
      </c>
      <c r="M40" s="79" t="s">
        <v>150</v>
      </c>
      <c r="N40" s="43" t="s">
        <v>55</v>
      </c>
      <c r="O40" s="105" t="s">
        <v>68</v>
      </c>
      <c r="P40" s="101" t="s">
        <v>70</v>
      </c>
      <c r="Q40" s="107" t="s">
        <v>74</v>
      </c>
    </row>
    <row r="41" ht="30.0" hidden="1" customHeight="1">
      <c r="A41" s="73" t="s">
        <v>330</v>
      </c>
      <c r="B41" s="75" t="s">
        <v>24</v>
      </c>
      <c r="C41" s="73" t="s">
        <v>248</v>
      </c>
      <c r="D41" s="77">
        <v>2.0</v>
      </c>
      <c r="E41" s="77" t="s">
        <v>146</v>
      </c>
      <c r="F41" s="77" t="s">
        <v>148</v>
      </c>
      <c r="G41" s="77" t="s">
        <v>149</v>
      </c>
      <c r="H41" s="77" t="s">
        <v>151</v>
      </c>
      <c r="I41" s="75"/>
      <c r="J41" s="81" t="s">
        <v>251</v>
      </c>
      <c r="K41" s="45" t="s">
        <v>253</v>
      </c>
      <c r="L41" s="125" t="s">
        <v>92</v>
      </c>
      <c r="M41" s="50" t="s">
        <v>64</v>
      </c>
      <c r="N41" s="43" t="s">
        <v>55</v>
      </c>
      <c r="O41" s="59" t="s">
        <v>68</v>
      </c>
      <c r="P41" s="45" t="s">
        <v>70</v>
      </c>
      <c r="Q41" s="44" t="s">
        <v>74</v>
      </c>
    </row>
    <row r="42" ht="39.75" hidden="1" customHeight="1">
      <c r="A42" s="94" t="s">
        <v>342</v>
      </c>
      <c r="B42" s="96" t="s">
        <v>24</v>
      </c>
      <c r="C42" s="94" t="s">
        <v>248</v>
      </c>
      <c r="D42" s="97">
        <v>2.0</v>
      </c>
      <c r="E42" s="97" t="s">
        <v>146</v>
      </c>
      <c r="F42" s="97" t="s">
        <v>148</v>
      </c>
      <c r="G42" s="97" t="s">
        <v>149</v>
      </c>
      <c r="H42" s="97" t="s">
        <v>151</v>
      </c>
      <c r="I42" s="96"/>
      <c r="J42" s="100" t="s">
        <v>251</v>
      </c>
      <c r="K42" s="101" t="s">
        <v>253</v>
      </c>
      <c r="L42" s="88" t="s">
        <v>63</v>
      </c>
      <c r="M42" s="50" t="s">
        <v>64</v>
      </c>
      <c r="N42" s="43" t="s">
        <v>55</v>
      </c>
      <c r="O42" s="105" t="s">
        <v>68</v>
      </c>
      <c r="P42" s="101" t="s">
        <v>70</v>
      </c>
      <c r="Q42" s="107" t="s">
        <v>277</v>
      </c>
    </row>
    <row r="43" ht="30.0" hidden="1" customHeight="1">
      <c r="A43" s="73" t="s">
        <v>353</v>
      </c>
      <c r="B43" s="75" t="s">
        <v>24</v>
      </c>
      <c r="C43" s="73" t="s">
        <v>248</v>
      </c>
      <c r="D43" s="77">
        <v>2.0</v>
      </c>
      <c r="E43" s="77" t="s">
        <v>146</v>
      </c>
      <c r="F43" s="77" t="s">
        <v>148</v>
      </c>
      <c r="G43" s="77" t="s">
        <v>149</v>
      </c>
      <c r="H43" s="77" t="s">
        <v>151</v>
      </c>
      <c r="I43" s="75"/>
      <c r="J43" s="81" t="s">
        <v>251</v>
      </c>
      <c r="K43" s="45" t="s">
        <v>253</v>
      </c>
      <c r="L43" s="88" t="s">
        <v>63</v>
      </c>
      <c r="M43" s="50" t="s">
        <v>64</v>
      </c>
      <c r="N43" s="43" t="s">
        <v>55</v>
      </c>
      <c r="O43" s="59" t="s">
        <v>68</v>
      </c>
      <c r="P43" s="45" t="s">
        <v>70</v>
      </c>
      <c r="Q43" s="44" t="s">
        <v>74</v>
      </c>
    </row>
    <row r="44" ht="30.0" hidden="1" customHeight="1">
      <c r="A44" s="94" t="s">
        <v>372</v>
      </c>
      <c r="B44" s="96" t="s">
        <v>24</v>
      </c>
      <c r="C44" s="94" t="s">
        <v>248</v>
      </c>
      <c r="D44" s="97">
        <v>2.0</v>
      </c>
      <c r="E44" s="97" t="s">
        <v>146</v>
      </c>
      <c r="F44" s="97" t="s">
        <v>148</v>
      </c>
      <c r="G44" s="97" t="s">
        <v>149</v>
      </c>
      <c r="H44" s="97" t="s">
        <v>151</v>
      </c>
      <c r="I44" s="96"/>
      <c r="J44" s="100" t="s">
        <v>251</v>
      </c>
      <c r="K44" s="101" t="s">
        <v>253</v>
      </c>
      <c r="L44" s="88" t="s">
        <v>63</v>
      </c>
      <c r="M44" s="50" t="s">
        <v>64</v>
      </c>
      <c r="N44" s="43" t="s">
        <v>55</v>
      </c>
      <c r="O44" s="105" t="s">
        <v>68</v>
      </c>
      <c r="P44" s="101" t="s">
        <v>70</v>
      </c>
      <c r="Q44" s="107" t="s">
        <v>74</v>
      </c>
    </row>
    <row r="45" ht="30.0" hidden="1" customHeight="1">
      <c r="A45" s="73" t="s">
        <v>381</v>
      </c>
      <c r="B45" s="75" t="s">
        <v>24</v>
      </c>
      <c r="C45" s="73" t="s">
        <v>248</v>
      </c>
      <c r="D45" s="77">
        <v>2.0</v>
      </c>
      <c r="E45" s="77" t="s">
        <v>146</v>
      </c>
      <c r="F45" s="77" t="s">
        <v>148</v>
      </c>
      <c r="G45" s="77" t="s">
        <v>149</v>
      </c>
      <c r="H45" s="77" t="s">
        <v>151</v>
      </c>
      <c r="I45" s="142" t="s">
        <v>350</v>
      </c>
      <c r="J45" s="81" t="s">
        <v>251</v>
      </c>
      <c r="K45" s="45" t="s">
        <v>253</v>
      </c>
      <c r="L45" s="127" t="s">
        <v>64</v>
      </c>
      <c r="M45" s="86" t="s">
        <v>164</v>
      </c>
      <c r="N45" s="43" t="s">
        <v>55</v>
      </c>
      <c r="O45" s="59" t="s">
        <v>68</v>
      </c>
      <c r="P45" s="45" t="s">
        <v>70</v>
      </c>
      <c r="Q45" s="44" t="s">
        <v>74</v>
      </c>
    </row>
    <row r="46" ht="30.0" hidden="1" customHeight="1">
      <c r="A46" s="94" t="s">
        <v>382</v>
      </c>
      <c r="B46" s="96" t="s">
        <v>24</v>
      </c>
      <c r="C46" s="94" t="s">
        <v>248</v>
      </c>
      <c r="D46" s="97">
        <v>2.0</v>
      </c>
      <c r="E46" s="97" t="s">
        <v>146</v>
      </c>
      <c r="F46" s="97" t="s">
        <v>148</v>
      </c>
      <c r="G46" s="97" t="s">
        <v>149</v>
      </c>
      <c r="H46" s="97" t="s">
        <v>151</v>
      </c>
      <c r="I46" s="96"/>
      <c r="J46" s="100" t="s">
        <v>251</v>
      </c>
      <c r="K46" s="101" t="s">
        <v>253</v>
      </c>
      <c r="L46" s="140" t="s">
        <v>52</v>
      </c>
      <c r="M46" s="86" t="s">
        <v>164</v>
      </c>
      <c r="N46" s="43" t="s">
        <v>55</v>
      </c>
      <c r="O46" s="124" t="s">
        <v>195</v>
      </c>
      <c r="P46" s="101" t="s">
        <v>312</v>
      </c>
      <c r="Q46" s="107"/>
    </row>
    <row r="47" ht="30.0" hidden="1" customHeight="1">
      <c r="A47" s="73" t="s">
        <v>383</v>
      </c>
      <c r="B47" s="75" t="s">
        <v>24</v>
      </c>
      <c r="C47" s="73" t="s">
        <v>248</v>
      </c>
      <c r="D47" s="77">
        <v>2.0</v>
      </c>
      <c r="E47" s="77" t="s">
        <v>146</v>
      </c>
      <c r="F47" s="77" t="s">
        <v>148</v>
      </c>
      <c r="G47" s="77" t="s">
        <v>149</v>
      </c>
      <c r="H47" s="77" t="s">
        <v>151</v>
      </c>
      <c r="I47" s="75"/>
      <c r="J47" s="81" t="s">
        <v>251</v>
      </c>
      <c r="K47" s="45" t="s">
        <v>253</v>
      </c>
      <c r="L47" s="143" t="s">
        <v>150</v>
      </c>
      <c r="M47" s="50" t="s">
        <v>64</v>
      </c>
      <c r="N47" s="43" t="s">
        <v>55</v>
      </c>
      <c r="O47" s="115" t="s">
        <v>56</v>
      </c>
      <c r="P47" s="45" t="s">
        <v>385</v>
      </c>
      <c r="Q47" s="44"/>
    </row>
    <row r="48" ht="30.0" hidden="1" customHeight="1">
      <c r="A48" s="94" t="s">
        <v>386</v>
      </c>
      <c r="B48" s="96" t="s">
        <v>24</v>
      </c>
      <c r="C48" s="94" t="s">
        <v>248</v>
      </c>
      <c r="D48" s="97">
        <v>2.0</v>
      </c>
      <c r="E48" s="97" t="s">
        <v>146</v>
      </c>
      <c r="F48" s="97" t="s">
        <v>148</v>
      </c>
      <c r="G48" s="97" t="s">
        <v>149</v>
      </c>
      <c r="H48" s="97" t="s">
        <v>151</v>
      </c>
      <c r="I48" s="96"/>
      <c r="J48" s="100" t="s">
        <v>251</v>
      </c>
      <c r="K48" s="101" t="s">
        <v>253</v>
      </c>
      <c r="L48" s="103" t="s">
        <v>76</v>
      </c>
      <c r="M48" s="57" t="s">
        <v>78</v>
      </c>
      <c r="N48" s="43" t="s">
        <v>55</v>
      </c>
      <c r="O48" s="105" t="s">
        <v>68</v>
      </c>
      <c r="P48" s="101" t="s">
        <v>70</v>
      </c>
      <c r="Q48" s="107" t="s">
        <v>74</v>
      </c>
    </row>
    <row r="49" ht="30.0" hidden="1" customHeight="1">
      <c r="A49" s="73" t="s">
        <v>388</v>
      </c>
      <c r="B49" s="75" t="s">
        <v>24</v>
      </c>
      <c r="C49" s="73" t="s">
        <v>248</v>
      </c>
      <c r="D49" s="77">
        <v>2.0</v>
      </c>
      <c r="E49" s="77" t="s">
        <v>146</v>
      </c>
      <c r="F49" s="77" t="s">
        <v>148</v>
      </c>
      <c r="G49" s="77" t="s">
        <v>149</v>
      </c>
      <c r="H49" s="77" t="s">
        <v>151</v>
      </c>
      <c r="I49" s="75"/>
      <c r="J49" s="81" t="s">
        <v>251</v>
      </c>
      <c r="K49" s="45" t="s">
        <v>253</v>
      </c>
      <c r="L49" s="145" t="s">
        <v>208</v>
      </c>
      <c r="M49" s="86" t="s">
        <v>164</v>
      </c>
      <c r="N49" s="43" t="s">
        <v>55</v>
      </c>
      <c r="O49" s="59" t="s">
        <v>68</v>
      </c>
      <c r="P49" s="45" t="s">
        <v>70</v>
      </c>
      <c r="Q49" s="44" t="s">
        <v>74</v>
      </c>
    </row>
    <row r="50" ht="30.0" hidden="1" customHeight="1">
      <c r="A50" s="94" t="s">
        <v>389</v>
      </c>
      <c r="B50" s="96" t="s">
        <v>24</v>
      </c>
      <c r="C50" s="94" t="s">
        <v>248</v>
      </c>
      <c r="D50" s="97">
        <v>2.0</v>
      </c>
      <c r="E50" s="97" t="s">
        <v>146</v>
      </c>
      <c r="F50" s="97" t="s">
        <v>148</v>
      </c>
      <c r="G50" s="97" t="s">
        <v>149</v>
      </c>
      <c r="H50" s="97" t="s">
        <v>151</v>
      </c>
      <c r="I50" s="139" t="s">
        <v>350</v>
      </c>
      <c r="J50" s="100" t="s">
        <v>251</v>
      </c>
      <c r="K50" s="101" t="s">
        <v>253</v>
      </c>
      <c r="L50" s="88" t="s">
        <v>63</v>
      </c>
      <c r="M50" s="50" t="s">
        <v>64</v>
      </c>
      <c r="N50" s="43" t="s">
        <v>55</v>
      </c>
      <c r="O50" s="124" t="s">
        <v>56</v>
      </c>
      <c r="P50" s="101" t="s">
        <v>391</v>
      </c>
      <c r="Q50" s="107"/>
    </row>
    <row r="51" ht="30.0" hidden="1" customHeight="1">
      <c r="A51" s="73" t="s">
        <v>48</v>
      </c>
      <c r="B51" s="75" t="s">
        <v>24</v>
      </c>
      <c r="C51" s="73" t="s">
        <v>254</v>
      </c>
      <c r="D51" s="77">
        <v>3.0</v>
      </c>
      <c r="E51" s="77" t="s">
        <v>146</v>
      </c>
      <c r="F51" s="77" t="s">
        <v>148</v>
      </c>
      <c r="G51" s="77" t="s">
        <v>149</v>
      </c>
      <c r="H51" s="77" t="s">
        <v>151</v>
      </c>
      <c r="I51" s="75"/>
      <c r="J51" s="81" t="s">
        <v>256</v>
      </c>
      <c r="K51" s="45" t="s">
        <v>257</v>
      </c>
      <c r="L51" s="146" t="s">
        <v>50</v>
      </c>
      <c r="M51" s="41" t="s">
        <v>52</v>
      </c>
      <c r="N51" s="43" t="s">
        <v>55</v>
      </c>
      <c r="O51" s="115" t="s">
        <v>56</v>
      </c>
      <c r="P51" s="45" t="s">
        <v>59</v>
      </c>
      <c r="Q51" s="44"/>
    </row>
    <row r="52" ht="30.0" hidden="1" customHeight="1">
      <c r="A52" s="94" t="s">
        <v>86</v>
      </c>
      <c r="B52" s="96" t="s">
        <v>24</v>
      </c>
      <c r="C52" s="94" t="s">
        <v>254</v>
      </c>
      <c r="D52" s="97">
        <v>3.0</v>
      </c>
      <c r="E52" s="97" t="s">
        <v>146</v>
      </c>
      <c r="F52" s="97" t="s">
        <v>148</v>
      </c>
      <c r="G52" s="97" t="s">
        <v>149</v>
      </c>
      <c r="H52" s="97" t="s">
        <v>151</v>
      </c>
      <c r="I52" s="96"/>
      <c r="J52" s="100" t="s">
        <v>256</v>
      </c>
      <c r="K52" s="101" t="s">
        <v>257</v>
      </c>
      <c r="L52" s="88" t="s">
        <v>63</v>
      </c>
      <c r="M52" s="50" t="s">
        <v>64</v>
      </c>
      <c r="N52" s="43" t="s">
        <v>55</v>
      </c>
      <c r="O52" s="105" t="s">
        <v>68</v>
      </c>
      <c r="P52" s="101" t="s">
        <v>70</v>
      </c>
      <c r="Q52" s="107" t="s">
        <v>74</v>
      </c>
    </row>
    <row r="53" ht="30.0" hidden="1" customHeight="1">
      <c r="A53" s="73" t="s">
        <v>118</v>
      </c>
      <c r="B53" s="75" t="s">
        <v>24</v>
      </c>
      <c r="C53" s="73" t="s">
        <v>254</v>
      </c>
      <c r="D53" s="77">
        <v>3.0</v>
      </c>
      <c r="E53" s="77" t="s">
        <v>146</v>
      </c>
      <c r="F53" s="77" t="s">
        <v>148</v>
      </c>
      <c r="G53" s="77" t="s">
        <v>149</v>
      </c>
      <c r="H53" s="77" t="s">
        <v>151</v>
      </c>
      <c r="I53" s="75"/>
      <c r="J53" s="81" t="s">
        <v>256</v>
      </c>
      <c r="K53" s="45" t="s">
        <v>257</v>
      </c>
      <c r="L53" s="147" t="s">
        <v>124</v>
      </c>
      <c r="M53" s="50" t="s">
        <v>64</v>
      </c>
      <c r="N53" s="43" t="s">
        <v>55</v>
      </c>
      <c r="O53" s="59" t="s">
        <v>68</v>
      </c>
      <c r="P53" s="45" t="s">
        <v>70</v>
      </c>
      <c r="Q53" s="44" t="s">
        <v>74</v>
      </c>
    </row>
    <row r="54" ht="30.0" hidden="1" customHeight="1">
      <c r="A54" s="94" t="s">
        <v>169</v>
      </c>
      <c r="B54" s="96" t="s">
        <v>24</v>
      </c>
      <c r="C54" s="94" t="s">
        <v>254</v>
      </c>
      <c r="D54" s="97">
        <v>3.0</v>
      </c>
      <c r="E54" s="97" t="s">
        <v>146</v>
      </c>
      <c r="F54" s="97" t="s">
        <v>148</v>
      </c>
      <c r="G54" s="97" t="s">
        <v>149</v>
      </c>
      <c r="H54" s="97" t="s">
        <v>151</v>
      </c>
      <c r="I54" s="96"/>
      <c r="J54" s="100" t="s">
        <v>256</v>
      </c>
      <c r="K54" s="101" t="s">
        <v>257</v>
      </c>
      <c r="L54" s="103" t="s">
        <v>76</v>
      </c>
      <c r="M54" s="92" t="s">
        <v>159</v>
      </c>
      <c r="N54" s="43" t="s">
        <v>55</v>
      </c>
      <c r="O54" s="105" t="s">
        <v>68</v>
      </c>
      <c r="P54" s="101" t="s">
        <v>70</v>
      </c>
      <c r="Q54" s="107" t="s">
        <v>74</v>
      </c>
    </row>
    <row r="55" ht="39.75" hidden="1" customHeight="1">
      <c r="A55" s="73" t="s">
        <v>207</v>
      </c>
      <c r="B55" s="75" t="s">
        <v>24</v>
      </c>
      <c r="C55" s="73" t="s">
        <v>254</v>
      </c>
      <c r="D55" s="77">
        <v>3.0</v>
      </c>
      <c r="E55" s="77" t="s">
        <v>146</v>
      </c>
      <c r="F55" s="77" t="s">
        <v>148</v>
      </c>
      <c r="G55" s="77" t="s">
        <v>149</v>
      </c>
      <c r="H55" s="77" t="s">
        <v>151</v>
      </c>
      <c r="I55" s="75"/>
      <c r="J55" s="81" t="s">
        <v>256</v>
      </c>
      <c r="K55" s="45" t="s">
        <v>257</v>
      </c>
      <c r="L55" s="127" t="s">
        <v>64</v>
      </c>
      <c r="M55" s="86" t="s">
        <v>164</v>
      </c>
      <c r="N55" s="43" t="s">
        <v>55</v>
      </c>
      <c r="O55" s="115" t="s">
        <v>191</v>
      </c>
      <c r="P55" s="45" t="s">
        <v>215</v>
      </c>
      <c r="Q55" s="44" t="s">
        <v>216</v>
      </c>
    </row>
    <row r="56" ht="30.0" hidden="1" customHeight="1">
      <c r="A56" s="94" t="s">
        <v>220</v>
      </c>
      <c r="B56" s="96" t="s">
        <v>24</v>
      </c>
      <c r="C56" s="94" t="s">
        <v>254</v>
      </c>
      <c r="D56" s="97">
        <v>3.0</v>
      </c>
      <c r="E56" s="97" t="s">
        <v>146</v>
      </c>
      <c r="F56" s="97" t="s">
        <v>148</v>
      </c>
      <c r="G56" s="97" t="s">
        <v>149</v>
      </c>
      <c r="H56" s="97" t="s">
        <v>151</v>
      </c>
      <c r="I56" s="96"/>
      <c r="J56" s="100" t="s">
        <v>256</v>
      </c>
      <c r="K56" s="101" t="s">
        <v>257</v>
      </c>
      <c r="L56" s="140" t="s">
        <v>52</v>
      </c>
      <c r="M56" s="86" t="s">
        <v>164</v>
      </c>
      <c r="N56" s="43" t="s">
        <v>55</v>
      </c>
      <c r="O56" s="124" t="s">
        <v>56</v>
      </c>
      <c r="P56" s="101" t="s">
        <v>222</v>
      </c>
      <c r="Q56" s="107"/>
    </row>
    <row r="57" ht="30.0" hidden="1" customHeight="1">
      <c r="A57" s="73" t="s">
        <v>223</v>
      </c>
      <c r="B57" s="75" t="s">
        <v>24</v>
      </c>
      <c r="C57" s="73" t="s">
        <v>254</v>
      </c>
      <c r="D57" s="77">
        <v>3.0</v>
      </c>
      <c r="E57" s="77" t="s">
        <v>146</v>
      </c>
      <c r="F57" s="77" t="s">
        <v>148</v>
      </c>
      <c r="G57" s="77" t="s">
        <v>149</v>
      </c>
      <c r="H57" s="77" t="s">
        <v>151</v>
      </c>
      <c r="I57" s="75"/>
      <c r="J57" s="81" t="s">
        <v>256</v>
      </c>
      <c r="K57" s="45" t="s">
        <v>257</v>
      </c>
      <c r="L57" s="130" t="s">
        <v>159</v>
      </c>
      <c r="M57" s="86" t="s">
        <v>164</v>
      </c>
      <c r="N57" s="43" t="s">
        <v>55</v>
      </c>
      <c r="O57" s="115" t="s">
        <v>56</v>
      </c>
      <c r="P57" s="45" t="s">
        <v>225</v>
      </c>
      <c r="Q57" s="44"/>
    </row>
    <row r="58" ht="30.0" hidden="1" customHeight="1">
      <c r="A58" s="94" t="s">
        <v>238</v>
      </c>
      <c r="B58" s="96" t="s">
        <v>24</v>
      </c>
      <c r="C58" s="94" t="s">
        <v>254</v>
      </c>
      <c r="D58" s="97">
        <v>3.0</v>
      </c>
      <c r="E58" s="97" t="s">
        <v>146</v>
      </c>
      <c r="F58" s="97" t="s">
        <v>148</v>
      </c>
      <c r="G58" s="97" t="s">
        <v>149</v>
      </c>
      <c r="H58" s="97" t="s">
        <v>151</v>
      </c>
      <c r="I58" s="96"/>
      <c r="J58" s="100" t="s">
        <v>256</v>
      </c>
      <c r="K58" s="101" t="s">
        <v>257</v>
      </c>
      <c r="L58" s="88" t="s">
        <v>63</v>
      </c>
      <c r="M58" s="50" t="s">
        <v>64</v>
      </c>
      <c r="N58" s="43" t="s">
        <v>55</v>
      </c>
      <c r="O58" s="105" t="s">
        <v>68</v>
      </c>
      <c r="P58" s="101" t="s">
        <v>70</v>
      </c>
      <c r="Q58" s="107" t="s">
        <v>74</v>
      </c>
    </row>
    <row r="59" ht="30.0" hidden="1" customHeight="1">
      <c r="A59" s="73" t="s">
        <v>245</v>
      </c>
      <c r="B59" s="75" t="s">
        <v>24</v>
      </c>
      <c r="C59" s="73" t="s">
        <v>254</v>
      </c>
      <c r="D59" s="77">
        <v>3.0</v>
      </c>
      <c r="E59" s="77" t="s">
        <v>146</v>
      </c>
      <c r="F59" s="77" t="s">
        <v>148</v>
      </c>
      <c r="G59" s="77" t="s">
        <v>149</v>
      </c>
      <c r="H59" s="77" t="s">
        <v>151</v>
      </c>
      <c r="I59" s="75"/>
      <c r="J59" s="81" t="s">
        <v>256</v>
      </c>
      <c r="K59" s="45" t="s">
        <v>257</v>
      </c>
      <c r="L59" s="125" t="s">
        <v>92</v>
      </c>
      <c r="M59" s="50" t="s">
        <v>64</v>
      </c>
      <c r="N59" s="43" t="s">
        <v>55</v>
      </c>
      <c r="O59" s="59" t="s">
        <v>68</v>
      </c>
      <c r="P59" s="45" t="s">
        <v>70</v>
      </c>
      <c r="Q59" s="44" t="s">
        <v>74</v>
      </c>
    </row>
    <row r="60" ht="30.0" hidden="1" customHeight="1">
      <c r="A60" s="94" t="s">
        <v>250</v>
      </c>
      <c r="B60" s="96" t="s">
        <v>24</v>
      </c>
      <c r="C60" s="94" t="s">
        <v>254</v>
      </c>
      <c r="D60" s="97">
        <v>3.0</v>
      </c>
      <c r="E60" s="97" t="s">
        <v>146</v>
      </c>
      <c r="F60" s="97" t="s">
        <v>148</v>
      </c>
      <c r="G60" s="97" t="s">
        <v>149</v>
      </c>
      <c r="H60" s="97" t="s">
        <v>151</v>
      </c>
      <c r="I60" s="96"/>
      <c r="J60" s="100" t="s">
        <v>256</v>
      </c>
      <c r="K60" s="101" t="s">
        <v>257</v>
      </c>
      <c r="L60" s="125" t="s">
        <v>92</v>
      </c>
      <c r="M60" s="50" t="s">
        <v>64</v>
      </c>
      <c r="N60" s="43" t="s">
        <v>55</v>
      </c>
      <c r="O60" s="105" t="s">
        <v>68</v>
      </c>
      <c r="P60" s="101" t="s">
        <v>70</v>
      </c>
      <c r="Q60" s="107" t="s">
        <v>74</v>
      </c>
    </row>
    <row r="61" ht="30.0" hidden="1" customHeight="1">
      <c r="A61" s="73" t="s">
        <v>252</v>
      </c>
      <c r="B61" s="75" t="s">
        <v>24</v>
      </c>
      <c r="C61" s="73" t="s">
        <v>254</v>
      </c>
      <c r="D61" s="77">
        <v>3.0</v>
      </c>
      <c r="E61" s="77" t="s">
        <v>146</v>
      </c>
      <c r="F61" s="77" t="s">
        <v>148</v>
      </c>
      <c r="G61" s="77" t="s">
        <v>149</v>
      </c>
      <c r="H61" s="77" t="s">
        <v>151</v>
      </c>
      <c r="I61" s="75"/>
      <c r="J61" s="81" t="s">
        <v>256</v>
      </c>
      <c r="K61" s="45" t="s">
        <v>257</v>
      </c>
      <c r="L61" s="88" t="s">
        <v>63</v>
      </c>
      <c r="M61" s="50" t="s">
        <v>64</v>
      </c>
      <c r="N61" s="43" t="s">
        <v>55</v>
      </c>
      <c r="O61" s="59" t="s">
        <v>68</v>
      </c>
      <c r="P61" s="45" t="s">
        <v>70</v>
      </c>
      <c r="Q61" s="44" t="s">
        <v>74</v>
      </c>
    </row>
    <row r="62" ht="30.0" hidden="1" customHeight="1">
      <c r="A62" s="94" t="s">
        <v>263</v>
      </c>
      <c r="B62" s="96" t="s">
        <v>24</v>
      </c>
      <c r="C62" s="94" t="s">
        <v>254</v>
      </c>
      <c r="D62" s="97">
        <v>3.0</v>
      </c>
      <c r="E62" s="97" t="s">
        <v>146</v>
      </c>
      <c r="F62" s="97" t="s">
        <v>148</v>
      </c>
      <c r="G62" s="97" t="s">
        <v>149</v>
      </c>
      <c r="H62" s="97" t="s">
        <v>151</v>
      </c>
      <c r="I62" s="96"/>
      <c r="J62" s="100" t="s">
        <v>256</v>
      </c>
      <c r="K62" s="101" t="s">
        <v>257</v>
      </c>
      <c r="L62" s="153" t="s">
        <v>210</v>
      </c>
      <c r="M62" s="79" t="s">
        <v>150</v>
      </c>
      <c r="N62" s="43" t="s">
        <v>55</v>
      </c>
      <c r="O62" s="124" t="s">
        <v>56</v>
      </c>
      <c r="P62" s="101" t="s">
        <v>267</v>
      </c>
      <c r="Q62" s="107" t="s">
        <v>269</v>
      </c>
    </row>
    <row r="63" ht="30.0" hidden="1" customHeight="1">
      <c r="A63" s="73" t="s">
        <v>279</v>
      </c>
      <c r="B63" s="75" t="s">
        <v>24</v>
      </c>
      <c r="C63" s="73" t="s">
        <v>254</v>
      </c>
      <c r="D63" s="77">
        <v>3.0</v>
      </c>
      <c r="E63" s="77" t="s">
        <v>146</v>
      </c>
      <c r="F63" s="77" t="s">
        <v>148</v>
      </c>
      <c r="G63" s="77" t="s">
        <v>149</v>
      </c>
      <c r="H63" s="77" t="s">
        <v>151</v>
      </c>
      <c r="I63" s="75"/>
      <c r="J63" s="81" t="s">
        <v>256</v>
      </c>
      <c r="K63" s="45" t="s">
        <v>257</v>
      </c>
      <c r="L63" s="130" t="s">
        <v>159</v>
      </c>
      <c r="M63" s="62" t="s">
        <v>92</v>
      </c>
      <c r="N63" s="43" t="s">
        <v>55</v>
      </c>
      <c r="O63" s="59" t="s">
        <v>68</v>
      </c>
      <c r="P63" s="45" t="s">
        <v>70</v>
      </c>
      <c r="Q63" s="44" t="s">
        <v>74</v>
      </c>
    </row>
    <row r="64" ht="30.0" hidden="1" customHeight="1">
      <c r="A64" s="94" t="s">
        <v>289</v>
      </c>
      <c r="B64" s="96" t="s">
        <v>24</v>
      </c>
      <c r="C64" s="94" t="s">
        <v>254</v>
      </c>
      <c r="D64" s="97">
        <v>3.0</v>
      </c>
      <c r="E64" s="97" t="s">
        <v>146</v>
      </c>
      <c r="F64" s="97" t="s">
        <v>148</v>
      </c>
      <c r="G64" s="97" t="s">
        <v>149</v>
      </c>
      <c r="H64" s="97" t="s">
        <v>151</v>
      </c>
      <c r="I64" s="96"/>
      <c r="J64" s="100" t="s">
        <v>256</v>
      </c>
      <c r="K64" s="101" t="s">
        <v>257</v>
      </c>
      <c r="L64" s="127" t="s">
        <v>64</v>
      </c>
      <c r="M64" s="49" t="s">
        <v>63</v>
      </c>
      <c r="N64" s="43" t="s">
        <v>55</v>
      </c>
      <c r="O64" s="105" t="s">
        <v>68</v>
      </c>
      <c r="P64" s="101" t="s">
        <v>70</v>
      </c>
      <c r="Q64" s="107" t="s">
        <v>74</v>
      </c>
    </row>
    <row r="65" ht="30.0" hidden="1" customHeight="1">
      <c r="A65" s="73" t="s">
        <v>304</v>
      </c>
      <c r="B65" s="75" t="s">
        <v>24</v>
      </c>
      <c r="C65" s="73" t="s">
        <v>254</v>
      </c>
      <c r="D65" s="77">
        <v>3.0</v>
      </c>
      <c r="E65" s="77" t="s">
        <v>146</v>
      </c>
      <c r="F65" s="77" t="s">
        <v>148</v>
      </c>
      <c r="G65" s="77" t="s">
        <v>149</v>
      </c>
      <c r="H65" s="77" t="s">
        <v>151</v>
      </c>
      <c r="I65" s="75"/>
      <c r="J65" s="81" t="s">
        <v>256</v>
      </c>
      <c r="K65" s="45" t="s">
        <v>257</v>
      </c>
      <c r="L65" s="137" t="s">
        <v>164</v>
      </c>
      <c r="M65" s="50" t="s">
        <v>64</v>
      </c>
      <c r="N65" s="43" t="s">
        <v>55</v>
      </c>
      <c r="O65" s="59" t="s">
        <v>68</v>
      </c>
      <c r="P65" s="45" t="s">
        <v>70</v>
      </c>
      <c r="Q65" s="44" t="s">
        <v>74</v>
      </c>
    </row>
    <row r="66" ht="30.0" hidden="1" customHeight="1">
      <c r="A66" s="94" t="s">
        <v>308</v>
      </c>
      <c r="B66" s="96" t="s">
        <v>24</v>
      </c>
      <c r="C66" s="94" t="s">
        <v>254</v>
      </c>
      <c r="D66" s="97">
        <v>3.0</v>
      </c>
      <c r="E66" s="97" t="s">
        <v>146</v>
      </c>
      <c r="F66" s="97" t="s">
        <v>148</v>
      </c>
      <c r="G66" s="97" t="s">
        <v>149</v>
      </c>
      <c r="H66" s="97" t="s">
        <v>151</v>
      </c>
      <c r="I66" s="96"/>
      <c r="J66" s="100" t="s">
        <v>256</v>
      </c>
      <c r="K66" s="101" t="s">
        <v>257</v>
      </c>
      <c r="L66" s="140" t="s">
        <v>52</v>
      </c>
      <c r="M66" s="62" t="s">
        <v>92</v>
      </c>
      <c r="N66" s="43" t="s">
        <v>55</v>
      </c>
      <c r="O66" s="124" t="s">
        <v>195</v>
      </c>
      <c r="P66" s="101" t="s">
        <v>312</v>
      </c>
      <c r="Q66" s="107"/>
    </row>
    <row r="67" ht="30.0" hidden="1" customHeight="1">
      <c r="A67" s="73" t="s">
        <v>315</v>
      </c>
      <c r="B67" s="75" t="s">
        <v>24</v>
      </c>
      <c r="C67" s="73" t="s">
        <v>254</v>
      </c>
      <c r="D67" s="77">
        <v>3.0</v>
      </c>
      <c r="E67" s="77" t="s">
        <v>146</v>
      </c>
      <c r="F67" s="77" t="s">
        <v>148</v>
      </c>
      <c r="G67" s="77" t="s">
        <v>149</v>
      </c>
      <c r="H67" s="77" t="s">
        <v>151</v>
      </c>
      <c r="I67" s="75"/>
      <c r="J67" s="81" t="s">
        <v>256</v>
      </c>
      <c r="K67" s="45" t="s">
        <v>257</v>
      </c>
      <c r="L67" s="125" t="s">
        <v>92</v>
      </c>
      <c r="M67" s="50" t="s">
        <v>64</v>
      </c>
      <c r="N67" s="43" t="s">
        <v>55</v>
      </c>
      <c r="O67" s="59" t="s">
        <v>68</v>
      </c>
      <c r="P67" s="45" t="s">
        <v>70</v>
      </c>
      <c r="Q67" s="44" t="s">
        <v>74</v>
      </c>
    </row>
    <row r="68" ht="30.0" hidden="1" customHeight="1">
      <c r="A68" s="94" t="s">
        <v>317</v>
      </c>
      <c r="B68" s="96" t="s">
        <v>24</v>
      </c>
      <c r="C68" s="94" t="s">
        <v>254</v>
      </c>
      <c r="D68" s="97">
        <v>3.0</v>
      </c>
      <c r="E68" s="97" t="s">
        <v>146</v>
      </c>
      <c r="F68" s="97" t="s">
        <v>148</v>
      </c>
      <c r="G68" s="97" t="s">
        <v>149</v>
      </c>
      <c r="H68" s="97" t="s">
        <v>151</v>
      </c>
      <c r="I68" s="96"/>
      <c r="J68" s="100" t="s">
        <v>256</v>
      </c>
      <c r="K68" s="101" t="s">
        <v>257</v>
      </c>
      <c r="L68" s="148" t="s">
        <v>199</v>
      </c>
      <c r="M68" s="50" t="s">
        <v>64</v>
      </c>
      <c r="N68" s="43" t="s">
        <v>55</v>
      </c>
      <c r="O68" s="105" t="s">
        <v>68</v>
      </c>
      <c r="P68" s="101" t="s">
        <v>70</v>
      </c>
      <c r="Q68" s="107" t="s">
        <v>74</v>
      </c>
    </row>
    <row r="69" ht="30.0" hidden="1" customHeight="1">
      <c r="A69" s="73" t="s">
        <v>337</v>
      </c>
      <c r="B69" s="75" t="s">
        <v>24</v>
      </c>
      <c r="C69" s="73" t="s">
        <v>254</v>
      </c>
      <c r="D69" s="77">
        <v>3.0</v>
      </c>
      <c r="E69" s="77" t="s">
        <v>146</v>
      </c>
      <c r="F69" s="77" t="s">
        <v>148</v>
      </c>
      <c r="G69" s="77" t="s">
        <v>149</v>
      </c>
      <c r="H69" s="77" t="s">
        <v>151</v>
      </c>
      <c r="I69" s="75"/>
      <c r="J69" s="81" t="s">
        <v>256</v>
      </c>
      <c r="K69" s="45" t="s">
        <v>257</v>
      </c>
      <c r="L69" s="125" t="s">
        <v>92</v>
      </c>
      <c r="M69" s="50" t="s">
        <v>64</v>
      </c>
      <c r="N69" s="43" t="s">
        <v>55</v>
      </c>
      <c r="O69" s="59" t="s">
        <v>68</v>
      </c>
      <c r="P69" s="45" t="s">
        <v>70</v>
      </c>
      <c r="Q69" s="44" t="s">
        <v>74</v>
      </c>
    </row>
    <row r="70" ht="30.0" hidden="1" customHeight="1">
      <c r="A70" s="94" t="s">
        <v>347</v>
      </c>
      <c r="B70" s="96" t="s">
        <v>24</v>
      </c>
      <c r="C70" s="94" t="s">
        <v>254</v>
      </c>
      <c r="D70" s="97">
        <v>3.0</v>
      </c>
      <c r="E70" s="97" t="s">
        <v>146</v>
      </c>
      <c r="F70" s="97" t="s">
        <v>148</v>
      </c>
      <c r="G70" s="97" t="s">
        <v>149</v>
      </c>
      <c r="H70" s="97" t="s">
        <v>151</v>
      </c>
      <c r="I70" s="96"/>
      <c r="J70" s="100" t="s">
        <v>256</v>
      </c>
      <c r="K70" s="101" t="s">
        <v>257</v>
      </c>
      <c r="L70" s="125" t="s">
        <v>92</v>
      </c>
      <c r="M70" s="50" t="s">
        <v>64</v>
      </c>
      <c r="N70" s="43" t="s">
        <v>55</v>
      </c>
      <c r="O70" s="105" t="s">
        <v>68</v>
      </c>
      <c r="P70" s="101" t="s">
        <v>70</v>
      </c>
      <c r="Q70" s="107" t="s">
        <v>74</v>
      </c>
    </row>
    <row r="71" ht="30.0" hidden="1" customHeight="1">
      <c r="A71" s="73" t="s">
        <v>358</v>
      </c>
      <c r="B71" s="75" t="s">
        <v>24</v>
      </c>
      <c r="C71" s="73" t="s">
        <v>254</v>
      </c>
      <c r="D71" s="77">
        <v>3.0</v>
      </c>
      <c r="E71" s="77" t="s">
        <v>146</v>
      </c>
      <c r="F71" s="77" t="s">
        <v>148</v>
      </c>
      <c r="G71" s="77" t="s">
        <v>149</v>
      </c>
      <c r="H71" s="77" t="s">
        <v>151</v>
      </c>
      <c r="I71" s="75"/>
      <c r="J71" s="81" t="s">
        <v>256</v>
      </c>
      <c r="K71" s="45" t="s">
        <v>257</v>
      </c>
      <c r="L71" s="88" t="s">
        <v>63</v>
      </c>
      <c r="M71" s="50" t="s">
        <v>64</v>
      </c>
      <c r="N71" s="43" t="s">
        <v>55</v>
      </c>
      <c r="O71" s="115" t="s">
        <v>56</v>
      </c>
      <c r="P71" s="45" t="s">
        <v>363</v>
      </c>
      <c r="Q71" s="44"/>
    </row>
    <row r="72" ht="30.0" hidden="1" customHeight="1">
      <c r="A72" s="94" t="s">
        <v>365</v>
      </c>
      <c r="B72" s="96" t="s">
        <v>24</v>
      </c>
      <c r="C72" s="94" t="s">
        <v>254</v>
      </c>
      <c r="D72" s="97">
        <v>3.0</v>
      </c>
      <c r="E72" s="97" t="s">
        <v>146</v>
      </c>
      <c r="F72" s="97" t="s">
        <v>148</v>
      </c>
      <c r="G72" s="97" t="s">
        <v>149</v>
      </c>
      <c r="H72" s="97" t="s">
        <v>151</v>
      </c>
      <c r="I72" s="96"/>
      <c r="J72" s="100" t="s">
        <v>256</v>
      </c>
      <c r="K72" s="101" t="s">
        <v>257</v>
      </c>
      <c r="L72" s="125" t="s">
        <v>92</v>
      </c>
      <c r="M72" s="50" t="s">
        <v>64</v>
      </c>
      <c r="N72" s="43" t="s">
        <v>55</v>
      </c>
      <c r="O72" s="105" t="s">
        <v>68</v>
      </c>
      <c r="P72" s="101" t="s">
        <v>70</v>
      </c>
      <c r="Q72" s="107" t="s">
        <v>74</v>
      </c>
    </row>
    <row r="73" ht="30.0" hidden="1" customHeight="1">
      <c r="A73" s="73" t="s">
        <v>387</v>
      </c>
      <c r="B73" s="75" t="s">
        <v>24</v>
      </c>
      <c r="C73" s="73" t="s">
        <v>254</v>
      </c>
      <c r="D73" s="77">
        <v>3.0</v>
      </c>
      <c r="E73" s="77" t="s">
        <v>146</v>
      </c>
      <c r="F73" s="77" t="s">
        <v>148</v>
      </c>
      <c r="G73" s="77" t="s">
        <v>149</v>
      </c>
      <c r="H73" s="77" t="s">
        <v>151</v>
      </c>
      <c r="I73" s="75"/>
      <c r="J73" s="81" t="s">
        <v>256</v>
      </c>
      <c r="K73" s="45" t="s">
        <v>257</v>
      </c>
      <c r="L73" s="125" t="s">
        <v>92</v>
      </c>
      <c r="M73" s="50" t="s">
        <v>64</v>
      </c>
      <c r="N73" s="43" t="s">
        <v>55</v>
      </c>
      <c r="O73" s="59" t="s">
        <v>68</v>
      </c>
      <c r="P73" s="45" t="s">
        <v>70</v>
      </c>
      <c r="Q73" s="44" t="s">
        <v>74</v>
      </c>
    </row>
    <row r="74" ht="30.0" hidden="1" customHeight="1">
      <c r="A74" s="94" t="s">
        <v>392</v>
      </c>
      <c r="B74" s="96" t="s">
        <v>24</v>
      </c>
      <c r="C74" s="94" t="s">
        <v>254</v>
      </c>
      <c r="D74" s="97">
        <v>3.0</v>
      </c>
      <c r="E74" s="97" t="s">
        <v>146</v>
      </c>
      <c r="F74" s="97" t="s">
        <v>148</v>
      </c>
      <c r="G74" s="97" t="s">
        <v>149</v>
      </c>
      <c r="H74" s="97" t="s">
        <v>151</v>
      </c>
      <c r="I74" s="96"/>
      <c r="J74" s="100" t="s">
        <v>256</v>
      </c>
      <c r="K74" s="101" t="s">
        <v>257</v>
      </c>
      <c r="L74" s="126" t="s">
        <v>78</v>
      </c>
      <c r="M74" s="79" t="s">
        <v>150</v>
      </c>
      <c r="N74" s="43" t="s">
        <v>55</v>
      </c>
      <c r="O74" s="105" t="s">
        <v>68</v>
      </c>
      <c r="P74" s="101" t="s">
        <v>70</v>
      </c>
      <c r="Q74" s="107" t="s">
        <v>74</v>
      </c>
    </row>
    <row r="75" ht="39.75" customHeight="1">
      <c r="A75" s="73" t="s">
        <v>399</v>
      </c>
      <c r="B75" s="75" t="s">
        <v>39</v>
      </c>
      <c r="C75" s="73" t="s">
        <v>259</v>
      </c>
      <c r="D75" s="77">
        <v>1.0</v>
      </c>
      <c r="E75" s="77" t="s">
        <v>146</v>
      </c>
      <c r="F75" s="77" t="s">
        <v>148</v>
      </c>
      <c r="G75" s="77" t="s">
        <v>149</v>
      </c>
      <c r="H75" s="77" t="s">
        <v>151</v>
      </c>
      <c r="I75" s="75"/>
      <c r="J75" s="81" t="s">
        <v>264</v>
      </c>
      <c r="K75" s="45" t="s">
        <v>265</v>
      </c>
      <c r="L75" s="88" t="s">
        <v>63</v>
      </c>
      <c r="M75" s="50" t="s">
        <v>64</v>
      </c>
      <c r="N75" s="43" t="s">
        <v>55</v>
      </c>
      <c r="O75" s="59" t="s">
        <v>68</v>
      </c>
      <c r="P75" s="45" t="s">
        <v>404</v>
      </c>
      <c r="Q75" s="44" t="s">
        <v>406</v>
      </c>
    </row>
    <row r="76" ht="39.75" customHeight="1">
      <c r="A76" s="94" t="s">
        <v>407</v>
      </c>
      <c r="B76" s="96" t="s">
        <v>39</v>
      </c>
      <c r="C76" s="94" t="s">
        <v>259</v>
      </c>
      <c r="D76" s="97">
        <v>1.0</v>
      </c>
      <c r="E76" s="97" t="s">
        <v>146</v>
      </c>
      <c r="F76" s="97" t="s">
        <v>148</v>
      </c>
      <c r="G76" s="97" t="s">
        <v>149</v>
      </c>
      <c r="H76" s="97" t="s">
        <v>151</v>
      </c>
      <c r="I76" s="96"/>
      <c r="J76" s="100" t="s">
        <v>264</v>
      </c>
      <c r="K76" s="101" t="s">
        <v>265</v>
      </c>
      <c r="L76" s="88" t="s">
        <v>63</v>
      </c>
      <c r="M76" s="50" t="s">
        <v>64</v>
      </c>
      <c r="N76" s="43" t="s">
        <v>55</v>
      </c>
      <c r="O76" s="105" t="s">
        <v>68</v>
      </c>
      <c r="P76" s="101" t="s">
        <v>404</v>
      </c>
      <c r="Q76" s="107" t="s">
        <v>411</v>
      </c>
    </row>
    <row r="77" ht="39.75" customHeight="1">
      <c r="A77" s="73" t="s">
        <v>412</v>
      </c>
      <c r="B77" s="75" t="s">
        <v>39</v>
      </c>
      <c r="C77" s="73" t="s">
        <v>259</v>
      </c>
      <c r="D77" s="77">
        <v>1.0</v>
      </c>
      <c r="E77" s="77" t="s">
        <v>146</v>
      </c>
      <c r="F77" s="77" t="s">
        <v>148</v>
      </c>
      <c r="G77" s="77" t="s">
        <v>149</v>
      </c>
      <c r="H77" s="77" t="s">
        <v>151</v>
      </c>
      <c r="I77" s="75"/>
      <c r="J77" s="81" t="s">
        <v>264</v>
      </c>
      <c r="K77" s="45" t="s">
        <v>265</v>
      </c>
      <c r="L77" s="125" t="s">
        <v>92</v>
      </c>
      <c r="M77" s="56" t="s">
        <v>76</v>
      </c>
      <c r="N77" s="43" t="s">
        <v>55</v>
      </c>
      <c r="O77" s="59" t="s">
        <v>68</v>
      </c>
      <c r="P77" s="45" t="s">
        <v>404</v>
      </c>
      <c r="Q77" s="44" t="s">
        <v>409</v>
      </c>
    </row>
    <row r="78" ht="39.75" customHeight="1">
      <c r="A78" s="94" t="s">
        <v>414</v>
      </c>
      <c r="B78" s="96" t="s">
        <v>39</v>
      </c>
      <c r="C78" s="94" t="s">
        <v>259</v>
      </c>
      <c r="D78" s="97">
        <v>1.0</v>
      </c>
      <c r="E78" s="97" t="s">
        <v>146</v>
      </c>
      <c r="F78" s="97" t="s">
        <v>148</v>
      </c>
      <c r="G78" s="97" t="s">
        <v>149</v>
      </c>
      <c r="H78" s="97" t="s">
        <v>151</v>
      </c>
      <c r="I78" s="96"/>
      <c r="J78" s="100" t="s">
        <v>264</v>
      </c>
      <c r="K78" s="101" t="s">
        <v>265</v>
      </c>
      <c r="L78" s="126" t="s">
        <v>78</v>
      </c>
      <c r="M78" s="50" t="s">
        <v>64</v>
      </c>
      <c r="N78" s="43" t="s">
        <v>55</v>
      </c>
      <c r="O78" s="105" t="s">
        <v>68</v>
      </c>
      <c r="P78" s="101" t="s">
        <v>404</v>
      </c>
      <c r="Q78" s="107" t="s">
        <v>409</v>
      </c>
    </row>
    <row r="79" ht="39.75" customHeight="1">
      <c r="A79" s="73" t="s">
        <v>416</v>
      </c>
      <c r="B79" s="75" t="s">
        <v>39</v>
      </c>
      <c r="C79" s="73" t="s">
        <v>259</v>
      </c>
      <c r="D79" s="77">
        <v>1.0</v>
      </c>
      <c r="E79" s="77" t="s">
        <v>146</v>
      </c>
      <c r="F79" s="77" t="s">
        <v>148</v>
      </c>
      <c r="G79" s="77" t="s">
        <v>149</v>
      </c>
      <c r="H79" s="77" t="s">
        <v>151</v>
      </c>
      <c r="I79" s="75"/>
      <c r="J79" s="81" t="s">
        <v>264</v>
      </c>
      <c r="K79" s="45" t="s">
        <v>265</v>
      </c>
      <c r="L79" s="125" t="s">
        <v>92</v>
      </c>
      <c r="M79" s="50" t="s">
        <v>64</v>
      </c>
      <c r="N79" s="43" t="s">
        <v>55</v>
      </c>
      <c r="O79" s="59" t="s">
        <v>68</v>
      </c>
      <c r="P79" s="45" t="s">
        <v>404</v>
      </c>
      <c r="Q79" s="44" t="s">
        <v>409</v>
      </c>
    </row>
    <row r="80" ht="39.75" customHeight="1">
      <c r="A80" s="94" t="s">
        <v>420</v>
      </c>
      <c r="B80" s="96" t="s">
        <v>39</v>
      </c>
      <c r="C80" s="94" t="s">
        <v>259</v>
      </c>
      <c r="D80" s="97">
        <v>1.0</v>
      </c>
      <c r="E80" s="97" t="s">
        <v>146</v>
      </c>
      <c r="F80" s="97" t="s">
        <v>148</v>
      </c>
      <c r="G80" s="97" t="s">
        <v>149</v>
      </c>
      <c r="H80" s="97" t="s">
        <v>151</v>
      </c>
      <c r="I80" s="96"/>
      <c r="J80" s="100" t="s">
        <v>264</v>
      </c>
      <c r="K80" s="101" t="s">
        <v>265</v>
      </c>
      <c r="L80" s="125" t="s">
        <v>92</v>
      </c>
      <c r="M80" s="50" t="s">
        <v>64</v>
      </c>
      <c r="N80" s="43" t="s">
        <v>55</v>
      </c>
      <c r="O80" s="105" t="s">
        <v>68</v>
      </c>
      <c r="P80" s="101" t="s">
        <v>404</v>
      </c>
      <c r="Q80" s="107" t="s">
        <v>409</v>
      </c>
    </row>
    <row r="81" ht="39.75" customHeight="1">
      <c r="A81" s="73" t="s">
        <v>421</v>
      </c>
      <c r="B81" s="75" t="s">
        <v>39</v>
      </c>
      <c r="C81" s="73" t="s">
        <v>259</v>
      </c>
      <c r="D81" s="77">
        <v>1.0</v>
      </c>
      <c r="E81" s="77" t="s">
        <v>146</v>
      </c>
      <c r="F81" s="77" t="s">
        <v>148</v>
      </c>
      <c r="G81" s="77" t="s">
        <v>149</v>
      </c>
      <c r="H81" s="77" t="s">
        <v>151</v>
      </c>
      <c r="I81" s="75"/>
      <c r="J81" s="81" t="s">
        <v>264</v>
      </c>
      <c r="K81" s="45" t="s">
        <v>265</v>
      </c>
      <c r="L81" s="127" t="s">
        <v>64</v>
      </c>
      <c r="M81" s="138" t="s">
        <v>199</v>
      </c>
      <c r="N81" s="43" t="s">
        <v>55</v>
      </c>
      <c r="O81" s="59" t="s">
        <v>68</v>
      </c>
      <c r="P81" s="45" t="s">
        <v>404</v>
      </c>
      <c r="Q81" s="44" t="s">
        <v>409</v>
      </c>
    </row>
    <row r="82" ht="39.75" customHeight="1">
      <c r="A82" s="94" t="s">
        <v>423</v>
      </c>
      <c r="B82" s="96" t="s">
        <v>39</v>
      </c>
      <c r="C82" s="94" t="s">
        <v>259</v>
      </c>
      <c r="D82" s="97">
        <v>1.0</v>
      </c>
      <c r="E82" s="97" t="s">
        <v>146</v>
      </c>
      <c r="F82" s="97" t="s">
        <v>148</v>
      </c>
      <c r="G82" s="97" t="s">
        <v>149</v>
      </c>
      <c r="H82" s="97" t="s">
        <v>151</v>
      </c>
      <c r="I82" s="96"/>
      <c r="J82" s="100" t="s">
        <v>264</v>
      </c>
      <c r="K82" s="101" t="s">
        <v>265</v>
      </c>
      <c r="L82" s="125" t="s">
        <v>92</v>
      </c>
      <c r="M82" s="50" t="s">
        <v>64</v>
      </c>
      <c r="N82" s="43" t="s">
        <v>55</v>
      </c>
      <c r="O82" s="105" t="s">
        <v>68</v>
      </c>
      <c r="P82" s="101" t="s">
        <v>404</v>
      </c>
      <c r="Q82" s="107" t="s">
        <v>409</v>
      </c>
    </row>
    <row r="83" ht="39.75" customHeight="1">
      <c r="A83" s="73" t="s">
        <v>425</v>
      </c>
      <c r="B83" s="75" t="s">
        <v>39</v>
      </c>
      <c r="C83" s="73" t="s">
        <v>259</v>
      </c>
      <c r="D83" s="77">
        <v>1.0</v>
      </c>
      <c r="E83" s="77" t="s">
        <v>146</v>
      </c>
      <c r="F83" s="77" t="s">
        <v>148</v>
      </c>
      <c r="G83" s="77" t="s">
        <v>149</v>
      </c>
      <c r="H83" s="77" t="s">
        <v>151</v>
      </c>
      <c r="I83" s="75"/>
      <c r="J83" s="81" t="s">
        <v>264</v>
      </c>
      <c r="K83" s="45" t="s">
        <v>265</v>
      </c>
      <c r="L83" s="125" t="s">
        <v>92</v>
      </c>
      <c r="M83" s="49" t="s">
        <v>63</v>
      </c>
      <c r="N83" s="43" t="s">
        <v>55</v>
      </c>
      <c r="O83" s="59" t="s">
        <v>68</v>
      </c>
      <c r="P83" s="45" t="s">
        <v>404</v>
      </c>
      <c r="Q83" s="44" t="s">
        <v>409</v>
      </c>
    </row>
    <row r="84" ht="39.75" customHeight="1">
      <c r="A84" s="94" t="s">
        <v>429</v>
      </c>
      <c r="B84" s="96" t="s">
        <v>39</v>
      </c>
      <c r="C84" s="94" t="s">
        <v>259</v>
      </c>
      <c r="D84" s="97">
        <v>1.0</v>
      </c>
      <c r="E84" s="97" t="s">
        <v>146</v>
      </c>
      <c r="F84" s="97" t="s">
        <v>148</v>
      </c>
      <c r="G84" s="97" t="s">
        <v>149</v>
      </c>
      <c r="H84" s="97" t="s">
        <v>151</v>
      </c>
      <c r="I84" s="96"/>
      <c r="J84" s="100" t="s">
        <v>264</v>
      </c>
      <c r="K84" s="101" t="s">
        <v>265</v>
      </c>
      <c r="L84" s="125" t="s">
        <v>92</v>
      </c>
      <c r="M84" s="56" t="s">
        <v>76</v>
      </c>
      <c r="N84" s="43" t="s">
        <v>55</v>
      </c>
      <c r="O84" s="105" t="s">
        <v>68</v>
      </c>
      <c r="P84" s="101" t="s">
        <v>404</v>
      </c>
      <c r="Q84" s="107" t="s">
        <v>409</v>
      </c>
    </row>
    <row r="85" ht="39.75" customHeight="1">
      <c r="A85" s="73" t="s">
        <v>431</v>
      </c>
      <c r="B85" s="75" t="s">
        <v>39</v>
      </c>
      <c r="C85" s="73" t="s">
        <v>259</v>
      </c>
      <c r="D85" s="77">
        <v>1.0</v>
      </c>
      <c r="E85" s="77" t="s">
        <v>146</v>
      </c>
      <c r="F85" s="77" t="s">
        <v>148</v>
      </c>
      <c r="G85" s="77" t="s">
        <v>149</v>
      </c>
      <c r="H85" s="77" t="s">
        <v>151</v>
      </c>
      <c r="I85" s="75"/>
      <c r="J85" s="81" t="s">
        <v>264</v>
      </c>
      <c r="K85" s="45" t="s">
        <v>265</v>
      </c>
      <c r="L85" s="126" t="s">
        <v>78</v>
      </c>
      <c r="M85" s="50" t="s">
        <v>64</v>
      </c>
      <c r="N85" s="43" t="s">
        <v>55</v>
      </c>
      <c r="O85" s="59" t="s">
        <v>68</v>
      </c>
      <c r="P85" s="45" t="s">
        <v>404</v>
      </c>
      <c r="Q85" s="44" t="s">
        <v>409</v>
      </c>
    </row>
    <row r="86" ht="30.0" customHeight="1">
      <c r="A86" s="94" t="s">
        <v>433</v>
      </c>
      <c r="B86" s="96" t="s">
        <v>39</v>
      </c>
      <c r="C86" s="94" t="s">
        <v>259</v>
      </c>
      <c r="D86" s="97">
        <v>1.0</v>
      </c>
      <c r="E86" s="97" t="s">
        <v>146</v>
      </c>
      <c r="F86" s="97" t="s">
        <v>148</v>
      </c>
      <c r="G86" s="97" t="s">
        <v>149</v>
      </c>
      <c r="H86" s="97" t="s">
        <v>151</v>
      </c>
      <c r="I86" s="96"/>
      <c r="J86" s="100" t="s">
        <v>264</v>
      </c>
      <c r="K86" s="101" t="s">
        <v>265</v>
      </c>
      <c r="L86" s="88" t="s">
        <v>63</v>
      </c>
      <c r="M86" s="62" t="s">
        <v>92</v>
      </c>
      <c r="N86" s="43" t="s">
        <v>55</v>
      </c>
      <c r="O86" s="124" t="s">
        <v>56</v>
      </c>
      <c r="P86" s="101" t="s">
        <v>435</v>
      </c>
      <c r="Q86" s="107"/>
    </row>
    <row r="87" ht="39.75" customHeight="1">
      <c r="A87" s="73" t="s">
        <v>437</v>
      </c>
      <c r="B87" s="75" t="s">
        <v>39</v>
      </c>
      <c r="C87" s="73" t="s">
        <v>259</v>
      </c>
      <c r="D87" s="77">
        <v>1.0</v>
      </c>
      <c r="E87" s="77" t="s">
        <v>146</v>
      </c>
      <c r="F87" s="77" t="s">
        <v>148</v>
      </c>
      <c r="G87" s="77" t="s">
        <v>149</v>
      </c>
      <c r="H87" s="77" t="s">
        <v>151</v>
      </c>
      <c r="I87" s="75"/>
      <c r="J87" s="81" t="s">
        <v>264</v>
      </c>
      <c r="K87" s="45" t="s">
        <v>265</v>
      </c>
      <c r="L87" s="127" t="s">
        <v>64</v>
      </c>
      <c r="M87" s="138" t="s">
        <v>199</v>
      </c>
      <c r="N87" s="43" t="s">
        <v>55</v>
      </c>
      <c r="O87" s="59" t="s">
        <v>68</v>
      </c>
      <c r="P87" s="45" t="s">
        <v>404</v>
      </c>
      <c r="Q87" s="44" t="s">
        <v>409</v>
      </c>
    </row>
    <row r="88" ht="39.75" customHeight="1">
      <c r="A88" s="94" t="s">
        <v>439</v>
      </c>
      <c r="B88" s="96" t="s">
        <v>39</v>
      </c>
      <c r="C88" s="94" t="s">
        <v>259</v>
      </c>
      <c r="D88" s="97">
        <v>1.0</v>
      </c>
      <c r="E88" s="97" t="s">
        <v>146</v>
      </c>
      <c r="F88" s="97" t="s">
        <v>148</v>
      </c>
      <c r="G88" s="97" t="s">
        <v>149</v>
      </c>
      <c r="H88" s="97" t="s">
        <v>151</v>
      </c>
      <c r="I88" s="96"/>
      <c r="J88" s="100" t="s">
        <v>264</v>
      </c>
      <c r="K88" s="101" t="s">
        <v>265</v>
      </c>
      <c r="L88" s="127" t="s">
        <v>64</v>
      </c>
      <c r="M88" s="49" t="s">
        <v>63</v>
      </c>
      <c r="N88" s="43" t="s">
        <v>55</v>
      </c>
      <c r="O88" s="105" t="s">
        <v>68</v>
      </c>
      <c r="P88" s="101" t="s">
        <v>404</v>
      </c>
      <c r="Q88" s="107" t="s">
        <v>409</v>
      </c>
    </row>
    <row r="89" ht="39.75" customHeight="1">
      <c r="A89" s="73" t="s">
        <v>443</v>
      </c>
      <c r="B89" s="75" t="s">
        <v>39</v>
      </c>
      <c r="C89" s="73" t="s">
        <v>259</v>
      </c>
      <c r="D89" s="77">
        <v>1.0</v>
      </c>
      <c r="E89" s="77" t="s">
        <v>146</v>
      </c>
      <c r="F89" s="77" t="s">
        <v>148</v>
      </c>
      <c r="G89" s="77" t="s">
        <v>149</v>
      </c>
      <c r="H89" s="77" t="s">
        <v>151</v>
      </c>
      <c r="I89" s="75"/>
      <c r="J89" s="81" t="s">
        <v>264</v>
      </c>
      <c r="K89" s="45" t="s">
        <v>265</v>
      </c>
      <c r="L89" s="148" t="s">
        <v>199</v>
      </c>
      <c r="M89" s="50" t="s">
        <v>64</v>
      </c>
      <c r="N89" s="43" t="s">
        <v>55</v>
      </c>
      <c r="O89" s="59" t="s">
        <v>68</v>
      </c>
      <c r="P89" s="45" t="s">
        <v>404</v>
      </c>
      <c r="Q89" s="44" t="s">
        <v>409</v>
      </c>
    </row>
    <row r="90" ht="39.75" customHeight="1">
      <c r="A90" s="94" t="s">
        <v>446</v>
      </c>
      <c r="B90" s="96" t="s">
        <v>39</v>
      </c>
      <c r="C90" s="94" t="s">
        <v>259</v>
      </c>
      <c r="D90" s="97">
        <v>1.0</v>
      </c>
      <c r="E90" s="97" t="s">
        <v>146</v>
      </c>
      <c r="F90" s="97" t="s">
        <v>148</v>
      </c>
      <c r="G90" s="97" t="s">
        <v>149</v>
      </c>
      <c r="H90" s="97" t="s">
        <v>151</v>
      </c>
      <c r="I90" s="96"/>
      <c r="J90" s="100" t="s">
        <v>264</v>
      </c>
      <c r="K90" s="101" t="s">
        <v>265</v>
      </c>
      <c r="L90" s="127" t="s">
        <v>64</v>
      </c>
      <c r="M90" s="152" t="s">
        <v>218</v>
      </c>
      <c r="N90" s="43" t="s">
        <v>55</v>
      </c>
      <c r="O90" s="105" t="s">
        <v>68</v>
      </c>
      <c r="P90" s="101" t="s">
        <v>404</v>
      </c>
      <c r="Q90" s="107" t="s">
        <v>409</v>
      </c>
    </row>
    <row r="91" ht="39.75" customHeight="1">
      <c r="A91" s="73" t="s">
        <v>449</v>
      </c>
      <c r="B91" s="75" t="s">
        <v>39</v>
      </c>
      <c r="C91" s="73" t="s">
        <v>259</v>
      </c>
      <c r="D91" s="77">
        <v>1.0</v>
      </c>
      <c r="E91" s="77" t="s">
        <v>146</v>
      </c>
      <c r="F91" s="77" t="s">
        <v>148</v>
      </c>
      <c r="G91" s="77" t="s">
        <v>149</v>
      </c>
      <c r="H91" s="77" t="s">
        <v>151</v>
      </c>
      <c r="I91" s="75"/>
      <c r="J91" s="81" t="s">
        <v>264</v>
      </c>
      <c r="K91" s="45" t="s">
        <v>265</v>
      </c>
      <c r="L91" s="125" t="s">
        <v>92</v>
      </c>
      <c r="M91" s="50" t="s">
        <v>64</v>
      </c>
      <c r="N91" s="43" t="s">
        <v>55</v>
      </c>
      <c r="O91" s="59" t="s">
        <v>68</v>
      </c>
      <c r="P91" s="45" t="s">
        <v>404</v>
      </c>
      <c r="Q91" s="44" t="s">
        <v>409</v>
      </c>
    </row>
    <row r="92" ht="39.75" customHeight="1">
      <c r="A92" s="94" t="s">
        <v>453</v>
      </c>
      <c r="B92" s="96" t="s">
        <v>39</v>
      </c>
      <c r="C92" s="94" t="s">
        <v>259</v>
      </c>
      <c r="D92" s="97">
        <v>1.0</v>
      </c>
      <c r="E92" s="97" t="s">
        <v>146</v>
      </c>
      <c r="F92" s="97" t="s">
        <v>148</v>
      </c>
      <c r="G92" s="97" t="s">
        <v>149</v>
      </c>
      <c r="H92" s="97" t="s">
        <v>151</v>
      </c>
      <c r="I92" s="96"/>
      <c r="J92" s="100" t="s">
        <v>264</v>
      </c>
      <c r="K92" s="101" t="s">
        <v>265</v>
      </c>
      <c r="L92" s="127" t="s">
        <v>64</v>
      </c>
      <c r="M92" s="49" t="s">
        <v>63</v>
      </c>
      <c r="N92" s="43" t="s">
        <v>55</v>
      </c>
      <c r="O92" s="105" t="s">
        <v>68</v>
      </c>
      <c r="P92" s="101" t="s">
        <v>404</v>
      </c>
      <c r="Q92" s="107" t="s">
        <v>409</v>
      </c>
    </row>
    <row r="93" ht="39.75" customHeight="1">
      <c r="A93" s="73" t="s">
        <v>455</v>
      </c>
      <c r="B93" s="75" t="s">
        <v>39</v>
      </c>
      <c r="C93" s="73" t="s">
        <v>259</v>
      </c>
      <c r="D93" s="77">
        <v>1.0</v>
      </c>
      <c r="E93" s="77" t="s">
        <v>146</v>
      </c>
      <c r="F93" s="77" t="s">
        <v>148</v>
      </c>
      <c r="G93" s="77" t="s">
        <v>149</v>
      </c>
      <c r="H93" s="77" t="s">
        <v>151</v>
      </c>
      <c r="I93" s="75"/>
      <c r="J93" s="81" t="s">
        <v>264</v>
      </c>
      <c r="K93" s="45" t="s">
        <v>265</v>
      </c>
      <c r="L93" s="127" t="s">
        <v>64</v>
      </c>
      <c r="M93" s="86" t="s">
        <v>164</v>
      </c>
      <c r="N93" s="43" t="s">
        <v>55</v>
      </c>
      <c r="O93" s="59" t="s">
        <v>68</v>
      </c>
      <c r="P93" s="45" t="s">
        <v>404</v>
      </c>
      <c r="Q93" s="44" t="s">
        <v>409</v>
      </c>
    </row>
    <row r="94" ht="39.75" customHeight="1">
      <c r="A94" s="94" t="s">
        <v>457</v>
      </c>
      <c r="B94" s="96" t="s">
        <v>39</v>
      </c>
      <c r="C94" s="94" t="s">
        <v>259</v>
      </c>
      <c r="D94" s="97">
        <v>1.0</v>
      </c>
      <c r="E94" s="97" t="s">
        <v>146</v>
      </c>
      <c r="F94" s="97" t="s">
        <v>148</v>
      </c>
      <c r="G94" s="97" t="s">
        <v>149</v>
      </c>
      <c r="H94" s="97" t="s">
        <v>151</v>
      </c>
      <c r="I94" s="96"/>
      <c r="J94" s="100" t="s">
        <v>264</v>
      </c>
      <c r="K94" s="101" t="s">
        <v>265</v>
      </c>
      <c r="L94" s="140" t="s">
        <v>52</v>
      </c>
      <c r="M94" s="62" t="s">
        <v>92</v>
      </c>
      <c r="N94" s="43" t="s">
        <v>55</v>
      </c>
      <c r="O94" s="105" t="s">
        <v>68</v>
      </c>
      <c r="P94" s="101" t="s">
        <v>404</v>
      </c>
      <c r="Q94" s="107" t="s">
        <v>409</v>
      </c>
    </row>
    <row r="95" ht="30.0" hidden="1" customHeight="1">
      <c r="A95" s="73" t="s">
        <v>393</v>
      </c>
      <c r="B95" s="75" t="s">
        <v>39</v>
      </c>
      <c r="C95" s="73" t="s">
        <v>268</v>
      </c>
      <c r="D95" s="77">
        <v>2.0</v>
      </c>
      <c r="E95" s="77" t="s">
        <v>146</v>
      </c>
      <c r="F95" s="77" t="s">
        <v>148</v>
      </c>
      <c r="G95" s="77" t="s">
        <v>149</v>
      </c>
      <c r="H95" s="77" t="s">
        <v>151</v>
      </c>
      <c r="I95" s="75"/>
      <c r="J95" s="81" t="s">
        <v>271</v>
      </c>
      <c r="K95" s="45" t="s">
        <v>272</v>
      </c>
      <c r="L95" s="127" t="s">
        <v>64</v>
      </c>
      <c r="M95" s="86" t="s">
        <v>164</v>
      </c>
      <c r="N95" s="43" t="s">
        <v>55</v>
      </c>
      <c r="O95" s="115" t="s">
        <v>56</v>
      </c>
      <c r="P95" s="45" t="s">
        <v>396</v>
      </c>
      <c r="Q95" s="44" t="s">
        <v>397</v>
      </c>
    </row>
    <row r="96" ht="30.0" hidden="1" customHeight="1">
      <c r="A96" s="94" t="s">
        <v>398</v>
      </c>
      <c r="B96" s="96" t="s">
        <v>39</v>
      </c>
      <c r="C96" s="94" t="s">
        <v>268</v>
      </c>
      <c r="D96" s="97">
        <v>2.0</v>
      </c>
      <c r="E96" s="97" t="s">
        <v>146</v>
      </c>
      <c r="F96" s="97" t="s">
        <v>148</v>
      </c>
      <c r="G96" s="97" t="s">
        <v>149</v>
      </c>
      <c r="H96" s="97" t="s">
        <v>151</v>
      </c>
      <c r="I96" s="96"/>
      <c r="J96" s="100" t="s">
        <v>271</v>
      </c>
      <c r="K96" s="101" t="s">
        <v>272</v>
      </c>
      <c r="L96" s="127" t="s">
        <v>64</v>
      </c>
      <c r="M96" s="144" t="s">
        <v>192</v>
      </c>
      <c r="N96" s="43" t="s">
        <v>55</v>
      </c>
      <c r="O96" s="124" t="s">
        <v>56</v>
      </c>
      <c r="P96" s="101" t="s">
        <v>401</v>
      </c>
      <c r="Q96" s="107" t="s">
        <v>402</v>
      </c>
    </row>
    <row r="97" ht="39.75" hidden="1" customHeight="1">
      <c r="A97" s="73" t="s">
        <v>413</v>
      </c>
      <c r="B97" s="75" t="s">
        <v>39</v>
      </c>
      <c r="C97" s="73" t="s">
        <v>268</v>
      </c>
      <c r="D97" s="77">
        <v>2.0</v>
      </c>
      <c r="E97" s="77" t="s">
        <v>146</v>
      </c>
      <c r="F97" s="77" t="s">
        <v>148</v>
      </c>
      <c r="G97" s="77" t="s">
        <v>149</v>
      </c>
      <c r="H97" s="77" t="s">
        <v>151</v>
      </c>
      <c r="I97" s="75"/>
      <c r="J97" s="81" t="s">
        <v>271</v>
      </c>
      <c r="K97" s="45" t="s">
        <v>272</v>
      </c>
      <c r="L97" s="88" t="s">
        <v>63</v>
      </c>
      <c r="M97" s="50" t="s">
        <v>64</v>
      </c>
      <c r="N97" s="43" t="s">
        <v>55</v>
      </c>
      <c r="O97" s="59" t="s">
        <v>68</v>
      </c>
      <c r="P97" s="45" t="s">
        <v>404</v>
      </c>
      <c r="Q97" s="44" t="s">
        <v>409</v>
      </c>
    </row>
    <row r="98" ht="39.75" hidden="1" customHeight="1">
      <c r="A98" s="94" t="s">
        <v>430</v>
      </c>
      <c r="B98" s="96" t="s">
        <v>39</v>
      </c>
      <c r="C98" s="94" t="s">
        <v>268</v>
      </c>
      <c r="D98" s="97">
        <v>2.0</v>
      </c>
      <c r="E98" s="97" t="s">
        <v>146</v>
      </c>
      <c r="F98" s="97" t="s">
        <v>148</v>
      </c>
      <c r="G98" s="97" t="s">
        <v>149</v>
      </c>
      <c r="H98" s="97" t="s">
        <v>151</v>
      </c>
      <c r="I98" s="96"/>
      <c r="J98" s="100" t="s">
        <v>271</v>
      </c>
      <c r="K98" s="101" t="s">
        <v>272</v>
      </c>
      <c r="L98" s="127" t="s">
        <v>64</v>
      </c>
      <c r="M98" s="86" t="s">
        <v>164</v>
      </c>
      <c r="N98" s="43" t="s">
        <v>55</v>
      </c>
      <c r="O98" s="105" t="s">
        <v>68</v>
      </c>
      <c r="P98" s="101" t="s">
        <v>404</v>
      </c>
      <c r="Q98" s="107" t="s">
        <v>409</v>
      </c>
    </row>
    <row r="99" ht="39.75" hidden="1" customHeight="1">
      <c r="A99" s="73" t="s">
        <v>436</v>
      </c>
      <c r="B99" s="75" t="s">
        <v>39</v>
      </c>
      <c r="C99" s="73" t="s">
        <v>268</v>
      </c>
      <c r="D99" s="77">
        <v>2.0</v>
      </c>
      <c r="E99" s="77" t="s">
        <v>146</v>
      </c>
      <c r="F99" s="77" t="s">
        <v>148</v>
      </c>
      <c r="G99" s="77" t="s">
        <v>149</v>
      </c>
      <c r="H99" s="77" t="s">
        <v>151</v>
      </c>
      <c r="I99" s="75"/>
      <c r="J99" s="81" t="s">
        <v>271</v>
      </c>
      <c r="K99" s="45" t="s">
        <v>272</v>
      </c>
      <c r="L99" s="137" t="s">
        <v>164</v>
      </c>
      <c r="M99" s="50" t="s">
        <v>64</v>
      </c>
      <c r="N99" s="43" t="s">
        <v>55</v>
      </c>
      <c r="O99" s="59" t="s">
        <v>68</v>
      </c>
      <c r="P99" s="45" t="s">
        <v>404</v>
      </c>
      <c r="Q99" s="44" t="s">
        <v>409</v>
      </c>
    </row>
    <row r="100" ht="39.75" hidden="1" customHeight="1">
      <c r="A100" s="94" t="s">
        <v>442</v>
      </c>
      <c r="B100" s="96" t="s">
        <v>39</v>
      </c>
      <c r="C100" s="94" t="s">
        <v>268</v>
      </c>
      <c r="D100" s="97">
        <v>2.0</v>
      </c>
      <c r="E100" s="97" t="s">
        <v>146</v>
      </c>
      <c r="F100" s="97" t="s">
        <v>148</v>
      </c>
      <c r="G100" s="97" t="s">
        <v>149</v>
      </c>
      <c r="H100" s="154" t="s">
        <v>466</v>
      </c>
      <c r="I100" s="96"/>
      <c r="J100" s="100" t="s">
        <v>271</v>
      </c>
      <c r="K100" s="101" t="s">
        <v>272</v>
      </c>
      <c r="L100" s="126" t="s">
        <v>78</v>
      </c>
      <c r="M100" s="50" t="s">
        <v>64</v>
      </c>
      <c r="N100" s="43" t="s">
        <v>55</v>
      </c>
      <c r="O100" s="105" t="s">
        <v>187</v>
      </c>
      <c r="P100" s="101" t="s">
        <v>404</v>
      </c>
      <c r="Q100" s="107" t="s">
        <v>444</v>
      </c>
    </row>
    <row r="101" ht="39.75" hidden="1" customHeight="1">
      <c r="A101" s="73" t="s">
        <v>454</v>
      </c>
      <c r="B101" s="75" t="s">
        <v>39</v>
      </c>
      <c r="C101" s="73" t="s">
        <v>268</v>
      </c>
      <c r="D101" s="77">
        <v>2.0</v>
      </c>
      <c r="E101" s="77" t="s">
        <v>146</v>
      </c>
      <c r="F101" s="77" t="s">
        <v>148</v>
      </c>
      <c r="G101" s="77" t="s">
        <v>149</v>
      </c>
      <c r="H101" s="77" t="s">
        <v>151</v>
      </c>
      <c r="I101" s="75"/>
      <c r="J101" s="81" t="s">
        <v>271</v>
      </c>
      <c r="K101" s="45" t="s">
        <v>272</v>
      </c>
      <c r="L101" s="140" t="s">
        <v>52</v>
      </c>
      <c r="M101" s="62" t="s">
        <v>92</v>
      </c>
      <c r="N101" s="43" t="s">
        <v>55</v>
      </c>
      <c r="O101" s="59" t="s">
        <v>68</v>
      </c>
      <c r="P101" s="45" t="s">
        <v>404</v>
      </c>
      <c r="Q101" s="44" t="s">
        <v>409</v>
      </c>
    </row>
    <row r="102" ht="39.75" hidden="1" customHeight="1">
      <c r="A102" s="94" t="s">
        <v>456</v>
      </c>
      <c r="B102" s="96" t="s">
        <v>39</v>
      </c>
      <c r="C102" s="94" t="s">
        <v>268</v>
      </c>
      <c r="D102" s="97">
        <v>2.0</v>
      </c>
      <c r="E102" s="97" t="s">
        <v>146</v>
      </c>
      <c r="F102" s="97" t="s">
        <v>148</v>
      </c>
      <c r="G102" s="97" t="s">
        <v>149</v>
      </c>
      <c r="H102" s="97" t="s">
        <v>151</v>
      </c>
      <c r="I102" s="96"/>
      <c r="J102" s="100" t="s">
        <v>271</v>
      </c>
      <c r="K102" s="101" t="s">
        <v>272</v>
      </c>
      <c r="L102" s="148" t="s">
        <v>199</v>
      </c>
      <c r="M102" s="50" t="s">
        <v>64</v>
      </c>
      <c r="N102" s="43" t="s">
        <v>55</v>
      </c>
      <c r="O102" s="105" t="s">
        <v>68</v>
      </c>
      <c r="P102" s="101" t="s">
        <v>404</v>
      </c>
      <c r="Q102" s="107" t="s">
        <v>409</v>
      </c>
    </row>
    <row r="103" ht="39.75" hidden="1" customHeight="1">
      <c r="A103" s="73" t="s">
        <v>460</v>
      </c>
      <c r="B103" s="75" t="s">
        <v>39</v>
      </c>
      <c r="C103" s="73" t="s">
        <v>268</v>
      </c>
      <c r="D103" s="77">
        <v>2.0</v>
      </c>
      <c r="E103" s="77" t="s">
        <v>146</v>
      </c>
      <c r="F103" s="77" t="s">
        <v>148</v>
      </c>
      <c r="G103" s="77" t="s">
        <v>149</v>
      </c>
      <c r="H103" s="77" t="s">
        <v>151</v>
      </c>
      <c r="I103" s="75"/>
      <c r="J103" s="81" t="s">
        <v>271</v>
      </c>
      <c r="K103" s="45" t="s">
        <v>272</v>
      </c>
      <c r="L103" s="125" t="s">
        <v>92</v>
      </c>
      <c r="M103" s="56" t="s">
        <v>76</v>
      </c>
      <c r="N103" s="43" t="s">
        <v>55</v>
      </c>
      <c r="O103" s="59" t="s">
        <v>68</v>
      </c>
      <c r="P103" s="45" t="s">
        <v>404</v>
      </c>
      <c r="Q103" s="44" t="s">
        <v>409</v>
      </c>
    </row>
    <row r="104" ht="30.0" hidden="1" customHeight="1">
      <c r="A104" s="94" t="s">
        <v>461</v>
      </c>
      <c r="B104" s="96" t="s">
        <v>39</v>
      </c>
      <c r="C104" s="94" t="s">
        <v>268</v>
      </c>
      <c r="D104" s="97">
        <v>2.0</v>
      </c>
      <c r="E104" s="97" t="s">
        <v>146</v>
      </c>
      <c r="F104" s="97" t="s">
        <v>148</v>
      </c>
      <c r="G104" s="97" t="s">
        <v>149</v>
      </c>
      <c r="H104" s="97" t="s">
        <v>151</v>
      </c>
      <c r="I104" s="96"/>
      <c r="J104" s="100" t="s">
        <v>271</v>
      </c>
      <c r="K104" s="101" t="s">
        <v>272</v>
      </c>
      <c r="L104" s="125" t="s">
        <v>92</v>
      </c>
      <c r="M104" s="56" t="s">
        <v>76</v>
      </c>
      <c r="N104" s="43" t="s">
        <v>55</v>
      </c>
      <c r="O104" s="124" t="s">
        <v>56</v>
      </c>
      <c r="P104" s="101" t="s">
        <v>463</v>
      </c>
      <c r="Q104" s="107"/>
    </row>
    <row r="105" ht="30.0" hidden="1" customHeight="1">
      <c r="A105" s="73" t="s">
        <v>469</v>
      </c>
      <c r="B105" s="75" t="s">
        <v>39</v>
      </c>
      <c r="C105" s="73" t="s">
        <v>268</v>
      </c>
      <c r="D105" s="77">
        <v>2.0</v>
      </c>
      <c r="E105" s="77" t="s">
        <v>146</v>
      </c>
      <c r="F105" s="77" t="s">
        <v>148</v>
      </c>
      <c r="G105" s="77" t="s">
        <v>149</v>
      </c>
      <c r="H105" s="77" t="s">
        <v>151</v>
      </c>
      <c r="I105" s="142" t="s">
        <v>475</v>
      </c>
      <c r="J105" s="81" t="s">
        <v>271</v>
      </c>
      <c r="K105" s="45" t="s">
        <v>272</v>
      </c>
      <c r="L105" s="125" t="s">
        <v>92</v>
      </c>
      <c r="M105" s="41" t="s">
        <v>52</v>
      </c>
      <c r="N105" s="43" t="s">
        <v>55</v>
      </c>
      <c r="O105" s="115" t="s">
        <v>56</v>
      </c>
      <c r="P105" s="45" t="s">
        <v>471</v>
      </c>
      <c r="Q105" s="44" t="s">
        <v>472</v>
      </c>
    </row>
    <row r="106" ht="39.75" hidden="1" customHeight="1">
      <c r="A106" s="94" t="s">
        <v>474</v>
      </c>
      <c r="B106" s="96" t="s">
        <v>39</v>
      </c>
      <c r="C106" s="94" t="s">
        <v>268</v>
      </c>
      <c r="D106" s="97">
        <v>2.0</v>
      </c>
      <c r="E106" s="97" t="s">
        <v>146</v>
      </c>
      <c r="F106" s="97" t="s">
        <v>148</v>
      </c>
      <c r="G106" s="97" t="s">
        <v>149</v>
      </c>
      <c r="H106" s="97" t="s">
        <v>151</v>
      </c>
      <c r="I106" s="96"/>
      <c r="J106" s="100" t="s">
        <v>271</v>
      </c>
      <c r="K106" s="101" t="s">
        <v>272</v>
      </c>
      <c r="L106" s="88" t="s">
        <v>63</v>
      </c>
      <c r="M106" s="50" t="s">
        <v>64</v>
      </c>
      <c r="N106" s="43" t="s">
        <v>55</v>
      </c>
      <c r="O106" s="105" t="s">
        <v>68</v>
      </c>
      <c r="P106" s="101" t="s">
        <v>404</v>
      </c>
      <c r="Q106" s="107" t="s">
        <v>409</v>
      </c>
    </row>
    <row r="107" ht="39.75" hidden="1" customHeight="1">
      <c r="A107" s="73" t="s">
        <v>476</v>
      </c>
      <c r="B107" s="75" t="s">
        <v>39</v>
      </c>
      <c r="C107" s="73" t="s">
        <v>268</v>
      </c>
      <c r="D107" s="77">
        <v>2.0</v>
      </c>
      <c r="E107" s="77" t="s">
        <v>146</v>
      </c>
      <c r="F107" s="77" t="s">
        <v>148</v>
      </c>
      <c r="G107" s="77" t="s">
        <v>149</v>
      </c>
      <c r="H107" s="77" t="s">
        <v>151</v>
      </c>
      <c r="I107" s="75"/>
      <c r="J107" s="81" t="s">
        <v>271</v>
      </c>
      <c r="K107" s="45" t="s">
        <v>272</v>
      </c>
      <c r="L107" s="88" t="s">
        <v>63</v>
      </c>
      <c r="M107" s="50" t="s">
        <v>64</v>
      </c>
      <c r="N107" s="43" t="s">
        <v>55</v>
      </c>
      <c r="O107" s="59" t="s">
        <v>68</v>
      </c>
      <c r="P107" s="45" t="s">
        <v>404</v>
      </c>
      <c r="Q107" s="44" t="s">
        <v>409</v>
      </c>
    </row>
    <row r="108" ht="39.75" hidden="1" customHeight="1">
      <c r="A108" s="94" t="s">
        <v>480</v>
      </c>
      <c r="B108" s="96" t="s">
        <v>39</v>
      </c>
      <c r="C108" s="94" t="s">
        <v>268</v>
      </c>
      <c r="D108" s="97">
        <v>2.0</v>
      </c>
      <c r="E108" s="97" t="s">
        <v>146</v>
      </c>
      <c r="F108" s="97" t="s">
        <v>148</v>
      </c>
      <c r="G108" s="97" t="s">
        <v>149</v>
      </c>
      <c r="H108" s="97" t="s">
        <v>151</v>
      </c>
      <c r="I108" s="96"/>
      <c r="J108" s="100" t="s">
        <v>271</v>
      </c>
      <c r="K108" s="101" t="s">
        <v>272</v>
      </c>
      <c r="L108" s="140" t="s">
        <v>52</v>
      </c>
      <c r="M108" s="62" t="s">
        <v>92</v>
      </c>
      <c r="N108" s="43" t="s">
        <v>55</v>
      </c>
      <c r="O108" s="105" t="s">
        <v>68</v>
      </c>
      <c r="P108" s="101" t="s">
        <v>404</v>
      </c>
      <c r="Q108" s="107" t="s">
        <v>409</v>
      </c>
    </row>
    <row r="109" ht="39.75" hidden="1" customHeight="1">
      <c r="A109" s="73" t="s">
        <v>481</v>
      </c>
      <c r="B109" s="75" t="s">
        <v>39</v>
      </c>
      <c r="C109" s="73" t="s">
        <v>268</v>
      </c>
      <c r="D109" s="77">
        <v>2.0</v>
      </c>
      <c r="E109" s="77" t="s">
        <v>146</v>
      </c>
      <c r="F109" s="77" t="s">
        <v>148</v>
      </c>
      <c r="G109" s="77" t="s">
        <v>149</v>
      </c>
      <c r="H109" s="77" t="s">
        <v>151</v>
      </c>
      <c r="I109" s="75"/>
      <c r="J109" s="81" t="s">
        <v>271</v>
      </c>
      <c r="K109" s="45" t="s">
        <v>272</v>
      </c>
      <c r="L109" s="125" t="s">
        <v>92</v>
      </c>
      <c r="M109" s="50" t="s">
        <v>64</v>
      </c>
      <c r="N109" s="43" t="s">
        <v>55</v>
      </c>
      <c r="O109" s="59" t="s">
        <v>68</v>
      </c>
      <c r="P109" s="45" t="s">
        <v>404</v>
      </c>
      <c r="Q109" s="44" t="s">
        <v>409</v>
      </c>
    </row>
    <row r="110" ht="39.75" hidden="1" customHeight="1">
      <c r="A110" s="94" t="s">
        <v>482</v>
      </c>
      <c r="B110" s="96" t="s">
        <v>39</v>
      </c>
      <c r="C110" s="94" t="s">
        <v>268</v>
      </c>
      <c r="D110" s="97">
        <v>2.0</v>
      </c>
      <c r="E110" s="97" t="s">
        <v>146</v>
      </c>
      <c r="F110" s="97" t="s">
        <v>148</v>
      </c>
      <c r="G110" s="97" t="s">
        <v>149</v>
      </c>
      <c r="H110" s="97" t="s">
        <v>151</v>
      </c>
      <c r="I110" s="96"/>
      <c r="J110" s="100" t="s">
        <v>271</v>
      </c>
      <c r="K110" s="101" t="s">
        <v>272</v>
      </c>
      <c r="L110" s="88" t="s">
        <v>63</v>
      </c>
      <c r="M110" s="86" t="s">
        <v>164</v>
      </c>
      <c r="N110" s="43" t="s">
        <v>55</v>
      </c>
      <c r="O110" s="105" t="s">
        <v>68</v>
      </c>
      <c r="P110" s="101" t="s">
        <v>404</v>
      </c>
      <c r="Q110" s="107" t="s">
        <v>409</v>
      </c>
    </row>
    <row r="111" ht="30.0" hidden="1" customHeight="1">
      <c r="A111" s="73" t="s">
        <v>484</v>
      </c>
      <c r="B111" s="75" t="s">
        <v>39</v>
      </c>
      <c r="C111" s="73" t="s">
        <v>268</v>
      </c>
      <c r="D111" s="77">
        <v>2.0</v>
      </c>
      <c r="E111" s="77" t="s">
        <v>146</v>
      </c>
      <c r="F111" s="77" t="s">
        <v>148</v>
      </c>
      <c r="G111" s="77" t="s">
        <v>149</v>
      </c>
      <c r="H111" s="77" t="s">
        <v>151</v>
      </c>
      <c r="I111" s="75"/>
      <c r="J111" s="81" t="s">
        <v>271</v>
      </c>
      <c r="K111" s="45" t="s">
        <v>272</v>
      </c>
      <c r="L111" s="125" t="s">
        <v>92</v>
      </c>
      <c r="M111" s="50" t="s">
        <v>64</v>
      </c>
      <c r="N111" s="43" t="s">
        <v>55</v>
      </c>
      <c r="O111" s="115" t="s">
        <v>56</v>
      </c>
      <c r="P111" s="45" t="s">
        <v>485</v>
      </c>
      <c r="Q111" s="44" t="s">
        <v>487</v>
      </c>
    </row>
    <row r="112" ht="39.75" hidden="1" customHeight="1">
      <c r="A112" s="94" t="s">
        <v>488</v>
      </c>
      <c r="B112" s="96" t="s">
        <v>39</v>
      </c>
      <c r="C112" s="94" t="s">
        <v>268</v>
      </c>
      <c r="D112" s="97">
        <v>2.0</v>
      </c>
      <c r="E112" s="97" t="s">
        <v>146</v>
      </c>
      <c r="F112" s="97" t="s">
        <v>148</v>
      </c>
      <c r="G112" s="97" t="s">
        <v>149</v>
      </c>
      <c r="H112" s="154" t="s">
        <v>466</v>
      </c>
      <c r="I112" s="96"/>
      <c r="J112" s="100" t="s">
        <v>271</v>
      </c>
      <c r="K112" s="101" t="s">
        <v>272</v>
      </c>
      <c r="L112" s="125" t="s">
        <v>92</v>
      </c>
      <c r="M112" s="50" t="s">
        <v>64</v>
      </c>
      <c r="N112" s="43" t="s">
        <v>55</v>
      </c>
      <c r="O112" s="105" t="s">
        <v>187</v>
      </c>
      <c r="P112" s="101" t="s">
        <v>404</v>
      </c>
      <c r="Q112" s="107" t="s">
        <v>490</v>
      </c>
    </row>
    <row r="113" ht="39.75" hidden="1" customHeight="1">
      <c r="A113" s="73" t="s">
        <v>491</v>
      </c>
      <c r="B113" s="75" t="s">
        <v>39</v>
      </c>
      <c r="C113" s="73" t="s">
        <v>268</v>
      </c>
      <c r="D113" s="77">
        <v>2.0</v>
      </c>
      <c r="E113" s="77" t="s">
        <v>146</v>
      </c>
      <c r="F113" s="77" t="s">
        <v>148</v>
      </c>
      <c r="G113" s="77" t="s">
        <v>149</v>
      </c>
      <c r="H113" s="77" t="s">
        <v>151</v>
      </c>
      <c r="I113" s="75"/>
      <c r="J113" s="81" t="s">
        <v>271</v>
      </c>
      <c r="K113" s="45" t="s">
        <v>272</v>
      </c>
      <c r="L113" s="156" t="s">
        <v>218</v>
      </c>
      <c r="M113" s="50" t="s">
        <v>64</v>
      </c>
      <c r="N113" s="43" t="s">
        <v>55</v>
      </c>
      <c r="O113" s="59" t="s">
        <v>68</v>
      </c>
      <c r="P113" s="45" t="s">
        <v>404</v>
      </c>
      <c r="Q113" s="44" t="s">
        <v>409</v>
      </c>
    </row>
    <row r="114" ht="39.75" hidden="1" customHeight="1">
      <c r="A114" s="94" t="s">
        <v>494</v>
      </c>
      <c r="B114" s="96" t="s">
        <v>39</v>
      </c>
      <c r="C114" s="94" t="s">
        <v>268</v>
      </c>
      <c r="D114" s="97">
        <v>2.0</v>
      </c>
      <c r="E114" s="97" t="s">
        <v>146</v>
      </c>
      <c r="F114" s="97" t="s">
        <v>148</v>
      </c>
      <c r="G114" s="97" t="s">
        <v>149</v>
      </c>
      <c r="H114" s="97" t="s">
        <v>151</v>
      </c>
      <c r="I114" s="96"/>
      <c r="J114" s="100" t="s">
        <v>271</v>
      </c>
      <c r="K114" s="101" t="s">
        <v>272</v>
      </c>
      <c r="L114" s="125" t="s">
        <v>92</v>
      </c>
      <c r="M114" s="50" t="s">
        <v>64</v>
      </c>
      <c r="N114" s="43" t="s">
        <v>55</v>
      </c>
      <c r="O114" s="105" t="s">
        <v>68</v>
      </c>
      <c r="P114" s="101" t="s">
        <v>404</v>
      </c>
      <c r="Q114" s="107" t="s">
        <v>409</v>
      </c>
    </row>
    <row r="115" ht="39.75" hidden="1" customHeight="1">
      <c r="A115" s="73" t="s">
        <v>496</v>
      </c>
      <c r="B115" s="75" t="s">
        <v>39</v>
      </c>
      <c r="C115" s="73" t="s">
        <v>268</v>
      </c>
      <c r="D115" s="77">
        <v>2.0</v>
      </c>
      <c r="E115" s="77" t="s">
        <v>146</v>
      </c>
      <c r="F115" s="77" t="s">
        <v>148</v>
      </c>
      <c r="G115" s="77" t="s">
        <v>149</v>
      </c>
      <c r="H115" s="77" t="s">
        <v>151</v>
      </c>
      <c r="I115" s="75"/>
      <c r="J115" s="81" t="s">
        <v>271</v>
      </c>
      <c r="K115" s="45" t="s">
        <v>272</v>
      </c>
      <c r="L115" s="88" t="s">
        <v>63</v>
      </c>
      <c r="M115" s="50" t="s">
        <v>64</v>
      </c>
      <c r="N115" s="43" t="s">
        <v>55</v>
      </c>
      <c r="O115" s="59" t="s">
        <v>68</v>
      </c>
      <c r="P115" s="45" t="s">
        <v>404</v>
      </c>
      <c r="Q115" s="44" t="s">
        <v>411</v>
      </c>
    </row>
    <row r="116" ht="39.75" hidden="1" customHeight="1">
      <c r="A116" s="94" t="s">
        <v>498</v>
      </c>
      <c r="B116" s="96" t="s">
        <v>39</v>
      </c>
      <c r="C116" s="94" t="s">
        <v>268</v>
      </c>
      <c r="D116" s="97">
        <v>2.0</v>
      </c>
      <c r="E116" s="97" t="s">
        <v>146</v>
      </c>
      <c r="F116" s="97" t="s">
        <v>148</v>
      </c>
      <c r="G116" s="97" t="s">
        <v>149</v>
      </c>
      <c r="H116" s="97" t="s">
        <v>151</v>
      </c>
      <c r="I116" s="96"/>
      <c r="J116" s="100" t="s">
        <v>271</v>
      </c>
      <c r="K116" s="101" t="s">
        <v>272</v>
      </c>
      <c r="L116" s="127" t="s">
        <v>64</v>
      </c>
      <c r="M116" s="62" t="s">
        <v>92</v>
      </c>
      <c r="N116" s="43" t="s">
        <v>55</v>
      </c>
      <c r="O116" s="105" t="s">
        <v>68</v>
      </c>
      <c r="P116" s="101" t="s">
        <v>404</v>
      </c>
      <c r="Q116" s="107" t="s">
        <v>409</v>
      </c>
    </row>
    <row r="117" ht="30.0" hidden="1" customHeight="1">
      <c r="A117" s="73" t="s">
        <v>417</v>
      </c>
      <c r="B117" s="75" t="s">
        <v>39</v>
      </c>
      <c r="C117" s="73" t="s">
        <v>274</v>
      </c>
      <c r="D117" s="77">
        <v>3.0</v>
      </c>
      <c r="E117" s="77" t="s">
        <v>500</v>
      </c>
      <c r="F117" s="77" t="s">
        <v>148</v>
      </c>
      <c r="G117" s="77" t="s">
        <v>149</v>
      </c>
      <c r="H117" s="77" t="s">
        <v>151</v>
      </c>
      <c r="I117" s="75"/>
      <c r="J117" s="81" t="s">
        <v>280</v>
      </c>
      <c r="K117" s="45" t="s">
        <v>281</v>
      </c>
      <c r="L117" s="88" t="s">
        <v>63</v>
      </c>
      <c r="M117" s="86" t="s">
        <v>164</v>
      </c>
      <c r="N117" s="43" t="s">
        <v>55</v>
      </c>
      <c r="O117" s="115" t="s">
        <v>56</v>
      </c>
      <c r="P117" s="45" t="s">
        <v>419</v>
      </c>
      <c r="Q117" s="44"/>
    </row>
    <row r="118" ht="39.75" hidden="1" customHeight="1">
      <c r="A118" s="94" t="s">
        <v>422</v>
      </c>
      <c r="B118" s="96" t="s">
        <v>39</v>
      </c>
      <c r="C118" s="94" t="s">
        <v>274</v>
      </c>
      <c r="D118" s="97">
        <v>3.0</v>
      </c>
      <c r="E118" s="97" t="s">
        <v>500</v>
      </c>
      <c r="F118" s="97" t="s">
        <v>148</v>
      </c>
      <c r="G118" s="97" t="s">
        <v>149</v>
      </c>
      <c r="H118" s="154" t="s">
        <v>466</v>
      </c>
      <c r="I118" s="96"/>
      <c r="J118" s="100" t="s">
        <v>280</v>
      </c>
      <c r="K118" s="101" t="s">
        <v>281</v>
      </c>
      <c r="L118" s="88" t="s">
        <v>63</v>
      </c>
      <c r="M118" s="50" t="s">
        <v>64</v>
      </c>
      <c r="N118" s="43" t="s">
        <v>55</v>
      </c>
      <c r="O118" s="105" t="s">
        <v>187</v>
      </c>
      <c r="P118" s="101" t="s">
        <v>404</v>
      </c>
      <c r="Q118" s="107" t="s">
        <v>424</v>
      </c>
    </row>
    <row r="119" ht="39.75" hidden="1" customHeight="1">
      <c r="A119" s="73" t="s">
        <v>428</v>
      </c>
      <c r="B119" s="75" t="s">
        <v>39</v>
      </c>
      <c r="C119" s="73" t="s">
        <v>274</v>
      </c>
      <c r="D119" s="77">
        <v>3.0</v>
      </c>
      <c r="E119" s="77" t="s">
        <v>500</v>
      </c>
      <c r="F119" s="77" t="s">
        <v>148</v>
      </c>
      <c r="G119" s="77" t="s">
        <v>149</v>
      </c>
      <c r="H119" s="77" t="s">
        <v>151</v>
      </c>
      <c r="I119" s="75"/>
      <c r="J119" s="81" t="s">
        <v>280</v>
      </c>
      <c r="K119" s="45" t="s">
        <v>281</v>
      </c>
      <c r="L119" s="140" t="s">
        <v>52</v>
      </c>
      <c r="M119" s="86" t="s">
        <v>164</v>
      </c>
      <c r="N119" s="43" t="s">
        <v>55</v>
      </c>
      <c r="O119" s="59" t="s">
        <v>68</v>
      </c>
      <c r="P119" s="45" t="s">
        <v>404</v>
      </c>
      <c r="Q119" s="44" t="s">
        <v>409</v>
      </c>
    </row>
    <row r="120" ht="39.75" hidden="1" customHeight="1">
      <c r="A120" s="94" t="s">
        <v>432</v>
      </c>
      <c r="B120" s="96" t="s">
        <v>39</v>
      </c>
      <c r="C120" s="94" t="s">
        <v>274</v>
      </c>
      <c r="D120" s="97">
        <v>3.0</v>
      </c>
      <c r="E120" s="97" t="s">
        <v>500</v>
      </c>
      <c r="F120" s="97" t="s">
        <v>148</v>
      </c>
      <c r="G120" s="97" t="s">
        <v>149</v>
      </c>
      <c r="H120" s="97" t="s">
        <v>151</v>
      </c>
      <c r="I120" s="96"/>
      <c r="J120" s="100" t="s">
        <v>280</v>
      </c>
      <c r="K120" s="101" t="s">
        <v>281</v>
      </c>
      <c r="L120" s="148" t="s">
        <v>199</v>
      </c>
      <c r="M120" s="50" t="s">
        <v>64</v>
      </c>
      <c r="N120" s="43" t="s">
        <v>55</v>
      </c>
      <c r="O120" s="105" t="s">
        <v>68</v>
      </c>
      <c r="P120" s="101" t="s">
        <v>404</v>
      </c>
      <c r="Q120" s="107" t="s">
        <v>409</v>
      </c>
    </row>
    <row r="121" ht="39.75" hidden="1" customHeight="1">
      <c r="A121" s="73" t="s">
        <v>445</v>
      </c>
      <c r="B121" s="75" t="s">
        <v>39</v>
      </c>
      <c r="C121" s="73" t="s">
        <v>274</v>
      </c>
      <c r="D121" s="77">
        <v>3.0</v>
      </c>
      <c r="E121" s="77" t="s">
        <v>500</v>
      </c>
      <c r="F121" s="77" t="s">
        <v>148</v>
      </c>
      <c r="G121" s="77" t="s">
        <v>149</v>
      </c>
      <c r="H121" s="77" t="s">
        <v>151</v>
      </c>
      <c r="I121" s="75"/>
      <c r="J121" s="81" t="s">
        <v>280</v>
      </c>
      <c r="K121" s="45" t="s">
        <v>281</v>
      </c>
      <c r="L121" s="149"/>
      <c r="M121" s="149"/>
      <c r="N121" s="157" t="s">
        <v>447</v>
      </c>
      <c r="O121" s="115" t="s">
        <v>198</v>
      </c>
      <c r="P121" s="151"/>
      <c r="Q121" s="44" t="s">
        <v>448</v>
      </c>
    </row>
    <row r="122" ht="30.0" hidden="1" customHeight="1">
      <c r="A122" s="94" t="s">
        <v>450</v>
      </c>
      <c r="B122" s="96" t="s">
        <v>39</v>
      </c>
      <c r="C122" s="94" t="s">
        <v>274</v>
      </c>
      <c r="D122" s="97">
        <v>3.0</v>
      </c>
      <c r="E122" s="97" t="s">
        <v>500</v>
      </c>
      <c r="F122" s="97" t="s">
        <v>148</v>
      </c>
      <c r="G122" s="97" t="s">
        <v>149</v>
      </c>
      <c r="H122" s="97" t="s">
        <v>151</v>
      </c>
      <c r="I122" s="96"/>
      <c r="J122" s="100" t="s">
        <v>280</v>
      </c>
      <c r="K122" s="101" t="s">
        <v>281</v>
      </c>
      <c r="L122" s="127" t="s">
        <v>64</v>
      </c>
      <c r="M122" s="49" t="s">
        <v>63</v>
      </c>
      <c r="N122" s="43" t="s">
        <v>55</v>
      </c>
      <c r="O122" s="124" t="s">
        <v>56</v>
      </c>
      <c r="P122" s="101" t="s">
        <v>452</v>
      </c>
      <c r="Q122" s="107"/>
    </row>
    <row r="123" ht="39.75" hidden="1" customHeight="1">
      <c r="A123" s="73" t="s">
        <v>458</v>
      </c>
      <c r="B123" s="75" t="s">
        <v>39</v>
      </c>
      <c r="C123" s="73" t="s">
        <v>274</v>
      </c>
      <c r="D123" s="77">
        <v>3.0</v>
      </c>
      <c r="E123" s="77" t="s">
        <v>500</v>
      </c>
      <c r="F123" s="77" t="s">
        <v>148</v>
      </c>
      <c r="G123" s="77" t="s">
        <v>149</v>
      </c>
      <c r="H123" s="158" t="s">
        <v>466</v>
      </c>
      <c r="I123" s="75"/>
      <c r="J123" s="81" t="s">
        <v>280</v>
      </c>
      <c r="K123" s="45" t="s">
        <v>281</v>
      </c>
      <c r="L123" s="125" t="s">
        <v>92</v>
      </c>
      <c r="M123" s="50" t="s">
        <v>64</v>
      </c>
      <c r="N123" s="43" t="s">
        <v>55</v>
      </c>
      <c r="O123" s="59" t="s">
        <v>187</v>
      </c>
      <c r="P123" s="45" t="s">
        <v>404</v>
      </c>
      <c r="Q123" s="44" t="s">
        <v>459</v>
      </c>
    </row>
    <row r="124" ht="30.0" hidden="1" customHeight="1">
      <c r="A124" s="94" t="s">
        <v>464</v>
      </c>
      <c r="B124" s="96" t="s">
        <v>39</v>
      </c>
      <c r="C124" s="94" t="s">
        <v>274</v>
      </c>
      <c r="D124" s="97">
        <v>3.0</v>
      </c>
      <c r="E124" s="97" t="s">
        <v>500</v>
      </c>
      <c r="F124" s="97" t="s">
        <v>148</v>
      </c>
      <c r="G124" s="97" t="s">
        <v>149</v>
      </c>
      <c r="H124" s="97" t="s">
        <v>151</v>
      </c>
      <c r="I124" s="96"/>
      <c r="J124" s="100" t="s">
        <v>280</v>
      </c>
      <c r="K124" s="101" t="s">
        <v>281</v>
      </c>
      <c r="L124" s="125" t="s">
        <v>92</v>
      </c>
      <c r="M124" s="56" t="s">
        <v>76</v>
      </c>
      <c r="N124" s="43" t="s">
        <v>55</v>
      </c>
      <c r="O124" s="124" t="s">
        <v>195</v>
      </c>
      <c r="P124" s="101" t="s">
        <v>467</v>
      </c>
      <c r="Q124" s="107" t="s">
        <v>468</v>
      </c>
    </row>
    <row r="125" ht="39.75" hidden="1" customHeight="1">
      <c r="A125" s="73" t="s">
        <v>483</v>
      </c>
      <c r="B125" s="75" t="s">
        <v>39</v>
      </c>
      <c r="C125" s="73" t="s">
        <v>274</v>
      </c>
      <c r="D125" s="77">
        <v>3.0</v>
      </c>
      <c r="E125" s="77" t="s">
        <v>500</v>
      </c>
      <c r="F125" s="77" t="s">
        <v>148</v>
      </c>
      <c r="G125" s="77" t="s">
        <v>149</v>
      </c>
      <c r="H125" s="77" t="s">
        <v>151</v>
      </c>
      <c r="I125" s="75"/>
      <c r="J125" s="81" t="s">
        <v>280</v>
      </c>
      <c r="K125" s="45" t="s">
        <v>281</v>
      </c>
      <c r="L125" s="88" t="s">
        <v>63</v>
      </c>
      <c r="M125" s="50" t="s">
        <v>64</v>
      </c>
      <c r="N125" s="43" t="s">
        <v>55</v>
      </c>
      <c r="O125" s="59" t="s">
        <v>68</v>
      </c>
      <c r="P125" s="45" t="s">
        <v>404</v>
      </c>
      <c r="Q125" s="44" t="s">
        <v>409</v>
      </c>
    </row>
    <row r="126" ht="39.75" hidden="1" customHeight="1">
      <c r="A126" s="94" t="s">
        <v>486</v>
      </c>
      <c r="B126" s="96" t="s">
        <v>39</v>
      </c>
      <c r="C126" s="94" t="s">
        <v>274</v>
      </c>
      <c r="D126" s="97">
        <v>3.0</v>
      </c>
      <c r="E126" s="97" t="s">
        <v>500</v>
      </c>
      <c r="F126" s="97" t="s">
        <v>148</v>
      </c>
      <c r="G126" s="97" t="s">
        <v>149</v>
      </c>
      <c r="H126" s="97" t="s">
        <v>151</v>
      </c>
      <c r="I126" s="96"/>
      <c r="J126" s="100" t="s">
        <v>280</v>
      </c>
      <c r="K126" s="101" t="s">
        <v>281</v>
      </c>
      <c r="L126" s="88" t="s">
        <v>63</v>
      </c>
      <c r="M126" s="86" t="s">
        <v>164</v>
      </c>
      <c r="N126" s="43" t="s">
        <v>55</v>
      </c>
      <c r="O126" s="105" t="s">
        <v>68</v>
      </c>
      <c r="P126" s="101" t="s">
        <v>404</v>
      </c>
      <c r="Q126" s="107" t="s">
        <v>409</v>
      </c>
    </row>
    <row r="127" ht="39.75" hidden="1" customHeight="1">
      <c r="A127" s="73" t="s">
        <v>489</v>
      </c>
      <c r="B127" s="75" t="s">
        <v>39</v>
      </c>
      <c r="C127" s="73" t="s">
        <v>274</v>
      </c>
      <c r="D127" s="77">
        <v>3.0</v>
      </c>
      <c r="E127" s="77" t="s">
        <v>500</v>
      </c>
      <c r="F127" s="77" t="s">
        <v>148</v>
      </c>
      <c r="G127" s="77" t="s">
        <v>149</v>
      </c>
      <c r="H127" s="77" t="s">
        <v>151</v>
      </c>
      <c r="I127" s="75"/>
      <c r="J127" s="81" t="s">
        <v>280</v>
      </c>
      <c r="K127" s="45" t="s">
        <v>281</v>
      </c>
      <c r="L127" s="149"/>
      <c r="M127" s="149"/>
      <c r="N127" s="157" t="s">
        <v>447</v>
      </c>
      <c r="O127" s="115" t="s">
        <v>198</v>
      </c>
      <c r="P127" s="151"/>
      <c r="Q127" s="44" t="s">
        <v>448</v>
      </c>
    </row>
    <row r="128" ht="39.75" hidden="1" customHeight="1">
      <c r="A128" s="94" t="s">
        <v>493</v>
      </c>
      <c r="B128" s="96" t="s">
        <v>39</v>
      </c>
      <c r="C128" s="94" t="s">
        <v>274</v>
      </c>
      <c r="D128" s="97">
        <v>3.0</v>
      </c>
      <c r="E128" s="97" t="s">
        <v>500</v>
      </c>
      <c r="F128" s="97" t="s">
        <v>148</v>
      </c>
      <c r="G128" s="97" t="s">
        <v>149</v>
      </c>
      <c r="H128" s="97" t="s">
        <v>151</v>
      </c>
      <c r="I128" s="96"/>
      <c r="J128" s="100" t="s">
        <v>280</v>
      </c>
      <c r="K128" s="101" t="s">
        <v>281</v>
      </c>
      <c r="L128" s="125" t="s">
        <v>92</v>
      </c>
      <c r="M128" s="50" t="s">
        <v>64</v>
      </c>
      <c r="N128" s="43" t="s">
        <v>55</v>
      </c>
      <c r="O128" s="105" t="s">
        <v>68</v>
      </c>
      <c r="P128" s="101" t="s">
        <v>404</v>
      </c>
      <c r="Q128" s="107" t="s">
        <v>409</v>
      </c>
    </row>
    <row r="129" ht="39.75" hidden="1" customHeight="1">
      <c r="A129" s="73" t="s">
        <v>495</v>
      </c>
      <c r="B129" s="75" t="s">
        <v>39</v>
      </c>
      <c r="C129" s="73" t="s">
        <v>274</v>
      </c>
      <c r="D129" s="77">
        <v>3.0</v>
      </c>
      <c r="E129" s="77" t="s">
        <v>500</v>
      </c>
      <c r="F129" s="77" t="s">
        <v>148</v>
      </c>
      <c r="G129" s="77" t="s">
        <v>149</v>
      </c>
      <c r="H129" s="77" t="s">
        <v>151</v>
      </c>
      <c r="I129" s="75"/>
      <c r="J129" s="81" t="s">
        <v>280</v>
      </c>
      <c r="K129" s="45" t="s">
        <v>281</v>
      </c>
      <c r="L129" s="103" t="s">
        <v>76</v>
      </c>
      <c r="M129" s="62" t="s">
        <v>92</v>
      </c>
      <c r="N129" s="43" t="s">
        <v>55</v>
      </c>
      <c r="O129" s="59" t="s">
        <v>68</v>
      </c>
      <c r="P129" s="45" t="s">
        <v>404</v>
      </c>
      <c r="Q129" s="44" t="s">
        <v>409</v>
      </c>
    </row>
    <row r="130" ht="39.75" hidden="1" customHeight="1">
      <c r="A130" s="94" t="s">
        <v>497</v>
      </c>
      <c r="B130" s="96" t="s">
        <v>39</v>
      </c>
      <c r="C130" s="94" t="s">
        <v>274</v>
      </c>
      <c r="D130" s="97">
        <v>3.0</v>
      </c>
      <c r="E130" s="97" t="s">
        <v>500</v>
      </c>
      <c r="F130" s="97" t="s">
        <v>148</v>
      </c>
      <c r="G130" s="97" t="s">
        <v>149</v>
      </c>
      <c r="H130" s="97" t="s">
        <v>151</v>
      </c>
      <c r="I130" s="96"/>
      <c r="J130" s="100" t="s">
        <v>280</v>
      </c>
      <c r="K130" s="101" t="s">
        <v>281</v>
      </c>
      <c r="L130" s="148" t="s">
        <v>199</v>
      </c>
      <c r="M130" s="50" t="s">
        <v>64</v>
      </c>
      <c r="N130" s="43" t="s">
        <v>55</v>
      </c>
      <c r="O130" s="105" t="s">
        <v>68</v>
      </c>
      <c r="P130" s="101" t="s">
        <v>404</v>
      </c>
      <c r="Q130" s="107" t="s">
        <v>409</v>
      </c>
    </row>
    <row r="131" ht="39.75" hidden="1" customHeight="1">
      <c r="A131" s="73" t="s">
        <v>501</v>
      </c>
      <c r="B131" s="75" t="s">
        <v>39</v>
      </c>
      <c r="C131" s="73" t="s">
        <v>274</v>
      </c>
      <c r="D131" s="77">
        <v>3.0</v>
      </c>
      <c r="E131" s="77" t="s">
        <v>500</v>
      </c>
      <c r="F131" s="77" t="s">
        <v>148</v>
      </c>
      <c r="G131" s="77" t="s">
        <v>149</v>
      </c>
      <c r="H131" s="77" t="s">
        <v>151</v>
      </c>
      <c r="I131" s="75"/>
      <c r="J131" s="81" t="s">
        <v>280</v>
      </c>
      <c r="K131" s="45" t="s">
        <v>281</v>
      </c>
      <c r="L131" s="125" t="s">
        <v>92</v>
      </c>
      <c r="M131" s="50" t="s">
        <v>64</v>
      </c>
      <c r="N131" s="43" t="s">
        <v>55</v>
      </c>
      <c r="O131" s="59" t="s">
        <v>68</v>
      </c>
      <c r="P131" s="45" t="s">
        <v>404</v>
      </c>
      <c r="Q131" s="44" t="s">
        <v>409</v>
      </c>
    </row>
    <row r="132" ht="39.75" hidden="1" customHeight="1">
      <c r="A132" s="94" t="s">
        <v>511</v>
      </c>
      <c r="B132" s="96" t="s">
        <v>39</v>
      </c>
      <c r="C132" s="94" t="s">
        <v>274</v>
      </c>
      <c r="D132" s="97">
        <v>3.0</v>
      </c>
      <c r="E132" s="97" t="s">
        <v>500</v>
      </c>
      <c r="F132" s="97" t="s">
        <v>148</v>
      </c>
      <c r="G132" s="97" t="s">
        <v>149</v>
      </c>
      <c r="H132" s="97" t="s">
        <v>151</v>
      </c>
      <c r="I132" s="96"/>
      <c r="J132" s="100" t="s">
        <v>280</v>
      </c>
      <c r="K132" s="101" t="s">
        <v>281</v>
      </c>
      <c r="L132" s="127" t="s">
        <v>64</v>
      </c>
      <c r="M132" s="86" t="s">
        <v>164</v>
      </c>
      <c r="N132" s="43" t="s">
        <v>55</v>
      </c>
      <c r="O132" s="105" t="s">
        <v>68</v>
      </c>
      <c r="P132" s="101" t="s">
        <v>404</v>
      </c>
      <c r="Q132" s="107" t="s">
        <v>409</v>
      </c>
    </row>
    <row r="133" ht="30.0" hidden="1" customHeight="1">
      <c r="A133" s="73" t="s">
        <v>520</v>
      </c>
      <c r="B133" s="75" t="s">
        <v>39</v>
      </c>
      <c r="C133" s="73" t="s">
        <v>274</v>
      </c>
      <c r="D133" s="77">
        <v>3.0</v>
      </c>
      <c r="E133" s="77" t="s">
        <v>500</v>
      </c>
      <c r="F133" s="77" t="s">
        <v>148</v>
      </c>
      <c r="G133" s="77" t="s">
        <v>149</v>
      </c>
      <c r="H133" s="77" t="s">
        <v>151</v>
      </c>
      <c r="I133" s="75"/>
      <c r="J133" s="81" t="s">
        <v>280</v>
      </c>
      <c r="K133" s="45" t="s">
        <v>281</v>
      </c>
      <c r="L133" s="88" t="s">
        <v>63</v>
      </c>
      <c r="M133" s="50" t="s">
        <v>64</v>
      </c>
      <c r="N133" s="43" t="s">
        <v>55</v>
      </c>
      <c r="O133" s="115" t="s">
        <v>56</v>
      </c>
      <c r="P133" s="45" t="s">
        <v>522</v>
      </c>
      <c r="Q133" s="44"/>
    </row>
    <row r="134" ht="39.75" hidden="1" customHeight="1">
      <c r="A134" s="94" t="s">
        <v>523</v>
      </c>
      <c r="B134" s="96" t="s">
        <v>39</v>
      </c>
      <c r="C134" s="94" t="s">
        <v>274</v>
      </c>
      <c r="D134" s="97">
        <v>3.0</v>
      </c>
      <c r="E134" s="97" t="s">
        <v>500</v>
      </c>
      <c r="F134" s="97" t="s">
        <v>148</v>
      </c>
      <c r="G134" s="97" t="s">
        <v>149</v>
      </c>
      <c r="H134" s="97" t="s">
        <v>151</v>
      </c>
      <c r="I134" s="96"/>
      <c r="J134" s="100" t="s">
        <v>280</v>
      </c>
      <c r="K134" s="101" t="s">
        <v>281</v>
      </c>
      <c r="L134" s="149"/>
      <c r="M134" s="149"/>
      <c r="N134" s="157" t="s">
        <v>447</v>
      </c>
      <c r="O134" s="124" t="s">
        <v>198</v>
      </c>
      <c r="P134" s="159"/>
      <c r="Q134" s="107" t="s">
        <v>448</v>
      </c>
    </row>
    <row r="135" ht="30.0" hidden="1" customHeight="1">
      <c r="A135" s="73" t="s">
        <v>525</v>
      </c>
      <c r="B135" s="75" t="s">
        <v>39</v>
      </c>
      <c r="C135" s="73" t="s">
        <v>274</v>
      </c>
      <c r="D135" s="77">
        <v>3.0</v>
      </c>
      <c r="E135" s="77" t="s">
        <v>500</v>
      </c>
      <c r="F135" s="77" t="s">
        <v>148</v>
      </c>
      <c r="G135" s="77" t="s">
        <v>149</v>
      </c>
      <c r="H135" s="77" t="s">
        <v>151</v>
      </c>
      <c r="I135" s="75"/>
      <c r="J135" s="81" t="s">
        <v>280</v>
      </c>
      <c r="K135" s="45" t="s">
        <v>281</v>
      </c>
      <c r="L135" s="137" t="s">
        <v>164</v>
      </c>
      <c r="M135" s="50" t="s">
        <v>64</v>
      </c>
      <c r="N135" s="43" t="s">
        <v>55</v>
      </c>
      <c r="O135" s="115" t="s">
        <v>56</v>
      </c>
      <c r="P135" s="45" t="s">
        <v>527</v>
      </c>
      <c r="Q135" s="44"/>
    </row>
    <row r="136" ht="39.75" hidden="1" customHeight="1">
      <c r="A136" s="94" t="s">
        <v>530</v>
      </c>
      <c r="B136" s="96" t="s">
        <v>39</v>
      </c>
      <c r="C136" s="94" t="s">
        <v>274</v>
      </c>
      <c r="D136" s="97">
        <v>3.0</v>
      </c>
      <c r="E136" s="97" t="s">
        <v>500</v>
      </c>
      <c r="F136" s="97" t="s">
        <v>148</v>
      </c>
      <c r="G136" s="97" t="s">
        <v>149</v>
      </c>
      <c r="H136" s="97" t="s">
        <v>151</v>
      </c>
      <c r="I136" s="96"/>
      <c r="J136" s="100" t="s">
        <v>280</v>
      </c>
      <c r="K136" s="101" t="s">
        <v>281</v>
      </c>
      <c r="L136" s="88" t="s">
        <v>63</v>
      </c>
      <c r="M136" s="50" t="s">
        <v>64</v>
      </c>
      <c r="N136" s="43" t="s">
        <v>55</v>
      </c>
      <c r="O136" s="105" t="s">
        <v>68</v>
      </c>
      <c r="P136" s="101" t="s">
        <v>404</v>
      </c>
      <c r="Q136" s="107" t="s">
        <v>409</v>
      </c>
    </row>
    <row r="137" ht="39.75" hidden="1" customHeight="1">
      <c r="A137" s="73" t="s">
        <v>403</v>
      </c>
      <c r="B137" s="75" t="s">
        <v>39</v>
      </c>
      <c r="C137" s="73" t="s">
        <v>274</v>
      </c>
      <c r="D137" s="77">
        <v>3.0</v>
      </c>
      <c r="E137" s="77" t="s">
        <v>540</v>
      </c>
      <c r="F137" s="77" t="s">
        <v>148</v>
      </c>
      <c r="G137" s="77" t="s">
        <v>149</v>
      </c>
      <c r="H137" s="77" t="s">
        <v>151</v>
      </c>
      <c r="I137" s="75"/>
      <c r="J137" s="81" t="s">
        <v>280</v>
      </c>
      <c r="K137" s="45" t="s">
        <v>281</v>
      </c>
      <c r="L137" s="140" t="s">
        <v>52</v>
      </c>
      <c r="M137" s="79" t="s">
        <v>150</v>
      </c>
      <c r="N137" s="43" t="s">
        <v>55</v>
      </c>
      <c r="O137" s="59" t="s">
        <v>68</v>
      </c>
      <c r="P137" s="45" t="s">
        <v>404</v>
      </c>
      <c r="Q137" s="44" t="s">
        <v>409</v>
      </c>
    </row>
    <row r="138" ht="39.75" hidden="1" customHeight="1">
      <c r="A138" s="94" t="s">
        <v>410</v>
      </c>
      <c r="B138" s="96" t="s">
        <v>39</v>
      </c>
      <c r="C138" s="94" t="s">
        <v>274</v>
      </c>
      <c r="D138" s="97">
        <v>3.0</v>
      </c>
      <c r="E138" s="97" t="s">
        <v>540</v>
      </c>
      <c r="F138" s="97" t="s">
        <v>148</v>
      </c>
      <c r="G138" s="97" t="s">
        <v>149</v>
      </c>
      <c r="H138" s="97" t="s">
        <v>151</v>
      </c>
      <c r="I138" s="96"/>
      <c r="J138" s="100" t="s">
        <v>280</v>
      </c>
      <c r="K138" s="101" t="s">
        <v>281</v>
      </c>
      <c r="L138" s="88" t="s">
        <v>63</v>
      </c>
      <c r="M138" s="50" t="s">
        <v>64</v>
      </c>
      <c r="N138" s="43" t="s">
        <v>55</v>
      </c>
      <c r="O138" s="105" t="s">
        <v>68</v>
      </c>
      <c r="P138" s="101" t="s">
        <v>404</v>
      </c>
      <c r="Q138" s="107" t="s">
        <v>409</v>
      </c>
    </row>
    <row r="139" ht="39.75" hidden="1" customHeight="1">
      <c r="A139" s="73" t="s">
        <v>415</v>
      </c>
      <c r="B139" s="75" t="s">
        <v>39</v>
      </c>
      <c r="C139" s="73" t="s">
        <v>274</v>
      </c>
      <c r="D139" s="77">
        <v>3.0</v>
      </c>
      <c r="E139" s="77" t="s">
        <v>540</v>
      </c>
      <c r="F139" s="77" t="s">
        <v>148</v>
      </c>
      <c r="G139" s="77" t="s">
        <v>149</v>
      </c>
      <c r="H139" s="77" t="s">
        <v>151</v>
      </c>
      <c r="I139" s="75"/>
      <c r="J139" s="81" t="s">
        <v>280</v>
      </c>
      <c r="K139" s="45" t="s">
        <v>281</v>
      </c>
      <c r="L139" s="148" t="s">
        <v>199</v>
      </c>
      <c r="M139" s="50" t="s">
        <v>64</v>
      </c>
      <c r="N139" s="43" t="s">
        <v>55</v>
      </c>
      <c r="O139" s="59" t="s">
        <v>68</v>
      </c>
      <c r="P139" s="45" t="s">
        <v>404</v>
      </c>
      <c r="Q139" s="44" t="s">
        <v>409</v>
      </c>
    </row>
    <row r="140" ht="39.75" hidden="1" customHeight="1">
      <c r="A140" s="94" t="s">
        <v>426</v>
      </c>
      <c r="B140" s="96" t="s">
        <v>39</v>
      </c>
      <c r="C140" s="94" t="s">
        <v>274</v>
      </c>
      <c r="D140" s="97">
        <v>3.0</v>
      </c>
      <c r="E140" s="97" t="s">
        <v>540</v>
      </c>
      <c r="F140" s="97" t="s">
        <v>148</v>
      </c>
      <c r="G140" s="97" t="s">
        <v>149</v>
      </c>
      <c r="H140" s="154" t="s">
        <v>466</v>
      </c>
      <c r="I140" s="96"/>
      <c r="J140" s="100" t="s">
        <v>280</v>
      </c>
      <c r="K140" s="101" t="s">
        <v>281</v>
      </c>
      <c r="L140" s="88" t="s">
        <v>63</v>
      </c>
      <c r="M140" s="50" t="s">
        <v>64</v>
      </c>
      <c r="N140" s="43" t="s">
        <v>55</v>
      </c>
      <c r="O140" s="105" t="s">
        <v>187</v>
      </c>
      <c r="P140" s="101" t="s">
        <v>404</v>
      </c>
      <c r="Q140" s="107" t="s">
        <v>427</v>
      </c>
    </row>
    <row r="141" ht="39.75" hidden="1" customHeight="1">
      <c r="A141" s="73" t="s">
        <v>434</v>
      </c>
      <c r="B141" s="75" t="s">
        <v>39</v>
      </c>
      <c r="C141" s="73" t="s">
        <v>274</v>
      </c>
      <c r="D141" s="77">
        <v>3.0</v>
      </c>
      <c r="E141" s="77" t="s">
        <v>540</v>
      </c>
      <c r="F141" s="77" t="s">
        <v>148</v>
      </c>
      <c r="G141" s="77" t="s">
        <v>149</v>
      </c>
      <c r="H141" s="77" t="s">
        <v>151</v>
      </c>
      <c r="I141" s="75"/>
      <c r="J141" s="81" t="s">
        <v>280</v>
      </c>
      <c r="K141" s="45" t="s">
        <v>281</v>
      </c>
      <c r="L141" s="137" t="s">
        <v>164</v>
      </c>
      <c r="M141" s="50" t="s">
        <v>64</v>
      </c>
      <c r="N141" s="43" t="s">
        <v>55</v>
      </c>
      <c r="O141" s="59" t="s">
        <v>68</v>
      </c>
      <c r="P141" s="45" t="s">
        <v>404</v>
      </c>
      <c r="Q141" s="44" t="s">
        <v>409</v>
      </c>
    </row>
    <row r="142" ht="30.0" hidden="1" customHeight="1">
      <c r="A142" s="94" t="s">
        <v>438</v>
      </c>
      <c r="B142" s="96" t="s">
        <v>39</v>
      </c>
      <c r="C142" s="94" t="s">
        <v>274</v>
      </c>
      <c r="D142" s="97">
        <v>3.0</v>
      </c>
      <c r="E142" s="97" t="s">
        <v>540</v>
      </c>
      <c r="F142" s="97" t="s">
        <v>148</v>
      </c>
      <c r="G142" s="97" t="s">
        <v>149</v>
      </c>
      <c r="H142" s="97" t="s">
        <v>151</v>
      </c>
      <c r="I142" s="96"/>
      <c r="J142" s="100" t="s">
        <v>280</v>
      </c>
      <c r="K142" s="101" t="s">
        <v>281</v>
      </c>
      <c r="L142" s="127" t="s">
        <v>64</v>
      </c>
      <c r="M142" s="62" t="s">
        <v>92</v>
      </c>
      <c r="N142" s="43" t="s">
        <v>55</v>
      </c>
      <c r="O142" s="124" t="s">
        <v>56</v>
      </c>
      <c r="P142" s="101" t="s">
        <v>441</v>
      </c>
      <c r="Q142" s="107"/>
    </row>
    <row r="143" ht="39.75" hidden="1" customHeight="1">
      <c r="A143" s="73" t="s">
        <v>473</v>
      </c>
      <c r="B143" s="75" t="s">
        <v>39</v>
      </c>
      <c r="C143" s="73" t="s">
        <v>274</v>
      </c>
      <c r="D143" s="77">
        <v>3.0</v>
      </c>
      <c r="E143" s="77" t="s">
        <v>540</v>
      </c>
      <c r="F143" s="77" t="s">
        <v>148</v>
      </c>
      <c r="G143" s="77" t="s">
        <v>149</v>
      </c>
      <c r="H143" s="77" t="s">
        <v>151</v>
      </c>
      <c r="I143" s="75"/>
      <c r="J143" s="81" t="s">
        <v>280</v>
      </c>
      <c r="K143" s="45" t="s">
        <v>281</v>
      </c>
      <c r="L143" s="88" t="s">
        <v>63</v>
      </c>
      <c r="M143" s="50" t="s">
        <v>64</v>
      </c>
      <c r="N143" s="43" t="s">
        <v>55</v>
      </c>
      <c r="O143" s="59" t="s">
        <v>68</v>
      </c>
      <c r="P143" s="45" t="s">
        <v>404</v>
      </c>
      <c r="Q143" s="44" t="s">
        <v>406</v>
      </c>
    </row>
    <row r="144" ht="39.75" hidden="1" customHeight="1">
      <c r="A144" s="94" t="s">
        <v>477</v>
      </c>
      <c r="B144" s="96" t="s">
        <v>39</v>
      </c>
      <c r="C144" s="94" t="s">
        <v>274</v>
      </c>
      <c r="D144" s="97">
        <v>3.0</v>
      </c>
      <c r="E144" s="97" t="s">
        <v>540</v>
      </c>
      <c r="F144" s="97" t="s">
        <v>148</v>
      </c>
      <c r="G144" s="97" t="s">
        <v>149</v>
      </c>
      <c r="H144" s="97" t="s">
        <v>151</v>
      </c>
      <c r="I144" s="96"/>
      <c r="J144" s="100" t="s">
        <v>280</v>
      </c>
      <c r="K144" s="101" t="s">
        <v>281</v>
      </c>
      <c r="L144" s="125" t="s">
        <v>92</v>
      </c>
      <c r="M144" s="56" t="s">
        <v>76</v>
      </c>
      <c r="N144" s="43" t="s">
        <v>55</v>
      </c>
      <c r="O144" s="105" t="s">
        <v>68</v>
      </c>
      <c r="P144" s="101" t="s">
        <v>404</v>
      </c>
      <c r="Q144" s="107" t="s">
        <v>409</v>
      </c>
    </row>
    <row r="145" ht="39.75" hidden="1" customHeight="1">
      <c r="A145" s="73" t="s">
        <v>478</v>
      </c>
      <c r="B145" s="75" t="s">
        <v>39</v>
      </c>
      <c r="C145" s="73" t="s">
        <v>274</v>
      </c>
      <c r="D145" s="77">
        <v>3.0</v>
      </c>
      <c r="E145" s="77" t="s">
        <v>540</v>
      </c>
      <c r="F145" s="77" t="s">
        <v>148</v>
      </c>
      <c r="G145" s="77" t="s">
        <v>149</v>
      </c>
      <c r="H145" s="77" t="s">
        <v>151</v>
      </c>
      <c r="I145" s="75"/>
      <c r="J145" s="81" t="s">
        <v>280</v>
      </c>
      <c r="K145" s="45" t="s">
        <v>281</v>
      </c>
      <c r="L145" s="125" t="s">
        <v>92</v>
      </c>
      <c r="M145" s="50" t="s">
        <v>64</v>
      </c>
      <c r="N145" s="43" t="s">
        <v>55</v>
      </c>
      <c r="O145" s="59" t="s">
        <v>68</v>
      </c>
      <c r="P145" s="45" t="s">
        <v>404</v>
      </c>
      <c r="Q145" s="44" t="s">
        <v>409</v>
      </c>
    </row>
    <row r="146" ht="39.75" hidden="1" customHeight="1">
      <c r="A146" s="94" t="s">
        <v>479</v>
      </c>
      <c r="B146" s="96" t="s">
        <v>39</v>
      </c>
      <c r="C146" s="94" t="s">
        <v>274</v>
      </c>
      <c r="D146" s="97">
        <v>3.0</v>
      </c>
      <c r="E146" s="97" t="s">
        <v>540</v>
      </c>
      <c r="F146" s="97" t="s">
        <v>148</v>
      </c>
      <c r="G146" s="97" t="s">
        <v>149</v>
      </c>
      <c r="H146" s="97" t="s">
        <v>151</v>
      </c>
      <c r="I146" s="96"/>
      <c r="J146" s="100" t="s">
        <v>280</v>
      </c>
      <c r="K146" s="101" t="s">
        <v>281</v>
      </c>
      <c r="L146" s="149"/>
      <c r="M146" s="149"/>
      <c r="N146" s="157" t="s">
        <v>447</v>
      </c>
      <c r="O146" s="124" t="s">
        <v>198</v>
      </c>
      <c r="P146" s="159"/>
      <c r="Q146" s="107" t="s">
        <v>448</v>
      </c>
    </row>
    <row r="147" ht="39.75" hidden="1" customHeight="1">
      <c r="A147" s="73" t="s">
        <v>499</v>
      </c>
      <c r="B147" s="75" t="s">
        <v>39</v>
      </c>
      <c r="C147" s="73" t="s">
        <v>274</v>
      </c>
      <c r="D147" s="77">
        <v>3.0</v>
      </c>
      <c r="E147" s="77" t="s">
        <v>540</v>
      </c>
      <c r="F147" s="77" t="s">
        <v>148</v>
      </c>
      <c r="G147" s="77" t="s">
        <v>149</v>
      </c>
      <c r="H147" s="77" t="s">
        <v>151</v>
      </c>
      <c r="I147" s="75"/>
      <c r="J147" s="81" t="s">
        <v>280</v>
      </c>
      <c r="K147" s="45" t="s">
        <v>281</v>
      </c>
      <c r="L147" s="127" t="s">
        <v>64</v>
      </c>
      <c r="M147" s="49" t="s">
        <v>63</v>
      </c>
      <c r="N147" s="43" t="s">
        <v>55</v>
      </c>
      <c r="O147" s="59" t="s">
        <v>68</v>
      </c>
      <c r="P147" s="45" t="s">
        <v>404</v>
      </c>
      <c r="Q147" s="44" t="s">
        <v>411</v>
      </c>
    </row>
    <row r="148" ht="30.0" hidden="1" customHeight="1">
      <c r="A148" s="94" t="s">
        <v>502</v>
      </c>
      <c r="B148" s="96" t="s">
        <v>39</v>
      </c>
      <c r="C148" s="94" t="s">
        <v>274</v>
      </c>
      <c r="D148" s="97">
        <v>3.0</v>
      </c>
      <c r="E148" s="97" t="s">
        <v>540</v>
      </c>
      <c r="F148" s="97" t="s">
        <v>148</v>
      </c>
      <c r="G148" s="97" t="s">
        <v>149</v>
      </c>
      <c r="H148" s="97" t="s">
        <v>151</v>
      </c>
      <c r="I148" s="96"/>
      <c r="J148" s="100" t="s">
        <v>280</v>
      </c>
      <c r="K148" s="101" t="s">
        <v>281</v>
      </c>
      <c r="L148" s="127" t="s">
        <v>64</v>
      </c>
      <c r="M148" s="149" t="s">
        <v>503</v>
      </c>
      <c r="N148" s="150" t="s">
        <v>35</v>
      </c>
      <c r="O148" s="124" t="s">
        <v>56</v>
      </c>
      <c r="P148" s="101" t="s">
        <v>505</v>
      </c>
      <c r="Q148" s="107" t="s">
        <v>506</v>
      </c>
    </row>
    <row r="149" ht="39.75" hidden="1" customHeight="1">
      <c r="A149" s="73" t="s">
        <v>507</v>
      </c>
      <c r="B149" s="75" t="s">
        <v>39</v>
      </c>
      <c r="C149" s="73" t="s">
        <v>274</v>
      </c>
      <c r="D149" s="77">
        <v>3.0</v>
      </c>
      <c r="E149" s="77" t="s">
        <v>540</v>
      </c>
      <c r="F149" s="77" t="s">
        <v>148</v>
      </c>
      <c r="G149" s="77" t="s">
        <v>149</v>
      </c>
      <c r="H149" s="158" t="s">
        <v>466</v>
      </c>
      <c r="I149" s="75"/>
      <c r="J149" s="81" t="s">
        <v>280</v>
      </c>
      <c r="K149" s="45" t="s">
        <v>281</v>
      </c>
      <c r="L149" s="127" t="s">
        <v>64</v>
      </c>
      <c r="M149" s="152" t="s">
        <v>218</v>
      </c>
      <c r="N149" s="43" t="s">
        <v>55</v>
      </c>
      <c r="O149" s="59" t="s">
        <v>187</v>
      </c>
      <c r="P149" s="45" t="s">
        <v>404</v>
      </c>
      <c r="Q149" s="44" t="s">
        <v>508</v>
      </c>
    </row>
    <row r="150" ht="39.75" hidden="1" customHeight="1">
      <c r="A150" s="94" t="s">
        <v>509</v>
      </c>
      <c r="B150" s="96" t="s">
        <v>39</v>
      </c>
      <c r="C150" s="94" t="s">
        <v>274</v>
      </c>
      <c r="D150" s="97">
        <v>3.0</v>
      </c>
      <c r="E150" s="97" t="s">
        <v>540</v>
      </c>
      <c r="F150" s="97" t="s">
        <v>148</v>
      </c>
      <c r="G150" s="97" t="s">
        <v>149</v>
      </c>
      <c r="H150" s="97" t="s">
        <v>151</v>
      </c>
      <c r="I150" s="96"/>
      <c r="J150" s="100" t="s">
        <v>280</v>
      </c>
      <c r="K150" s="101" t="s">
        <v>281</v>
      </c>
      <c r="L150" s="88" t="s">
        <v>63</v>
      </c>
      <c r="M150" s="50" t="s">
        <v>64</v>
      </c>
      <c r="N150" s="43" t="s">
        <v>55</v>
      </c>
      <c r="O150" s="105" t="s">
        <v>68</v>
      </c>
      <c r="P150" s="101" t="s">
        <v>404</v>
      </c>
      <c r="Q150" s="107" t="s">
        <v>409</v>
      </c>
    </row>
    <row r="151" ht="39.75" hidden="1" customHeight="1">
      <c r="A151" s="73" t="s">
        <v>512</v>
      </c>
      <c r="B151" s="75" t="s">
        <v>39</v>
      </c>
      <c r="C151" s="73" t="s">
        <v>274</v>
      </c>
      <c r="D151" s="77">
        <v>3.0</v>
      </c>
      <c r="E151" s="77" t="s">
        <v>540</v>
      </c>
      <c r="F151" s="77" t="s">
        <v>148</v>
      </c>
      <c r="G151" s="77" t="s">
        <v>149</v>
      </c>
      <c r="H151" s="77" t="s">
        <v>151</v>
      </c>
      <c r="I151" s="75"/>
      <c r="J151" s="81" t="s">
        <v>280</v>
      </c>
      <c r="K151" s="45" t="s">
        <v>281</v>
      </c>
      <c r="L151" s="127" t="s">
        <v>64</v>
      </c>
      <c r="M151" s="62" t="s">
        <v>92</v>
      </c>
      <c r="N151" s="43" t="s">
        <v>55</v>
      </c>
      <c r="O151" s="59" t="s">
        <v>68</v>
      </c>
      <c r="P151" s="45" t="s">
        <v>404</v>
      </c>
      <c r="Q151" s="44" t="s">
        <v>409</v>
      </c>
    </row>
    <row r="152" ht="30.0" hidden="1" customHeight="1">
      <c r="A152" s="94" t="s">
        <v>513</v>
      </c>
      <c r="B152" s="96" t="s">
        <v>39</v>
      </c>
      <c r="C152" s="94" t="s">
        <v>274</v>
      </c>
      <c r="D152" s="97">
        <v>3.0</v>
      </c>
      <c r="E152" s="97" t="s">
        <v>540</v>
      </c>
      <c r="F152" s="97" t="s">
        <v>148</v>
      </c>
      <c r="G152" s="97" t="s">
        <v>149</v>
      </c>
      <c r="H152" s="97" t="s">
        <v>151</v>
      </c>
      <c r="I152" s="96"/>
      <c r="J152" s="100" t="s">
        <v>280</v>
      </c>
      <c r="K152" s="101" t="s">
        <v>281</v>
      </c>
      <c r="L152" s="88" t="s">
        <v>63</v>
      </c>
      <c r="M152" s="62" t="s">
        <v>92</v>
      </c>
      <c r="N152" s="43" t="s">
        <v>55</v>
      </c>
      <c r="O152" s="124" t="s">
        <v>56</v>
      </c>
      <c r="P152" s="101" t="s">
        <v>515</v>
      </c>
      <c r="Q152" s="107"/>
    </row>
    <row r="153" ht="30.0" hidden="1" customHeight="1">
      <c r="A153" s="73" t="s">
        <v>516</v>
      </c>
      <c r="B153" s="75" t="s">
        <v>39</v>
      </c>
      <c r="C153" s="73" t="s">
        <v>274</v>
      </c>
      <c r="D153" s="77">
        <v>3.0</v>
      </c>
      <c r="E153" s="77" t="s">
        <v>540</v>
      </c>
      <c r="F153" s="77" t="s">
        <v>148</v>
      </c>
      <c r="G153" s="77" t="s">
        <v>149</v>
      </c>
      <c r="H153" s="77" t="s">
        <v>151</v>
      </c>
      <c r="I153" s="75"/>
      <c r="J153" s="81" t="s">
        <v>280</v>
      </c>
      <c r="K153" s="45" t="s">
        <v>281</v>
      </c>
      <c r="L153" s="126" t="s">
        <v>78</v>
      </c>
      <c r="M153" s="50" t="s">
        <v>64</v>
      </c>
      <c r="N153" s="43" t="s">
        <v>55</v>
      </c>
      <c r="O153" s="115" t="s">
        <v>195</v>
      </c>
      <c r="P153" s="45" t="s">
        <v>518</v>
      </c>
      <c r="Q153" s="44" t="s">
        <v>519</v>
      </c>
    </row>
    <row r="154" ht="39.75" hidden="1" customHeight="1">
      <c r="A154" s="94" t="s">
        <v>524</v>
      </c>
      <c r="B154" s="96" t="s">
        <v>39</v>
      </c>
      <c r="C154" s="94" t="s">
        <v>274</v>
      </c>
      <c r="D154" s="97">
        <v>3.0</v>
      </c>
      <c r="E154" s="97" t="s">
        <v>540</v>
      </c>
      <c r="F154" s="97" t="s">
        <v>148</v>
      </c>
      <c r="G154" s="97" t="s">
        <v>149</v>
      </c>
      <c r="H154" s="97" t="s">
        <v>151</v>
      </c>
      <c r="I154" s="96"/>
      <c r="J154" s="100" t="s">
        <v>280</v>
      </c>
      <c r="K154" s="101" t="s">
        <v>281</v>
      </c>
      <c r="L154" s="140" t="s">
        <v>52</v>
      </c>
      <c r="M154" s="49" t="s">
        <v>63</v>
      </c>
      <c r="N154" s="43" t="s">
        <v>55</v>
      </c>
      <c r="O154" s="105" t="s">
        <v>68</v>
      </c>
      <c r="P154" s="101" t="s">
        <v>404</v>
      </c>
      <c r="Q154" s="107" t="s">
        <v>409</v>
      </c>
    </row>
    <row r="155" ht="39.75" hidden="1" customHeight="1">
      <c r="A155" s="73" t="s">
        <v>528</v>
      </c>
      <c r="B155" s="75" t="s">
        <v>39</v>
      </c>
      <c r="C155" s="73" t="s">
        <v>274</v>
      </c>
      <c r="D155" s="77">
        <v>3.0</v>
      </c>
      <c r="E155" s="77" t="s">
        <v>540</v>
      </c>
      <c r="F155" s="77" t="s">
        <v>148</v>
      </c>
      <c r="G155" s="77" t="s">
        <v>149</v>
      </c>
      <c r="H155" s="158" t="s">
        <v>466</v>
      </c>
      <c r="I155" s="75"/>
      <c r="J155" s="81" t="s">
        <v>280</v>
      </c>
      <c r="K155" s="45" t="s">
        <v>281</v>
      </c>
      <c r="L155" s="140" t="s">
        <v>52</v>
      </c>
      <c r="M155" s="62" t="s">
        <v>92</v>
      </c>
      <c r="N155" s="43" t="s">
        <v>55</v>
      </c>
      <c r="O155" s="59" t="s">
        <v>187</v>
      </c>
      <c r="P155" s="45" t="s">
        <v>404</v>
      </c>
      <c r="Q155" s="44" t="s">
        <v>529</v>
      </c>
    </row>
    <row r="156" ht="30.0" hidden="1" customHeight="1">
      <c r="A156" s="94" t="s">
        <v>531</v>
      </c>
      <c r="B156" s="96" t="s">
        <v>39</v>
      </c>
      <c r="C156" s="94" t="s">
        <v>274</v>
      </c>
      <c r="D156" s="97">
        <v>3.0</v>
      </c>
      <c r="E156" s="97" t="s">
        <v>540</v>
      </c>
      <c r="F156" s="97" t="s">
        <v>148</v>
      </c>
      <c r="G156" s="97" t="s">
        <v>149</v>
      </c>
      <c r="H156" s="97" t="s">
        <v>151</v>
      </c>
      <c r="I156" s="96"/>
      <c r="J156" s="100" t="s">
        <v>280</v>
      </c>
      <c r="K156" s="101" t="s">
        <v>281</v>
      </c>
      <c r="L156" s="127" t="s">
        <v>64</v>
      </c>
      <c r="M156" s="62" t="s">
        <v>92</v>
      </c>
      <c r="N156" s="43" t="s">
        <v>55</v>
      </c>
      <c r="O156" s="124" t="s">
        <v>56</v>
      </c>
      <c r="P156" s="101" t="s">
        <v>533</v>
      </c>
      <c r="Q156" s="107"/>
    </row>
    <row r="157" ht="39.75" customHeight="1">
      <c r="A157" s="73" t="s">
        <v>553</v>
      </c>
      <c r="B157" s="75" t="s">
        <v>51</v>
      </c>
      <c r="C157" s="73" t="s">
        <v>282</v>
      </c>
      <c r="D157" s="77">
        <v>1.0</v>
      </c>
      <c r="E157" s="77" t="s">
        <v>146</v>
      </c>
      <c r="F157" s="77" t="s">
        <v>148</v>
      </c>
      <c r="G157" s="77" t="s">
        <v>149</v>
      </c>
      <c r="H157" s="77" t="s">
        <v>151</v>
      </c>
      <c r="I157" s="75"/>
      <c r="J157" s="81" t="s">
        <v>284</v>
      </c>
      <c r="K157" s="45" t="s">
        <v>285</v>
      </c>
      <c r="L157" s="125" t="s">
        <v>92</v>
      </c>
      <c r="M157" s="86" t="s">
        <v>164</v>
      </c>
      <c r="N157" s="43" t="s">
        <v>55</v>
      </c>
      <c r="O157" s="59" t="s">
        <v>68</v>
      </c>
      <c r="P157" s="45" t="s">
        <v>550</v>
      </c>
      <c r="Q157" s="44" t="s">
        <v>552</v>
      </c>
    </row>
    <row r="158" ht="39.75" customHeight="1">
      <c r="A158" s="94" t="s">
        <v>567</v>
      </c>
      <c r="B158" s="96" t="s">
        <v>51</v>
      </c>
      <c r="C158" s="94" t="s">
        <v>282</v>
      </c>
      <c r="D158" s="97">
        <v>1.0</v>
      </c>
      <c r="E158" s="97" t="s">
        <v>146</v>
      </c>
      <c r="F158" s="97" t="s">
        <v>148</v>
      </c>
      <c r="G158" s="97" t="s">
        <v>149</v>
      </c>
      <c r="H158" s="97" t="s">
        <v>151</v>
      </c>
      <c r="I158" s="96"/>
      <c r="J158" s="100" t="s">
        <v>284</v>
      </c>
      <c r="K158" s="101" t="s">
        <v>285</v>
      </c>
      <c r="L158" s="88" t="s">
        <v>63</v>
      </c>
      <c r="M158" s="62" t="s">
        <v>92</v>
      </c>
      <c r="N158" s="43" t="s">
        <v>55</v>
      </c>
      <c r="O158" s="105" t="s">
        <v>68</v>
      </c>
      <c r="P158" s="101" t="s">
        <v>550</v>
      </c>
      <c r="Q158" s="107" t="s">
        <v>552</v>
      </c>
    </row>
    <row r="159" ht="39.75" customHeight="1">
      <c r="A159" s="73" t="s">
        <v>568</v>
      </c>
      <c r="B159" s="75" t="s">
        <v>51</v>
      </c>
      <c r="C159" s="73" t="s">
        <v>282</v>
      </c>
      <c r="D159" s="77">
        <v>1.0</v>
      </c>
      <c r="E159" s="77" t="s">
        <v>146</v>
      </c>
      <c r="F159" s="77" t="s">
        <v>148</v>
      </c>
      <c r="G159" s="77" t="s">
        <v>149</v>
      </c>
      <c r="H159" s="77" t="s">
        <v>151</v>
      </c>
      <c r="I159" s="75"/>
      <c r="J159" s="81" t="s">
        <v>284</v>
      </c>
      <c r="K159" s="45" t="s">
        <v>285</v>
      </c>
      <c r="L159" s="88" t="s">
        <v>63</v>
      </c>
      <c r="M159" s="62" t="s">
        <v>92</v>
      </c>
      <c r="N159" s="43" t="s">
        <v>55</v>
      </c>
      <c r="O159" s="59" t="s">
        <v>68</v>
      </c>
      <c r="P159" s="45" t="s">
        <v>550</v>
      </c>
      <c r="Q159" s="44" t="s">
        <v>552</v>
      </c>
    </row>
    <row r="160" ht="39.75" customHeight="1">
      <c r="A160" s="94" t="s">
        <v>596</v>
      </c>
      <c r="B160" s="96" t="s">
        <v>51</v>
      </c>
      <c r="C160" s="94" t="s">
        <v>282</v>
      </c>
      <c r="D160" s="97">
        <v>1.0</v>
      </c>
      <c r="E160" s="97" t="s">
        <v>146</v>
      </c>
      <c r="F160" s="97" t="s">
        <v>148</v>
      </c>
      <c r="G160" s="97" t="s">
        <v>149</v>
      </c>
      <c r="H160" s="97" t="s">
        <v>151</v>
      </c>
      <c r="I160" s="96"/>
      <c r="J160" s="100" t="s">
        <v>284</v>
      </c>
      <c r="K160" s="101" t="s">
        <v>285</v>
      </c>
      <c r="L160" s="125" t="s">
        <v>92</v>
      </c>
      <c r="M160" s="50" t="s">
        <v>64</v>
      </c>
      <c r="N160" s="43" t="s">
        <v>55</v>
      </c>
      <c r="O160" s="105" t="s">
        <v>68</v>
      </c>
      <c r="P160" s="101" t="s">
        <v>550</v>
      </c>
      <c r="Q160" s="107" t="s">
        <v>552</v>
      </c>
    </row>
    <row r="161" ht="39.75" customHeight="1">
      <c r="A161" s="73" t="s">
        <v>614</v>
      </c>
      <c r="B161" s="75" t="s">
        <v>51</v>
      </c>
      <c r="C161" s="73" t="s">
        <v>282</v>
      </c>
      <c r="D161" s="77">
        <v>1.0</v>
      </c>
      <c r="E161" s="77" t="s">
        <v>146</v>
      </c>
      <c r="F161" s="77" t="s">
        <v>148</v>
      </c>
      <c r="G161" s="77" t="s">
        <v>149</v>
      </c>
      <c r="H161" s="77" t="s">
        <v>151</v>
      </c>
      <c r="I161" s="75"/>
      <c r="J161" s="81" t="s">
        <v>284</v>
      </c>
      <c r="K161" s="45" t="s">
        <v>285</v>
      </c>
      <c r="L161" s="156" t="s">
        <v>218</v>
      </c>
      <c r="M161" s="50" t="s">
        <v>64</v>
      </c>
      <c r="N161" s="43" t="s">
        <v>55</v>
      </c>
      <c r="O161" s="59" t="s">
        <v>68</v>
      </c>
      <c r="P161" s="45" t="s">
        <v>550</v>
      </c>
      <c r="Q161" s="44" t="s">
        <v>552</v>
      </c>
    </row>
    <row r="162" ht="30.0" customHeight="1">
      <c r="A162" s="94" t="s">
        <v>623</v>
      </c>
      <c r="B162" s="96" t="s">
        <v>51</v>
      </c>
      <c r="C162" s="94" t="s">
        <v>282</v>
      </c>
      <c r="D162" s="97">
        <v>1.0</v>
      </c>
      <c r="E162" s="97" t="s">
        <v>146</v>
      </c>
      <c r="F162" s="97" t="s">
        <v>148</v>
      </c>
      <c r="G162" s="97" t="s">
        <v>149</v>
      </c>
      <c r="H162" s="97" t="s">
        <v>151</v>
      </c>
      <c r="I162" s="96"/>
      <c r="J162" s="100" t="s">
        <v>284</v>
      </c>
      <c r="K162" s="101" t="s">
        <v>285</v>
      </c>
      <c r="L162" s="140" t="s">
        <v>52</v>
      </c>
      <c r="M162" s="62" t="s">
        <v>92</v>
      </c>
      <c r="N162" s="43" t="s">
        <v>55</v>
      </c>
      <c r="O162" s="124" t="s">
        <v>56</v>
      </c>
      <c r="P162" s="101" t="s">
        <v>625</v>
      </c>
      <c r="Q162" s="107"/>
    </row>
    <row r="163" ht="39.75" customHeight="1">
      <c r="A163" s="73" t="s">
        <v>626</v>
      </c>
      <c r="B163" s="75" t="s">
        <v>51</v>
      </c>
      <c r="C163" s="73" t="s">
        <v>282</v>
      </c>
      <c r="D163" s="77">
        <v>1.0</v>
      </c>
      <c r="E163" s="77" t="s">
        <v>146</v>
      </c>
      <c r="F163" s="77" t="s">
        <v>148</v>
      </c>
      <c r="G163" s="77" t="s">
        <v>149</v>
      </c>
      <c r="H163" s="77" t="s">
        <v>151</v>
      </c>
      <c r="I163" s="75"/>
      <c r="J163" s="81" t="s">
        <v>284</v>
      </c>
      <c r="K163" s="45" t="s">
        <v>285</v>
      </c>
      <c r="L163" s="88" t="s">
        <v>63</v>
      </c>
      <c r="M163" s="62" t="s">
        <v>92</v>
      </c>
      <c r="N163" s="43" t="s">
        <v>55</v>
      </c>
      <c r="O163" s="59" t="s">
        <v>68</v>
      </c>
      <c r="P163" s="45" t="s">
        <v>550</v>
      </c>
      <c r="Q163" s="44" t="s">
        <v>552</v>
      </c>
    </row>
    <row r="164" ht="39.75" customHeight="1">
      <c r="A164" s="94" t="s">
        <v>627</v>
      </c>
      <c r="B164" s="96" t="s">
        <v>51</v>
      </c>
      <c r="C164" s="94" t="s">
        <v>282</v>
      </c>
      <c r="D164" s="97">
        <v>1.0</v>
      </c>
      <c r="E164" s="97" t="s">
        <v>146</v>
      </c>
      <c r="F164" s="97" t="s">
        <v>148</v>
      </c>
      <c r="G164" s="97" t="s">
        <v>149</v>
      </c>
      <c r="H164" s="97" t="s">
        <v>151</v>
      </c>
      <c r="I164" s="96"/>
      <c r="J164" s="100" t="s">
        <v>284</v>
      </c>
      <c r="K164" s="101" t="s">
        <v>285</v>
      </c>
      <c r="L164" s="125" t="s">
        <v>92</v>
      </c>
      <c r="M164" s="86" t="s">
        <v>164</v>
      </c>
      <c r="N164" s="43" t="s">
        <v>55</v>
      </c>
      <c r="O164" s="105" t="s">
        <v>68</v>
      </c>
      <c r="P164" s="101" t="s">
        <v>550</v>
      </c>
      <c r="Q164" s="107" t="s">
        <v>552</v>
      </c>
    </row>
    <row r="165" ht="39.75" customHeight="1">
      <c r="A165" s="73" t="s">
        <v>631</v>
      </c>
      <c r="B165" s="75" t="s">
        <v>51</v>
      </c>
      <c r="C165" s="73" t="s">
        <v>282</v>
      </c>
      <c r="D165" s="77">
        <v>1.0</v>
      </c>
      <c r="E165" s="77" t="s">
        <v>146</v>
      </c>
      <c r="F165" s="77" t="s">
        <v>148</v>
      </c>
      <c r="G165" s="77" t="s">
        <v>149</v>
      </c>
      <c r="H165" s="77" t="s">
        <v>151</v>
      </c>
      <c r="I165" s="75"/>
      <c r="J165" s="81" t="s">
        <v>284</v>
      </c>
      <c r="K165" s="45" t="s">
        <v>285</v>
      </c>
      <c r="L165" s="137" t="s">
        <v>164</v>
      </c>
      <c r="M165" s="50" t="s">
        <v>64</v>
      </c>
      <c r="N165" s="43" t="s">
        <v>55</v>
      </c>
      <c r="O165" s="59" t="s">
        <v>68</v>
      </c>
      <c r="P165" s="45" t="s">
        <v>550</v>
      </c>
      <c r="Q165" s="44" t="s">
        <v>552</v>
      </c>
    </row>
    <row r="166" ht="39.75" customHeight="1">
      <c r="A166" s="94" t="s">
        <v>636</v>
      </c>
      <c r="B166" s="96" t="s">
        <v>51</v>
      </c>
      <c r="C166" s="94" t="s">
        <v>282</v>
      </c>
      <c r="D166" s="97">
        <v>1.0</v>
      </c>
      <c r="E166" s="97" t="s">
        <v>146</v>
      </c>
      <c r="F166" s="97" t="s">
        <v>148</v>
      </c>
      <c r="G166" s="97" t="s">
        <v>149</v>
      </c>
      <c r="H166" s="97" t="s">
        <v>151</v>
      </c>
      <c r="I166" s="96"/>
      <c r="J166" s="100" t="s">
        <v>284</v>
      </c>
      <c r="K166" s="101" t="s">
        <v>285</v>
      </c>
      <c r="L166" s="126" t="s">
        <v>78</v>
      </c>
      <c r="M166" s="50" t="s">
        <v>64</v>
      </c>
      <c r="N166" s="43" t="s">
        <v>55</v>
      </c>
      <c r="O166" s="105" t="s">
        <v>68</v>
      </c>
      <c r="P166" s="101" t="s">
        <v>550</v>
      </c>
      <c r="Q166" s="107" t="s">
        <v>552</v>
      </c>
    </row>
    <row r="167" ht="39.75" customHeight="1">
      <c r="A167" s="73" t="s">
        <v>641</v>
      </c>
      <c r="B167" s="75" t="s">
        <v>51</v>
      </c>
      <c r="C167" s="73" t="s">
        <v>282</v>
      </c>
      <c r="D167" s="77">
        <v>1.0</v>
      </c>
      <c r="E167" s="77" t="s">
        <v>146</v>
      </c>
      <c r="F167" s="77" t="s">
        <v>148</v>
      </c>
      <c r="G167" s="77" t="s">
        <v>149</v>
      </c>
      <c r="H167" s="77" t="s">
        <v>151</v>
      </c>
      <c r="I167" s="75"/>
      <c r="J167" s="81" t="s">
        <v>284</v>
      </c>
      <c r="K167" s="45" t="s">
        <v>285</v>
      </c>
      <c r="L167" s="140" t="s">
        <v>52</v>
      </c>
      <c r="M167" s="49" t="s">
        <v>63</v>
      </c>
      <c r="N167" s="43" t="s">
        <v>55</v>
      </c>
      <c r="O167" s="59" t="s">
        <v>68</v>
      </c>
      <c r="P167" s="45" t="s">
        <v>550</v>
      </c>
      <c r="Q167" s="44" t="s">
        <v>552</v>
      </c>
    </row>
    <row r="168" ht="39.75" customHeight="1">
      <c r="A168" s="94" t="s">
        <v>647</v>
      </c>
      <c r="B168" s="96" t="s">
        <v>51</v>
      </c>
      <c r="C168" s="94" t="s">
        <v>282</v>
      </c>
      <c r="D168" s="97">
        <v>1.0</v>
      </c>
      <c r="E168" s="97" t="s">
        <v>146</v>
      </c>
      <c r="F168" s="97" t="s">
        <v>148</v>
      </c>
      <c r="G168" s="97" t="s">
        <v>149</v>
      </c>
      <c r="H168" s="97" t="s">
        <v>151</v>
      </c>
      <c r="I168" s="96"/>
      <c r="J168" s="100" t="s">
        <v>284</v>
      </c>
      <c r="K168" s="101" t="s">
        <v>285</v>
      </c>
      <c r="L168" s="88" t="s">
        <v>63</v>
      </c>
      <c r="M168" s="86" t="s">
        <v>164</v>
      </c>
      <c r="N168" s="43" t="s">
        <v>55</v>
      </c>
      <c r="O168" s="105" t="s">
        <v>68</v>
      </c>
      <c r="P168" s="101" t="s">
        <v>550</v>
      </c>
      <c r="Q168" s="107" t="s">
        <v>552</v>
      </c>
    </row>
    <row r="169" ht="39.75" customHeight="1">
      <c r="A169" s="73" t="s">
        <v>650</v>
      </c>
      <c r="B169" s="75" t="s">
        <v>51</v>
      </c>
      <c r="C169" s="73" t="s">
        <v>282</v>
      </c>
      <c r="D169" s="77">
        <v>1.0</v>
      </c>
      <c r="E169" s="77" t="s">
        <v>146</v>
      </c>
      <c r="F169" s="77" t="s">
        <v>148</v>
      </c>
      <c r="G169" s="77" t="s">
        <v>149</v>
      </c>
      <c r="H169" s="77" t="s">
        <v>151</v>
      </c>
      <c r="I169" s="75"/>
      <c r="J169" s="81" t="s">
        <v>284</v>
      </c>
      <c r="K169" s="45" t="s">
        <v>285</v>
      </c>
      <c r="L169" s="88" t="s">
        <v>63</v>
      </c>
      <c r="M169" s="50" t="s">
        <v>64</v>
      </c>
      <c r="N169" s="43" t="s">
        <v>55</v>
      </c>
      <c r="O169" s="59" t="s">
        <v>68</v>
      </c>
      <c r="P169" s="45" t="s">
        <v>550</v>
      </c>
      <c r="Q169" s="44" t="s">
        <v>552</v>
      </c>
    </row>
    <row r="170" ht="39.75" customHeight="1">
      <c r="A170" s="94" t="s">
        <v>652</v>
      </c>
      <c r="B170" s="96" t="s">
        <v>51</v>
      </c>
      <c r="C170" s="94" t="s">
        <v>282</v>
      </c>
      <c r="D170" s="97">
        <v>1.0</v>
      </c>
      <c r="E170" s="97" t="s">
        <v>146</v>
      </c>
      <c r="F170" s="97" t="s">
        <v>148</v>
      </c>
      <c r="G170" s="97" t="s">
        <v>149</v>
      </c>
      <c r="H170" s="97" t="s">
        <v>151</v>
      </c>
      <c r="I170" s="96"/>
      <c r="J170" s="100" t="s">
        <v>284</v>
      </c>
      <c r="K170" s="101" t="s">
        <v>285</v>
      </c>
      <c r="L170" s="126" t="s">
        <v>78</v>
      </c>
      <c r="M170" s="50" t="s">
        <v>64</v>
      </c>
      <c r="N170" s="43" t="s">
        <v>55</v>
      </c>
      <c r="O170" s="105" t="s">
        <v>68</v>
      </c>
      <c r="P170" s="101" t="s">
        <v>550</v>
      </c>
      <c r="Q170" s="107" t="s">
        <v>552</v>
      </c>
    </row>
    <row r="171" ht="39.75" customHeight="1">
      <c r="A171" s="73" t="s">
        <v>655</v>
      </c>
      <c r="B171" s="75" t="s">
        <v>51</v>
      </c>
      <c r="C171" s="73" t="s">
        <v>282</v>
      </c>
      <c r="D171" s="77">
        <v>1.0</v>
      </c>
      <c r="E171" s="77" t="s">
        <v>146</v>
      </c>
      <c r="F171" s="77" t="s">
        <v>148</v>
      </c>
      <c r="G171" s="77" t="s">
        <v>149</v>
      </c>
      <c r="H171" s="77" t="s">
        <v>151</v>
      </c>
      <c r="I171" s="75"/>
      <c r="J171" s="81" t="s">
        <v>284</v>
      </c>
      <c r="K171" s="45" t="s">
        <v>285</v>
      </c>
      <c r="L171" s="140" t="s">
        <v>52</v>
      </c>
      <c r="M171" s="62" t="s">
        <v>92</v>
      </c>
      <c r="N171" s="43" t="s">
        <v>55</v>
      </c>
      <c r="O171" s="59" t="s">
        <v>68</v>
      </c>
      <c r="P171" s="45" t="s">
        <v>550</v>
      </c>
      <c r="Q171" s="44" t="s">
        <v>658</v>
      </c>
    </row>
    <row r="172" ht="39.75" customHeight="1">
      <c r="A172" s="94" t="s">
        <v>659</v>
      </c>
      <c r="B172" s="96" t="s">
        <v>51</v>
      </c>
      <c r="C172" s="94" t="s">
        <v>282</v>
      </c>
      <c r="D172" s="97">
        <v>1.0</v>
      </c>
      <c r="E172" s="97" t="s">
        <v>146</v>
      </c>
      <c r="F172" s="97" t="s">
        <v>148</v>
      </c>
      <c r="G172" s="97" t="s">
        <v>149</v>
      </c>
      <c r="H172" s="97" t="s">
        <v>151</v>
      </c>
      <c r="I172" s="96"/>
      <c r="J172" s="100" t="s">
        <v>284</v>
      </c>
      <c r="K172" s="101" t="s">
        <v>285</v>
      </c>
      <c r="L172" s="163" t="s">
        <v>176</v>
      </c>
      <c r="M172" s="164" t="s">
        <v>196</v>
      </c>
      <c r="N172" s="43" t="s">
        <v>55</v>
      </c>
      <c r="O172" s="105" t="s">
        <v>68</v>
      </c>
      <c r="P172" s="101" t="s">
        <v>550</v>
      </c>
      <c r="Q172" s="107" t="s">
        <v>552</v>
      </c>
    </row>
    <row r="173" ht="30.0" customHeight="1">
      <c r="A173" s="73" t="s">
        <v>661</v>
      </c>
      <c r="B173" s="75" t="s">
        <v>51</v>
      </c>
      <c r="C173" s="73" t="s">
        <v>282</v>
      </c>
      <c r="D173" s="77">
        <v>1.0</v>
      </c>
      <c r="E173" s="77" t="s">
        <v>146</v>
      </c>
      <c r="F173" s="77" t="s">
        <v>148</v>
      </c>
      <c r="G173" s="77" t="s">
        <v>149</v>
      </c>
      <c r="H173" s="77" t="s">
        <v>151</v>
      </c>
      <c r="I173" s="75"/>
      <c r="J173" s="81" t="s">
        <v>284</v>
      </c>
      <c r="K173" s="45" t="s">
        <v>285</v>
      </c>
      <c r="L173" s="137" t="s">
        <v>164</v>
      </c>
      <c r="M173" s="138" t="s">
        <v>199</v>
      </c>
      <c r="N173" s="43" t="s">
        <v>55</v>
      </c>
      <c r="O173" s="115" t="s">
        <v>56</v>
      </c>
      <c r="P173" s="45" t="s">
        <v>665</v>
      </c>
      <c r="Q173" s="44"/>
    </row>
    <row r="174" ht="39.75" customHeight="1">
      <c r="A174" s="94" t="s">
        <v>667</v>
      </c>
      <c r="B174" s="96" t="s">
        <v>51</v>
      </c>
      <c r="C174" s="94" t="s">
        <v>282</v>
      </c>
      <c r="D174" s="97">
        <v>1.0</v>
      </c>
      <c r="E174" s="97" t="s">
        <v>146</v>
      </c>
      <c r="F174" s="97" t="s">
        <v>148</v>
      </c>
      <c r="G174" s="97" t="s">
        <v>149</v>
      </c>
      <c r="H174" s="97" t="s">
        <v>151</v>
      </c>
      <c r="I174" s="96"/>
      <c r="J174" s="100" t="s">
        <v>284</v>
      </c>
      <c r="K174" s="101" t="s">
        <v>285</v>
      </c>
      <c r="L174" s="165" t="s">
        <v>192</v>
      </c>
      <c r="M174" s="50" t="s">
        <v>64</v>
      </c>
      <c r="N174" s="43" t="s">
        <v>55</v>
      </c>
      <c r="O174" s="105" t="s">
        <v>68</v>
      </c>
      <c r="P174" s="101" t="s">
        <v>550</v>
      </c>
      <c r="Q174" s="107" t="s">
        <v>669</v>
      </c>
    </row>
    <row r="175" ht="39.75" customHeight="1">
      <c r="A175" s="73" t="s">
        <v>670</v>
      </c>
      <c r="B175" s="75" t="s">
        <v>51</v>
      </c>
      <c r="C175" s="73" t="s">
        <v>282</v>
      </c>
      <c r="D175" s="77">
        <v>1.0</v>
      </c>
      <c r="E175" s="77" t="s">
        <v>146</v>
      </c>
      <c r="F175" s="77" t="s">
        <v>148</v>
      </c>
      <c r="G175" s="77" t="s">
        <v>149</v>
      </c>
      <c r="H175" s="77" t="s">
        <v>151</v>
      </c>
      <c r="I175" s="75"/>
      <c r="J175" s="81" t="s">
        <v>284</v>
      </c>
      <c r="K175" s="45" t="s">
        <v>285</v>
      </c>
      <c r="L175" s="137" t="s">
        <v>164</v>
      </c>
      <c r="M175" s="50" t="s">
        <v>64</v>
      </c>
      <c r="N175" s="43" t="s">
        <v>55</v>
      </c>
      <c r="O175" s="59" t="s">
        <v>68</v>
      </c>
      <c r="P175" s="45" t="s">
        <v>550</v>
      </c>
      <c r="Q175" s="44" t="s">
        <v>552</v>
      </c>
    </row>
    <row r="176" ht="39.75" customHeight="1">
      <c r="A176" s="94" t="s">
        <v>674</v>
      </c>
      <c r="B176" s="96" t="s">
        <v>51</v>
      </c>
      <c r="C176" s="94" t="s">
        <v>282</v>
      </c>
      <c r="D176" s="97">
        <v>1.0</v>
      </c>
      <c r="E176" s="97" t="s">
        <v>146</v>
      </c>
      <c r="F176" s="97" t="s">
        <v>148</v>
      </c>
      <c r="G176" s="97" t="s">
        <v>149</v>
      </c>
      <c r="H176" s="97" t="s">
        <v>151</v>
      </c>
      <c r="I176" s="96"/>
      <c r="J176" s="100" t="s">
        <v>284</v>
      </c>
      <c r="K176" s="101" t="s">
        <v>285</v>
      </c>
      <c r="L176" s="153" t="s">
        <v>210</v>
      </c>
      <c r="M176" s="138" t="s">
        <v>199</v>
      </c>
      <c r="N176" s="43" t="s">
        <v>55</v>
      </c>
      <c r="O176" s="105" t="s">
        <v>68</v>
      </c>
      <c r="P176" s="101" t="s">
        <v>550</v>
      </c>
      <c r="Q176" s="107" t="s">
        <v>678</v>
      </c>
    </row>
    <row r="177" ht="30.0" hidden="1" customHeight="1">
      <c r="A177" s="73" t="s">
        <v>541</v>
      </c>
      <c r="B177" s="75" t="s">
        <v>51</v>
      </c>
      <c r="C177" s="73" t="s">
        <v>287</v>
      </c>
      <c r="D177" s="77">
        <v>2.0</v>
      </c>
      <c r="E177" s="77" t="s">
        <v>146</v>
      </c>
      <c r="F177" s="77" t="s">
        <v>148</v>
      </c>
      <c r="G177" s="77" t="s">
        <v>149</v>
      </c>
      <c r="H177" s="77" t="s">
        <v>151</v>
      </c>
      <c r="I177" s="75"/>
      <c r="J177" s="81" t="s">
        <v>284</v>
      </c>
      <c r="K177" s="45" t="s">
        <v>285</v>
      </c>
      <c r="L177" s="166" t="s">
        <v>154</v>
      </c>
      <c r="M177" s="149" t="s">
        <v>503</v>
      </c>
      <c r="N177" s="150" t="s">
        <v>35</v>
      </c>
      <c r="O177" s="115" t="s">
        <v>56</v>
      </c>
      <c r="P177" s="45" t="s">
        <v>543</v>
      </c>
      <c r="Q177" s="44" t="s">
        <v>544</v>
      </c>
    </row>
    <row r="178" ht="39.75" hidden="1" customHeight="1">
      <c r="A178" s="94" t="s">
        <v>548</v>
      </c>
      <c r="B178" s="96" t="s">
        <v>51</v>
      </c>
      <c r="C178" s="94" t="s">
        <v>287</v>
      </c>
      <c r="D178" s="97">
        <v>2.0</v>
      </c>
      <c r="E178" s="97" t="s">
        <v>146</v>
      </c>
      <c r="F178" s="97" t="s">
        <v>148</v>
      </c>
      <c r="G178" s="97" t="s">
        <v>149</v>
      </c>
      <c r="H178" s="97" t="s">
        <v>151</v>
      </c>
      <c r="I178" s="96"/>
      <c r="J178" s="100" t="s">
        <v>284</v>
      </c>
      <c r="K178" s="101" t="s">
        <v>285</v>
      </c>
      <c r="L178" s="137" t="s">
        <v>164</v>
      </c>
      <c r="M178" s="50" t="s">
        <v>64</v>
      </c>
      <c r="N178" s="43" t="s">
        <v>55</v>
      </c>
      <c r="O178" s="105" t="s">
        <v>68</v>
      </c>
      <c r="P178" s="101" t="s">
        <v>550</v>
      </c>
      <c r="Q178" s="107" t="s">
        <v>552</v>
      </c>
    </row>
    <row r="179" ht="39.75" hidden="1" customHeight="1">
      <c r="A179" s="73" t="s">
        <v>559</v>
      </c>
      <c r="B179" s="75" t="s">
        <v>51</v>
      </c>
      <c r="C179" s="73" t="s">
        <v>287</v>
      </c>
      <c r="D179" s="77">
        <v>2.0</v>
      </c>
      <c r="E179" s="77" t="s">
        <v>146</v>
      </c>
      <c r="F179" s="77" t="s">
        <v>148</v>
      </c>
      <c r="G179" s="77" t="s">
        <v>149</v>
      </c>
      <c r="H179" s="77" t="s">
        <v>151</v>
      </c>
      <c r="I179" s="75"/>
      <c r="J179" s="81" t="s">
        <v>284</v>
      </c>
      <c r="K179" s="45" t="s">
        <v>285</v>
      </c>
      <c r="L179" s="148" t="s">
        <v>199</v>
      </c>
      <c r="M179" s="50" t="s">
        <v>64</v>
      </c>
      <c r="N179" s="43" t="s">
        <v>55</v>
      </c>
      <c r="O179" s="59" t="s">
        <v>68</v>
      </c>
      <c r="P179" s="45" t="s">
        <v>550</v>
      </c>
      <c r="Q179" s="44" t="s">
        <v>552</v>
      </c>
    </row>
    <row r="180" ht="30.0" hidden="1" customHeight="1">
      <c r="A180" s="94" t="s">
        <v>564</v>
      </c>
      <c r="B180" s="96" t="s">
        <v>51</v>
      </c>
      <c r="C180" s="94" t="s">
        <v>287</v>
      </c>
      <c r="D180" s="97">
        <v>2.0</v>
      </c>
      <c r="E180" s="97" t="s">
        <v>146</v>
      </c>
      <c r="F180" s="97" t="s">
        <v>148</v>
      </c>
      <c r="G180" s="97" t="s">
        <v>149</v>
      </c>
      <c r="H180" s="97" t="s">
        <v>151</v>
      </c>
      <c r="I180" s="96"/>
      <c r="J180" s="100" t="s">
        <v>284</v>
      </c>
      <c r="K180" s="101" t="s">
        <v>285</v>
      </c>
      <c r="L180" s="140" t="s">
        <v>52</v>
      </c>
      <c r="M180" s="49" t="s">
        <v>63</v>
      </c>
      <c r="N180" s="43" t="s">
        <v>55</v>
      </c>
      <c r="O180" s="124" t="s">
        <v>56</v>
      </c>
      <c r="P180" s="101" t="s">
        <v>566</v>
      </c>
      <c r="Q180" s="107"/>
    </row>
    <row r="181" ht="30.0" hidden="1" customHeight="1">
      <c r="A181" s="73" t="s">
        <v>575</v>
      </c>
      <c r="B181" s="75" t="s">
        <v>51</v>
      </c>
      <c r="C181" s="73" t="s">
        <v>287</v>
      </c>
      <c r="D181" s="77">
        <v>2.0</v>
      </c>
      <c r="E181" s="77" t="s">
        <v>146</v>
      </c>
      <c r="F181" s="77" t="s">
        <v>148</v>
      </c>
      <c r="G181" s="77" t="s">
        <v>149</v>
      </c>
      <c r="H181" s="77" t="s">
        <v>151</v>
      </c>
      <c r="I181" s="75"/>
      <c r="J181" s="81" t="s">
        <v>284</v>
      </c>
      <c r="K181" s="45" t="s">
        <v>285</v>
      </c>
      <c r="L181" s="125" t="s">
        <v>92</v>
      </c>
      <c r="M181" s="41" t="s">
        <v>52</v>
      </c>
      <c r="N181" s="43" t="s">
        <v>55</v>
      </c>
      <c r="O181" s="115" t="s">
        <v>56</v>
      </c>
      <c r="P181" s="45" t="s">
        <v>577</v>
      </c>
      <c r="Q181" s="44"/>
    </row>
    <row r="182" ht="30.0" hidden="1" customHeight="1">
      <c r="A182" s="94" t="s">
        <v>585</v>
      </c>
      <c r="B182" s="96" t="s">
        <v>51</v>
      </c>
      <c r="C182" s="94" t="s">
        <v>287</v>
      </c>
      <c r="D182" s="97">
        <v>2.0</v>
      </c>
      <c r="E182" s="97" t="s">
        <v>146</v>
      </c>
      <c r="F182" s="97" t="s">
        <v>148</v>
      </c>
      <c r="G182" s="97" t="s">
        <v>149</v>
      </c>
      <c r="H182" s="97" t="s">
        <v>151</v>
      </c>
      <c r="I182" s="96"/>
      <c r="J182" s="100" t="s">
        <v>284</v>
      </c>
      <c r="K182" s="101" t="s">
        <v>285</v>
      </c>
      <c r="L182" s="140" t="s">
        <v>52</v>
      </c>
      <c r="M182" s="49" t="s">
        <v>63</v>
      </c>
      <c r="N182" s="43" t="s">
        <v>55</v>
      </c>
      <c r="O182" s="124" t="s">
        <v>56</v>
      </c>
      <c r="P182" s="101" t="s">
        <v>587</v>
      </c>
      <c r="Q182" s="107"/>
    </row>
    <row r="183" ht="39.75" hidden="1" customHeight="1">
      <c r="A183" s="73" t="s">
        <v>592</v>
      </c>
      <c r="B183" s="75" t="s">
        <v>51</v>
      </c>
      <c r="C183" s="73" t="s">
        <v>287</v>
      </c>
      <c r="D183" s="77">
        <v>2.0</v>
      </c>
      <c r="E183" s="77" t="s">
        <v>146</v>
      </c>
      <c r="F183" s="77" t="s">
        <v>148</v>
      </c>
      <c r="G183" s="77" t="s">
        <v>149</v>
      </c>
      <c r="H183" s="77" t="s">
        <v>151</v>
      </c>
      <c r="I183" s="75"/>
      <c r="J183" s="81" t="s">
        <v>284</v>
      </c>
      <c r="K183" s="45" t="s">
        <v>285</v>
      </c>
      <c r="L183" s="127" t="s">
        <v>64</v>
      </c>
      <c r="M183" s="86" t="s">
        <v>164</v>
      </c>
      <c r="N183" s="43" t="s">
        <v>55</v>
      </c>
      <c r="O183" s="59" t="s">
        <v>68</v>
      </c>
      <c r="P183" s="45" t="s">
        <v>550</v>
      </c>
      <c r="Q183" s="44" t="s">
        <v>552</v>
      </c>
    </row>
    <row r="184" ht="39.75" hidden="1" customHeight="1">
      <c r="A184" s="94" t="s">
        <v>598</v>
      </c>
      <c r="B184" s="96" t="s">
        <v>51</v>
      </c>
      <c r="C184" s="94" t="s">
        <v>287</v>
      </c>
      <c r="D184" s="97">
        <v>2.0</v>
      </c>
      <c r="E184" s="97" t="s">
        <v>146</v>
      </c>
      <c r="F184" s="97" t="s">
        <v>148</v>
      </c>
      <c r="G184" s="97" t="s">
        <v>149</v>
      </c>
      <c r="H184" s="97" t="s">
        <v>151</v>
      </c>
      <c r="I184" s="96"/>
      <c r="J184" s="100" t="s">
        <v>284</v>
      </c>
      <c r="K184" s="101" t="s">
        <v>285</v>
      </c>
      <c r="L184" s="167" t="s">
        <v>201</v>
      </c>
      <c r="M184" s="49" t="s">
        <v>63</v>
      </c>
      <c r="N184" s="43" t="s">
        <v>55</v>
      </c>
      <c r="O184" s="105" t="s">
        <v>68</v>
      </c>
      <c r="P184" s="101" t="s">
        <v>550</v>
      </c>
      <c r="Q184" s="107" t="s">
        <v>552</v>
      </c>
    </row>
    <row r="185" ht="30.0" hidden="1" customHeight="1">
      <c r="A185" s="73" t="s">
        <v>610</v>
      </c>
      <c r="B185" s="75" t="s">
        <v>51</v>
      </c>
      <c r="C185" s="73" t="s">
        <v>287</v>
      </c>
      <c r="D185" s="77">
        <v>2.0</v>
      </c>
      <c r="E185" s="77" t="s">
        <v>146</v>
      </c>
      <c r="F185" s="77" t="s">
        <v>148</v>
      </c>
      <c r="G185" s="77" t="s">
        <v>149</v>
      </c>
      <c r="H185" s="77" t="s">
        <v>151</v>
      </c>
      <c r="I185" s="75"/>
      <c r="J185" s="81" t="s">
        <v>284</v>
      </c>
      <c r="K185" s="45" t="s">
        <v>285</v>
      </c>
      <c r="L185" s="125" t="s">
        <v>92</v>
      </c>
      <c r="M185" s="50" t="s">
        <v>64</v>
      </c>
      <c r="N185" s="43" t="s">
        <v>55</v>
      </c>
      <c r="O185" s="115" t="s">
        <v>144</v>
      </c>
      <c r="P185" s="45" t="s">
        <v>612</v>
      </c>
      <c r="Q185" s="44" t="s">
        <v>613</v>
      </c>
    </row>
    <row r="186" ht="39.75" hidden="1" customHeight="1">
      <c r="A186" s="94" t="s">
        <v>649</v>
      </c>
      <c r="B186" s="96" t="s">
        <v>51</v>
      </c>
      <c r="C186" s="94" t="s">
        <v>287</v>
      </c>
      <c r="D186" s="97">
        <v>2.0</v>
      </c>
      <c r="E186" s="97" t="s">
        <v>146</v>
      </c>
      <c r="F186" s="97" t="s">
        <v>148</v>
      </c>
      <c r="G186" s="97" t="s">
        <v>149</v>
      </c>
      <c r="H186" s="97" t="s">
        <v>151</v>
      </c>
      <c r="I186" s="96"/>
      <c r="J186" s="100" t="s">
        <v>284</v>
      </c>
      <c r="K186" s="101" t="s">
        <v>285</v>
      </c>
      <c r="L186" s="125" t="s">
        <v>92</v>
      </c>
      <c r="M186" s="41" t="s">
        <v>52</v>
      </c>
      <c r="N186" s="43" t="s">
        <v>55</v>
      </c>
      <c r="O186" s="105" t="s">
        <v>68</v>
      </c>
      <c r="P186" s="101" t="s">
        <v>550</v>
      </c>
      <c r="Q186" s="107" t="s">
        <v>552</v>
      </c>
    </row>
    <row r="187" ht="30.0" hidden="1" customHeight="1">
      <c r="A187" s="73" t="s">
        <v>654</v>
      </c>
      <c r="B187" s="75" t="s">
        <v>51</v>
      </c>
      <c r="C187" s="73" t="s">
        <v>287</v>
      </c>
      <c r="D187" s="77">
        <v>2.0</v>
      </c>
      <c r="E187" s="77" t="s">
        <v>146</v>
      </c>
      <c r="F187" s="77" t="s">
        <v>148</v>
      </c>
      <c r="G187" s="77" t="s">
        <v>149</v>
      </c>
      <c r="H187" s="77" t="s">
        <v>151</v>
      </c>
      <c r="I187" s="75"/>
      <c r="J187" s="81" t="s">
        <v>284</v>
      </c>
      <c r="K187" s="45" t="s">
        <v>285</v>
      </c>
      <c r="L187" s="140" t="s">
        <v>52</v>
      </c>
      <c r="M187" s="62" t="s">
        <v>92</v>
      </c>
      <c r="N187" s="43" t="s">
        <v>55</v>
      </c>
      <c r="O187" s="115" t="s">
        <v>56</v>
      </c>
      <c r="P187" s="45" t="s">
        <v>657</v>
      </c>
      <c r="Q187" s="44"/>
    </row>
    <row r="188" ht="30.0" hidden="1" customHeight="1">
      <c r="A188" s="94" t="s">
        <v>679</v>
      </c>
      <c r="B188" s="96" t="s">
        <v>51</v>
      </c>
      <c r="C188" s="94" t="s">
        <v>287</v>
      </c>
      <c r="D188" s="97">
        <v>2.0</v>
      </c>
      <c r="E188" s="97" t="s">
        <v>146</v>
      </c>
      <c r="F188" s="97" t="s">
        <v>148</v>
      </c>
      <c r="G188" s="97" t="s">
        <v>149</v>
      </c>
      <c r="H188" s="97" t="s">
        <v>151</v>
      </c>
      <c r="I188" s="96"/>
      <c r="J188" s="100" t="s">
        <v>284</v>
      </c>
      <c r="K188" s="101" t="s">
        <v>285</v>
      </c>
      <c r="L188" s="127" t="s">
        <v>64</v>
      </c>
      <c r="M188" s="49" t="s">
        <v>63</v>
      </c>
      <c r="N188" s="43" t="s">
        <v>55</v>
      </c>
      <c r="O188" s="124" t="s">
        <v>56</v>
      </c>
      <c r="P188" s="101" t="s">
        <v>681</v>
      </c>
      <c r="Q188" s="107"/>
    </row>
    <row r="189" ht="39.75" hidden="1" customHeight="1">
      <c r="A189" s="73" t="s">
        <v>682</v>
      </c>
      <c r="B189" s="75" t="s">
        <v>51</v>
      </c>
      <c r="C189" s="73" t="s">
        <v>287</v>
      </c>
      <c r="D189" s="77">
        <v>2.0</v>
      </c>
      <c r="E189" s="77" t="s">
        <v>146</v>
      </c>
      <c r="F189" s="77" t="s">
        <v>148</v>
      </c>
      <c r="G189" s="77" t="s">
        <v>149</v>
      </c>
      <c r="H189" s="77" t="s">
        <v>151</v>
      </c>
      <c r="I189" s="75"/>
      <c r="J189" s="81" t="s">
        <v>284</v>
      </c>
      <c r="K189" s="45" t="s">
        <v>285</v>
      </c>
      <c r="L189" s="140" t="s">
        <v>52</v>
      </c>
      <c r="M189" s="62" t="s">
        <v>92</v>
      </c>
      <c r="N189" s="43" t="s">
        <v>55</v>
      </c>
      <c r="O189" s="59" t="s">
        <v>68</v>
      </c>
      <c r="P189" s="45" t="s">
        <v>550</v>
      </c>
      <c r="Q189" s="44" t="s">
        <v>552</v>
      </c>
    </row>
    <row r="190" ht="39.75" hidden="1" customHeight="1">
      <c r="A190" s="94" t="s">
        <v>697</v>
      </c>
      <c r="B190" s="96" t="s">
        <v>51</v>
      </c>
      <c r="C190" s="94" t="s">
        <v>287</v>
      </c>
      <c r="D190" s="97">
        <v>2.0</v>
      </c>
      <c r="E190" s="97" t="s">
        <v>146</v>
      </c>
      <c r="F190" s="97" t="s">
        <v>148</v>
      </c>
      <c r="G190" s="97" t="s">
        <v>149</v>
      </c>
      <c r="H190" s="97" t="s">
        <v>151</v>
      </c>
      <c r="I190" s="96"/>
      <c r="J190" s="100" t="s">
        <v>284</v>
      </c>
      <c r="K190" s="101" t="s">
        <v>285</v>
      </c>
      <c r="L190" s="127" t="s">
        <v>64</v>
      </c>
      <c r="M190" s="49" t="s">
        <v>63</v>
      </c>
      <c r="N190" s="43" t="s">
        <v>55</v>
      </c>
      <c r="O190" s="105" t="s">
        <v>68</v>
      </c>
      <c r="P190" s="101" t="s">
        <v>550</v>
      </c>
      <c r="Q190" s="107" t="s">
        <v>552</v>
      </c>
    </row>
    <row r="191" ht="39.75" hidden="1" customHeight="1">
      <c r="A191" s="73" t="s">
        <v>698</v>
      </c>
      <c r="B191" s="75" t="s">
        <v>51</v>
      </c>
      <c r="C191" s="73" t="s">
        <v>287</v>
      </c>
      <c r="D191" s="77">
        <v>2.0</v>
      </c>
      <c r="E191" s="77" t="s">
        <v>146</v>
      </c>
      <c r="F191" s="77" t="s">
        <v>148</v>
      </c>
      <c r="G191" s="77" t="s">
        <v>149</v>
      </c>
      <c r="H191" s="77" t="s">
        <v>151</v>
      </c>
      <c r="I191" s="75"/>
      <c r="J191" s="81" t="s">
        <v>284</v>
      </c>
      <c r="K191" s="45" t="s">
        <v>285</v>
      </c>
      <c r="L191" s="168" t="s">
        <v>212</v>
      </c>
      <c r="M191" s="86" t="s">
        <v>164</v>
      </c>
      <c r="N191" s="43" t="s">
        <v>55</v>
      </c>
      <c r="O191" s="59" t="s">
        <v>68</v>
      </c>
      <c r="P191" s="45" t="s">
        <v>550</v>
      </c>
      <c r="Q191" s="44" t="s">
        <v>552</v>
      </c>
    </row>
    <row r="192" ht="39.75" hidden="1" customHeight="1">
      <c r="A192" s="94" t="s">
        <v>718</v>
      </c>
      <c r="B192" s="96" t="s">
        <v>51</v>
      </c>
      <c r="C192" s="94" t="s">
        <v>287</v>
      </c>
      <c r="D192" s="97">
        <v>2.0</v>
      </c>
      <c r="E192" s="97" t="s">
        <v>146</v>
      </c>
      <c r="F192" s="97" t="s">
        <v>148</v>
      </c>
      <c r="G192" s="97" t="s">
        <v>149</v>
      </c>
      <c r="H192" s="97" t="s">
        <v>151</v>
      </c>
      <c r="I192" s="96"/>
      <c r="J192" s="100" t="s">
        <v>284</v>
      </c>
      <c r="K192" s="101" t="s">
        <v>285</v>
      </c>
      <c r="L192" s="137" t="s">
        <v>164</v>
      </c>
      <c r="M192" s="62" t="s">
        <v>92</v>
      </c>
      <c r="N192" s="43" t="s">
        <v>55</v>
      </c>
      <c r="O192" s="105" t="s">
        <v>68</v>
      </c>
      <c r="P192" s="101" t="s">
        <v>550</v>
      </c>
      <c r="Q192" s="107" t="s">
        <v>552</v>
      </c>
    </row>
    <row r="193" ht="39.75" hidden="1" customHeight="1">
      <c r="A193" s="73" t="s">
        <v>732</v>
      </c>
      <c r="B193" s="75" t="s">
        <v>51</v>
      </c>
      <c r="C193" s="73" t="s">
        <v>287</v>
      </c>
      <c r="D193" s="77">
        <v>2.0</v>
      </c>
      <c r="E193" s="77" t="s">
        <v>146</v>
      </c>
      <c r="F193" s="77" t="s">
        <v>148</v>
      </c>
      <c r="G193" s="77" t="s">
        <v>149</v>
      </c>
      <c r="H193" s="77" t="s">
        <v>151</v>
      </c>
      <c r="I193" s="75"/>
      <c r="J193" s="81" t="s">
        <v>284</v>
      </c>
      <c r="K193" s="45" t="s">
        <v>285</v>
      </c>
      <c r="L193" s="125" t="s">
        <v>92</v>
      </c>
      <c r="M193" s="50" t="s">
        <v>64</v>
      </c>
      <c r="N193" s="43" t="s">
        <v>55</v>
      </c>
      <c r="O193" s="59" t="s">
        <v>68</v>
      </c>
      <c r="P193" s="45" t="s">
        <v>550</v>
      </c>
      <c r="Q193" s="44" t="s">
        <v>737</v>
      </c>
    </row>
    <row r="194" ht="30.0" hidden="1" customHeight="1">
      <c r="A194" s="94" t="s">
        <v>738</v>
      </c>
      <c r="B194" s="96" t="s">
        <v>51</v>
      </c>
      <c r="C194" s="94" t="s">
        <v>287</v>
      </c>
      <c r="D194" s="97">
        <v>2.0</v>
      </c>
      <c r="E194" s="97" t="s">
        <v>146</v>
      </c>
      <c r="F194" s="97" t="s">
        <v>148</v>
      </c>
      <c r="G194" s="97" t="s">
        <v>149</v>
      </c>
      <c r="H194" s="97" t="s">
        <v>151</v>
      </c>
      <c r="I194" s="96"/>
      <c r="J194" s="100" t="s">
        <v>284</v>
      </c>
      <c r="K194" s="101" t="s">
        <v>285</v>
      </c>
      <c r="L194" s="127" t="s">
        <v>64</v>
      </c>
      <c r="M194" s="49" t="s">
        <v>63</v>
      </c>
      <c r="N194" s="43" t="s">
        <v>55</v>
      </c>
      <c r="O194" s="124" t="s">
        <v>56</v>
      </c>
      <c r="P194" s="101" t="s">
        <v>770</v>
      </c>
      <c r="Q194" s="107"/>
    </row>
    <row r="195" ht="39.75" hidden="1" customHeight="1">
      <c r="A195" s="73" t="s">
        <v>777</v>
      </c>
      <c r="B195" s="75" t="s">
        <v>51</v>
      </c>
      <c r="C195" s="73" t="s">
        <v>287</v>
      </c>
      <c r="D195" s="77">
        <v>2.0</v>
      </c>
      <c r="E195" s="77" t="s">
        <v>146</v>
      </c>
      <c r="F195" s="77" t="s">
        <v>148</v>
      </c>
      <c r="G195" s="77" t="s">
        <v>149</v>
      </c>
      <c r="H195" s="77" t="s">
        <v>151</v>
      </c>
      <c r="I195" s="75"/>
      <c r="J195" s="81" t="s">
        <v>284</v>
      </c>
      <c r="K195" s="45" t="s">
        <v>285</v>
      </c>
      <c r="L195" s="88" t="s">
        <v>63</v>
      </c>
      <c r="M195" s="50" t="s">
        <v>64</v>
      </c>
      <c r="N195" s="43" t="s">
        <v>55</v>
      </c>
      <c r="O195" s="59" t="s">
        <v>68</v>
      </c>
      <c r="P195" s="45" t="s">
        <v>550</v>
      </c>
      <c r="Q195" s="44" t="s">
        <v>552</v>
      </c>
    </row>
    <row r="196" ht="30.0" hidden="1" customHeight="1">
      <c r="A196" s="94" t="s">
        <v>786</v>
      </c>
      <c r="B196" s="96" t="s">
        <v>51</v>
      </c>
      <c r="C196" s="94" t="s">
        <v>287</v>
      </c>
      <c r="D196" s="97">
        <v>2.0</v>
      </c>
      <c r="E196" s="97" t="s">
        <v>146</v>
      </c>
      <c r="F196" s="97" t="s">
        <v>148</v>
      </c>
      <c r="G196" s="97" t="s">
        <v>149</v>
      </c>
      <c r="H196" s="97" t="s">
        <v>151</v>
      </c>
      <c r="I196" s="96"/>
      <c r="J196" s="100" t="s">
        <v>284</v>
      </c>
      <c r="K196" s="101" t="s">
        <v>285</v>
      </c>
      <c r="L196" s="127" t="s">
        <v>64</v>
      </c>
      <c r="M196" s="57" t="s">
        <v>78</v>
      </c>
      <c r="N196" s="43" t="s">
        <v>55</v>
      </c>
      <c r="O196" s="124" t="s">
        <v>56</v>
      </c>
      <c r="P196" s="101" t="s">
        <v>793</v>
      </c>
      <c r="Q196" s="107"/>
    </row>
    <row r="197" ht="31.5" hidden="1" customHeight="1">
      <c r="A197" s="73" t="s">
        <v>534</v>
      </c>
      <c r="B197" s="75" t="s">
        <v>51</v>
      </c>
      <c r="C197" s="73" t="s">
        <v>288</v>
      </c>
      <c r="D197" s="77">
        <v>3.0</v>
      </c>
      <c r="E197" s="77" t="s">
        <v>798</v>
      </c>
      <c r="F197" s="77" t="s">
        <v>148</v>
      </c>
      <c r="G197" s="77" t="s">
        <v>149</v>
      </c>
      <c r="H197" s="77" t="s">
        <v>151</v>
      </c>
      <c r="I197" s="75"/>
      <c r="J197" s="81" t="s">
        <v>292</v>
      </c>
      <c r="K197" s="45" t="s">
        <v>293</v>
      </c>
      <c r="L197" s="125" t="s">
        <v>92</v>
      </c>
      <c r="M197" s="57" t="s">
        <v>78</v>
      </c>
      <c r="N197" s="43" t="s">
        <v>55</v>
      </c>
      <c r="O197" s="115" t="s">
        <v>56</v>
      </c>
      <c r="P197" s="45" t="s">
        <v>536</v>
      </c>
      <c r="Q197" s="44"/>
    </row>
    <row r="198" ht="31.5" hidden="1" customHeight="1">
      <c r="A198" s="94" t="s">
        <v>537</v>
      </c>
      <c r="B198" s="96" t="s">
        <v>51</v>
      </c>
      <c r="C198" s="94" t="s">
        <v>288</v>
      </c>
      <c r="D198" s="97">
        <v>3.0</v>
      </c>
      <c r="E198" s="97" t="s">
        <v>798</v>
      </c>
      <c r="F198" s="97" t="s">
        <v>148</v>
      </c>
      <c r="G198" s="97" t="s">
        <v>149</v>
      </c>
      <c r="H198" s="97" t="s">
        <v>151</v>
      </c>
      <c r="I198" s="96"/>
      <c r="J198" s="100" t="s">
        <v>292</v>
      </c>
      <c r="K198" s="101" t="s">
        <v>293</v>
      </c>
      <c r="L198" s="153" t="s">
        <v>210</v>
      </c>
      <c r="M198" s="62" t="s">
        <v>92</v>
      </c>
      <c r="N198" s="43" t="s">
        <v>55</v>
      </c>
      <c r="O198" s="124" t="s">
        <v>56</v>
      </c>
      <c r="P198" s="101" t="s">
        <v>539</v>
      </c>
      <c r="Q198" s="107"/>
    </row>
    <row r="199" ht="31.5" hidden="1" customHeight="1">
      <c r="A199" s="73" t="s">
        <v>545</v>
      </c>
      <c r="B199" s="75" t="s">
        <v>51</v>
      </c>
      <c r="C199" s="73" t="s">
        <v>288</v>
      </c>
      <c r="D199" s="77">
        <v>3.0</v>
      </c>
      <c r="E199" s="77" t="s">
        <v>798</v>
      </c>
      <c r="F199" s="77" t="s">
        <v>148</v>
      </c>
      <c r="G199" s="77" t="s">
        <v>149</v>
      </c>
      <c r="H199" s="77" t="s">
        <v>151</v>
      </c>
      <c r="I199" s="75"/>
      <c r="J199" s="81" t="s">
        <v>292</v>
      </c>
      <c r="K199" s="45" t="s">
        <v>293</v>
      </c>
      <c r="L199" s="140" t="s">
        <v>52</v>
      </c>
      <c r="M199" s="57" t="s">
        <v>78</v>
      </c>
      <c r="N199" s="43" t="s">
        <v>55</v>
      </c>
      <c r="O199" s="115" t="s">
        <v>56</v>
      </c>
      <c r="P199" s="45" t="s">
        <v>547</v>
      </c>
      <c r="Q199" s="44"/>
    </row>
    <row r="200" ht="31.5" hidden="1" customHeight="1">
      <c r="A200" s="94" t="s">
        <v>572</v>
      </c>
      <c r="B200" s="96" t="s">
        <v>51</v>
      </c>
      <c r="C200" s="94" t="s">
        <v>288</v>
      </c>
      <c r="D200" s="97">
        <v>3.0</v>
      </c>
      <c r="E200" s="97" t="s">
        <v>798</v>
      </c>
      <c r="F200" s="97" t="s">
        <v>148</v>
      </c>
      <c r="G200" s="97" t="s">
        <v>149</v>
      </c>
      <c r="H200" s="97" t="s">
        <v>151</v>
      </c>
      <c r="I200" s="96"/>
      <c r="J200" s="100" t="s">
        <v>292</v>
      </c>
      <c r="K200" s="101" t="s">
        <v>293</v>
      </c>
      <c r="L200" s="127" t="s">
        <v>64</v>
      </c>
      <c r="M200" s="49" t="s">
        <v>63</v>
      </c>
      <c r="N200" s="43" t="s">
        <v>55</v>
      </c>
      <c r="O200" s="124" t="s">
        <v>56</v>
      </c>
      <c r="P200" s="101" t="s">
        <v>574</v>
      </c>
      <c r="Q200" s="107"/>
    </row>
    <row r="201" ht="31.5" hidden="1" customHeight="1">
      <c r="A201" s="73" t="s">
        <v>593</v>
      </c>
      <c r="B201" s="75" t="s">
        <v>51</v>
      </c>
      <c r="C201" s="73" t="s">
        <v>288</v>
      </c>
      <c r="D201" s="77">
        <v>3.0</v>
      </c>
      <c r="E201" s="77" t="s">
        <v>798</v>
      </c>
      <c r="F201" s="77" t="s">
        <v>148</v>
      </c>
      <c r="G201" s="77" t="s">
        <v>149</v>
      </c>
      <c r="H201" s="77" t="s">
        <v>151</v>
      </c>
      <c r="I201" s="75"/>
      <c r="J201" s="81" t="s">
        <v>292</v>
      </c>
      <c r="K201" s="45" t="s">
        <v>293</v>
      </c>
      <c r="L201" s="165" t="s">
        <v>192</v>
      </c>
      <c r="M201" s="149" t="s">
        <v>503</v>
      </c>
      <c r="N201" s="150" t="s">
        <v>35</v>
      </c>
      <c r="O201" s="115" t="s">
        <v>56</v>
      </c>
      <c r="P201" s="45" t="s">
        <v>595</v>
      </c>
      <c r="Q201" s="44" t="s">
        <v>544</v>
      </c>
    </row>
    <row r="202" ht="31.5" hidden="1" customHeight="1">
      <c r="A202" s="94" t="s">
        <v>602</v>
      </c>
      <c r="B202" s="96" t="s">
        <v>51</v>
      </c>
      <c r="C202" s="94" t="s">
        <v>288</v>
      </c>
      <c r="D202" s="97">
        <v>3.0</v>
      </c>
      <c r="E202" s="97" t="s">
        <v>798</v>
      </c>
      <c r="F202" s="97" t="s">
        <v>148</v>
      </c>
      <c r="G202" s="97" t="s">
        <v>149</v>
      </c>
      <c r="H202" s="97" t="s">
        <v>151</v>
      </c>
      <c r="I202" s="96"/>
      <c r="J202" s="100" t="s">
        <v>292</v>
      </c>
      <c r="K202" s="101" t="s">
        <v>293</v>
      </c>
      <c r="L202" s="125" t="s">
        <v>92</v>
      </c>
      <c r="M202" s="50" t="s">
        <v>64</v>
      </c>
      <c r="N202" s="43" t="s">
        <v>55</v>
      </c>
      <c r="O202" s="124" t="s">
        <v>173</v>
      </c>
      <c r="P202" s="101" t="s">
        <v>604</v>
      </c>
      <c r="Q202" s="107" t="s">
        <v>605</v>
      </c>
    </row>
    <row r="203" ht="31.5" hidden="1" customHeight="1">
      <c r="A203" s="73" t="s">
        <v>606</v>
      </c>
      <c r="B203" s="75" t="s">
        <v>51</v>
      </c>
      <c r="C203" s="73" t="s">
        <v>288</v>
      </c>
      <c r="D203" s="77">
        <v>3.0</v>
      </c>
      <c r="E203" s="77" t="s">
        <v>798</v>
      </c>
      <c r="F203" s="77" t="s">
        <v>148</v>
      </c>
      <c r="G203" s="77" t="s">
        <v>149</v>
      </c>
      <c r="H203" s="77" t="s">
        <v>151</v>
      </c>
      <c r="I203" s="75"/>
      <c r="J203" s="81" t="s">
        <v>292</v>
      </c>
      <c r="K203" s="45" t="s">
        <v>293</v>
      </c>
      <c r="L203" s="168" t="s">
        <v>212</v>
      </c>
      <c r="M203" s="138" t="s">
        <v>199</v>
      </c>
      <c r="N203" s="43" t="s">
        <v>55</v>
      </c>
      <c r="O203" s="115" t="s">
        <v>56</v>
      </c>
      <c r="P203" s="45" t="s">
        <v>608</v>
      </c>
      <c r="Q203" s="44" t="s">
        <v>609</v>
      </c>
    </row>
    <row r="204" ht="39.75" hidden="1" customHeight="1">
      <c r="A204" s="94" t="s">
        <v>616</v>
      </c>
      <c r="B204" s="96" t="s">
        <v>51</v>
      </c>
      <c r="C204" s="94" t="s">
        <v>288</v>
      </c>
      <c r="D204" s="97">
        <v>3.0</v>
      </c>
      <c r="E204" s="97" t="s">
        <v>798</v>
      </c>
      <c r="F204" s="97" t="s">
        <v>148</v>
      </c>
      <c r="G204" s="97" t="s">
        <v>149</v>
      </c>
      <c r="H204" s="97" t="s">
        <v>151</v>
      </c>
      <c r="I204" s="96"/>
      <c r="J204" s="100" t="s">
        <v>292</v>
      </c>
      <c r="K204" s="101" t="s">
        <v>293</v>
      </c>
      <c r="L204" s="125" t="s">
        <v>92</v>
      </c>
      <c r="M204" s="144" t="s">
        <v>192</v>
      </c>
      <c r="N204" s="43" t="s">
        <v>55</v>
      </c>
      <c r="O204" s="124" t="s">
        <v>56</v>
      </c>
      <c r="P204" s="101" t="s">
        <v>618</v>
      </c>
      <c r="Q204" s="107" t="s">
        <v>619</v>
      </c>
    </row>
    <row r="205" ht="31.5" hidden="1" customHeight="1">
      <c r="A205" s="73" t="s">
        <v>628</v>
      </c>
      <c r="B205" s="75" t="s">
        <v>51</v>
      </c>
      <c r="C205" s="73" t="s">
        <v>288</v>
      </c>
      <c r="D205" s="77">
        <v>3.0</v>
      </c>
      <c r="E205" s="77" t="s">
        <v>798</v>
      </c>
      <c r="F205" s="77" t="s">
        <v>148</v>
      </c>
      <c r="G205" s="77" t="s">
        <v>149</v>
      </c>
      <c r="H205" s="77" t="s">
        <v>151</v>
      </c>
      <c r="I205" s="75"/>
      <c r="J205" s="81" t="s">
        <v>292</v>
      </c>
      <c r="K205" s="45" t="s">
        <v>293</v>
      </c>
      <c r="L205" s="127" t="s">
        <v>64</v>
      </c>
      <c r="M205" s="62" t="s">
        <v>92</v>
      </c>
      <c r="N205" s="43" t="s">
        <v>55</v>
      </c>
      <c r="O205" s="115" t="s">
        <v>56</v>
      </c>
      <c r="P205" s="45" t="s">
        <v>630</v>
      </c>
      <c r="Q205" s="44" t="s">
        <v>632</v>
      </c>
    </row>
    <row r="206" ht="39.75" hidden="1" customHeight="1">
      <c r="A206" s="94" t="s">
        <v>660</v>
      </c>
      <c r="B206" s="96" t="s">
        <v>51</v>
      </c>
      <c r="C206" s="94" t="s">
        <v>288</v>
      </c>
      <c r="D206" s="97">
        <v>3.0</v>
      </c>
      <c r="E206" s="97" t="s">
        <v>798</v>
      </c>
      <c r="F206" s="97" t="s">
        <v>148</v>
      </c>
      <c r="G206" s="97" t="s">
        <v>149</v>
      </c>
      <c r="H206" s="154" t="s">
        <v>466</v>
      </c>
      <c r="I206" s="96"/>
      <c r="J206" s="100" t="s">
        <v>292</v>
      </c>
      <c r="K206" s="101" t="s">
        <v>293</v>
      </c>
      <c r="L206" s="137" t="s">
        <v>164</v>
      </c>
      <c r="M206" s="50" t="s">
        <v>64</v>
      </c>
      <c r="N206" s="43" t="s">
        <v>55</v>
      </c>
      <c r="O206" s="105" t="s">
        <v>187</v>
      </c>
      <c r="P206" s="101" t="s">
        <v>550</v>
      </c>
      <c r="Q206" s="107" t="s">
        <v>662</v>
      </c>
    </row>
    <row r="207" ht="31.5" hidden="1" customHeight="1">
      <c r="A207" s="73" t="s">
        <v>668</v>
      </c>
      <c r="B207" s="75" t="s">
        <v>51</v>
      </c>
      <c r="C207" s="73" t="s">
        <v>288</v>
      </c>
      <c r="D207" s="77">
        <v>3.0</v>
      </c>
      <c r="E207" s="77" t="s">
        <v>798</v>
      </c>
      <c r="F207" s="77" t="s">
        <v>148</v>
      </c>
      <c r="G207" s="77" t="s">
        <v>149</v>
      </c>
      <c r="H207" s="77" t="s">
        <v>151</v>
      </c>
      <c r="I207" s="75"/>
      <c r="J207" s="81" t="s">
        <v>292</v>
      </c>
      <c r="K207" s="45" t="s">
        <v>293</v>
      </c>
      <c r="L207" s="125" t="s">
        <v>92</v>
      </c>
      <c r="M207" s="57" t="s">
        <v>78</v>
      </c>
      <c r="N207" s="43" t="s">
        <v>55</v>
      </c>
      <c r="O207" s="115" t="s">
        <v>56</v>
      </c>
      <c r="P207" s="45" t="s">
        <v>672</v>
      </c>
      <c r="Q207" s="44"/>
    </row>
    <row r="208" ht="31.5" hidden="1" customHeight="1">
      <c r="A208" s="94" t="s">
        <v>675</v>
      </c>
      <c r="B208" s="96" t="s">
        <v>51</v>
      </c>
      <c r="C208" s="94" t="s">
        <v>288</v>
      </c>
      <c r="D208" s="97">
        <v>3.0</v>
      </c>
      <c r="E208" s="97" t="s">
        <v>798</v>
      </c>
      <c r="F208" s="97" t="s">
        <v>148</v>
      </c>
      <c r="G208" s="97" t="s">
        <v>149</v>
      </c>
      <c r="H208" s="97" t="s">
        <v>151</v>
      </c>
      <c r="I208" s="96"/>
      <c r="J208" s="100" t="s">
        <v>292</v>
      </c>
      <c r="K208" s="101" t="s">
        <v>293</v>
      </c>
      <c r="L208" s="88" t="s">
        <v>63</v>
      </c>
      <c r="M208" s="62" t="s">
        <v>92</v>
      </c>
      <c r="N208" s="43" t="s">
        <v>55</v>
      </c>
      <c r="O208" s="124" t="s">
        <v>56</v>
      </c>
      <c r="P208" s="101" t="s">
        <v>677</v>
      </c>
      <c r="Q208" s="107"/>
    </row>
    <row r="209" ht="31.5" hidden="1" customHeight="1">
      <c r="A209" s="73" t="s">
        <v>686</v>
      </c>
      <c r="B209" s="75" t="s">
        <v>51</v>
      </c>
      <c r="C209" s="73" t="s">
        <v>288</v>
      </c>
      <c r="D209" s="77">
        <v>3.0</v>
      </c>
      <c r="E209" s="77" t="s">
        <v>798</v>
      </c>
      <c r="F209" s="77" t="s">
        <v>148</v>
      </c>
      <c r="G209" s="77" t="s">
        <v>149</v>
      </c>
      <c r="H209" s="77" t="s">
        <v>151</v>
      </c>
      <c r="I209" s="75"/>
      <c r="J209" s="81" t="s">
        <v>292</v>
      </c>
      <c r="K209" s="45" t="s">
        <v>293</v>
      </c>
      <c r="L209" s="125" t="s">
        <v>92</v>
      </c>
      <c r="M209" s="50" t="s">
        <v>64</v>
      </c>
      <c r="N209" s="43" t="s">
        <v>55</v>
      </c>
      <c r="O209" s="115" t="s">
        <v>56</v>
      </c>
      <c r="P209" s="45" t="s">
        <v>688</v>
      </c>
      <c r="Q209" s="44" t="s">
        <v>689</v>
      </c>
    </row>
    <row r="210" ht="31.5" hidden="1" customHeight="1">
      <c r="A210" s="94" t="s">
        <v>690</v>
      </c>
      <c r="B210" s="96" t="s">
        <v>51</v>
      </c>
      <c r="C210" s="94" t="s">
        <v>288</v>
      </c>
      <c r="D210" s="97">
        <v>3.0</v>
      </c>
      <c r="E210" s="97" t="s">
        <v>798</v>
      </c>
      <c r="F210" s="97" t="s">
        <v>148</v>
      </c>
      <c r="G210" s="97" t="s">
        <v>149</v>
      </c>
      <c r="H210" s="97" t="s">
        <v>151</v>
      </c>
      <c r="I210" s="96"/>
      <c r="J210" s="100" t="s">
        <v>292</v>
      </c>
      <c r="K210" s="101" t="s">
        <v>293</v>
      </c>
      <c r="L210" s="153" t="s">
        <v>210</v>
      </c>
      <c r="M210" s="62" t="s">
        <v>92</v>
      </c>
      <c r="N210" s="43" t="s">
        <v>55</v>
      </c>
      <c r="O210" s="124" t="s">
        <v>56</v>
      </c>
      <c r="P210" s="101" t="s">
        <v>692</v>
      </c>
      <c r="Q210" s="107"/>
    </row>
    <row r="211" ht="31.5" hidden="1" customHeight="1">
      <c r="A211" s="73" t="s">
        <v>699</v>
      </c>
      <c r="B211" s="75" t="s">
        <v>51</v>
      </c>
      <c r="C211" s="73" t="s">
        <v>288</v>
      </c>
      <c r="D211" s="77">
        <v>3.0</v>
      </c>
      <c r="E211" s="77" t="s">
        <v>798</v>
      </c>
      <c r="F211" s="77" t="s">
        <v>148</v>
      </c>
      <c r="G211" s="77" t="s">
        <v>149</v>
      </c>
      <c r="H211" s="77" t="s">
        <v>151</v>
      </c>
      <c r="I211" s="75"/>
      <c r="J211" s="81" t="s">
        <v>292</v>
      </c>
      <c r="K211" s="45" t="s">
        <v>293</v>
      </c>
      <c r="L211" s="140" t="s">
        <v>52</v>
      </c>
      <c r="M211" s="62" t="s">
        <v>92</v>
      </c>
      <c r="N211" s="43" t="s">
        <v>55</v>
      </c>
      <c r="O211" s="115" t="s">
        <v>56</v>
      </c>
      <c r="P211" s="45" t="s">
        <v>702</v>
      </c>
      <c r="Q211" s="44"/>
    </row>
    <row r="212" ht="31.5" hidden="1" customHeight="1">
      <c r="A212" s="94" t="s">
        <v>723</v>
      </c>
      <c r="B212" s="96" t="s">
        <v>51</v>
      </c>
      <c r="C212" s="94" t="s">
        <v>288</v>
      </c>
      <c r="D212" s="97">
        <v>3.0</v>
      </c>
      <c r="E212" s="97" t="s">
        <v>798</v>
      </c>
      <c r="F212" s="97" t="s">
        <v>148</v>
      </c>
      <c r="G212" s="97" t="s">
        <v>149</v>
      </c>
      <c r="H212" s="97" t="s">
        <v>151</v>
      </c>
      <c r="I212" s="96"/>
      <c r="J212" s="100" t="s">
        <v>292</v>
      </c>
      <c r="K212" s="101" t="s">
        <v>293</v>
      </c>
      <c r="L212" s="127" t="s">
        <v>64</v>
      </c>
      <c r="M212" s="86" t="s">
        <v>164</v>
      </c>
      <c r="N212" s="43" t="s">
        <v>55</v>
      </c>
      <c r="O212" s="124" t="s">
        <v>144</v>
      </c>
      <c r="P212" s="101" t="s">
        <v>725</v>
      </c>
      <c r="Q212" s="107" t="s">
        <v>726</v>
      </c>
    </row>
    <row r="213" ht="31.5" hidden="1" customHeight="1">
      <c r="A213" s="73" t="s">
        <v>731</v>
      </c>
      <c r="B213" s="75" t="s">
        <v>51</v>
      </c>
      <c r="C213" s="73" t="s">
        <v>288</v>
      </c>
      <c r="D213" s="77">
        <v>3.0</v>
      </c>
      <c r="E213" s="77" t="s">
        <v>798</v>
      </c>
      <c r="F213" s="77" t="s">
        <v>148</v>
      </c>
      <c r="G213" s="77" t="s">
        <v>149</v>
      </c>
      <c r="H213" s="77" t="s">
        <v>151</v>
      </c>
      <c r="I213" s="75"/>
      <c r="J213" s="81" t="s">
        <v>292</v>
      </c>
      <c r="K213" s="45" t="s">
        <v>293</v>
      </c>
      <c r="L213" s="137" t="s">
        <v>164</v>
      </c>
      <c r="M213" s="62" t="s">
        <v>92</v>
      </c>
      <c r="N213" s="43" t="s">
        <v>55</v>
      </c>
      <c r="O213" s="115" t="s">
        <v>56</v>
      </c>
      <c r="P213" s="45" t="s">
        <v>736</v>
      </c>
      <c r="Q213" s="44"/>
    </row>
    <row r="214" ht="31.5" hidden="1" customHeight="1">
      <c r="A214" s="94" t="s">
        <v>782</v>
      </c>
      <c r="B214" s="96" t="s">
        <v>51</v>
      </c>
      <c r="C214" s="94" t="s">
        <v>288</v>
      </c>
      <c r="D214" s="97">
        <v>3.0</v>
      </c>
      <c r="E214" s="97" t="s">
        <v>798</v>
      </c>
      <c r="F214" s="97" t="s">
        <v>148</v>
      </c>
      <c r="G214" s="97" t="s">
        <v>149</v>
      </c>
      <c r="H214" s="97" t="s">
        <v>151</v>
      </c>
      <c r="I214" s="96"/>
      <c r="J214" s="100" t="s">
        <v>292</v>
      </c>
      <c r="K214" s="101" t="s">
        <v>293</v>
      </c>
      <c r="L214" s="140" t="s">
        <v>52</v>
      </c>
      <c r="M214" s="62" t="s">
        <v>92</v>
      </c>
      <c r="N214" s="43" t="s">
        <v>55</v>
      </c>
      <c r="O214" s="124" t="s">
        <v>56</v>
      </c>
      <c r="P214" s="101" t="s">
        <v>785</v>
      </c>
      <c r="Q214" s="107"/>
    </row>
    <row r="215" ht="39.75" hidden="1" customHeight="1">
      <c r="A215" s="73" t="s">
        <v>787</v>
      </c>
      <c r="B215" s="75" t="s">
        <v>51</v>
      </c>
      <c r="C215" s="73" t="s">
        <v>288</v>
      </c>
      <c r="D215" s="77">
        <v>3.0</v>
      </c>
      <c r="E215" s="77" t="s">
        <v>798</v>
      </c>
      <c r="F215" s="77" t="s">
        <v>148</v>
      </c>
      <c r="G215" s="77" t="s">
        <v>149</v>
      </c>
      <c r="H215" s="77" t="s">
        <v>151</v>
      </c>
      <c r="I215" s="75"/>
      <c r="J215" s="81" t="s">
        <v>292</v>
      </c>
      <c r="K215" s="45" t="s">
        <v>293</v>
      </c>
      <c r="L215" s="126" t="s">
        <v>78</v>
      </c>
      <c r="M215" s="50" t="s">
        <v>64</v>
      </c>
      <c r="N215" s="43" t="s">
        <v>55</v>
      </c>
      <c r="O215" s="59" t="s">
        <v>68</v>
      </c>
      <c r="P215" s="45" t="s">
        <v>550</v>
      </c>
      <c r="Q215" s="44" t="s">
        <v>552</v>
      </c>
    </row>
    <row r="216" ht="31.5" hidden="1" customHeight="1">
      <c r="A216" s="94" t="s">
        <v>789</v>
      </c>
      <c r="B216" s="96" t="s">
        <v>51</v>
      </c>
      <c r="C216" s="94" t="s">
        <v>288</v>
      </c>
      <c r="D216" s="97">
        <v>3.0</v>
      </c>
      <c r="E216" s="97" t="s">
        <v>798</v>
      </c>
      <c r="F216" s="97" t="s">
        <v>148</v>
      </c>
      <c r="G216" s="97" t="s">
        <v>149</v>
      </c>
      <c r="H216" s="97" t="s">
        <v>151</v>
      </c>
      <c r="I216" s="96"/>
      <c r="J216" s="100" t="s">
        <v>292</v>
      </c>
      <c r="K216" s="101" t="s">
        <v>293</v>
      </c>
      <c r="L216" s="143" t="s">
        <v>150</v>
      </c>
      <c r="M216" s="50" t="s">
        <v>64</v>
      </c>
      <c r="N216" s="43" t="s">
        <v>55</v>
      </c>
      <c r="O216" s="124" t="s">
        <v>56</v>
      </c>
      <c r="P216" s="101" t="s">
        <v>791</v>
      </c>
      <c r="Q216" s="107" t="s">
        <v>792</v>
      </c>
    </row>
    <row r="217" ht="39.75" hidden="1" customHeight="1">
      <c r="A217" s="73" t="s">
        <v>554</v>
      </c>
      <c r="B217" s="75" t="s">
        <v>51</v>
      </c>
      <c r="C217" s="73" t="s">
        <v>288</v>
      </c>
      <c r="D217" s="77">
        <v>3.0</v>
      </c>
      <c r="E217" s="77" t="s">
        <v>866</v>
      </c>
      <c r="F217" s="77" t="s">
        <v>148</v>
      </c>
      <c r="G217" s="77" t="s">
        <v>149</v>
      </c>
      <c r="H217" s="158" t="s">
        <v>466</v>
      </c>
      <c r="I217" s="75"/>
      <c r="J217" s="81" t="s">
        <v>292</v>
      </c>
      <c r="K217" s="45" t="s">
        <v>293</v>
      </c>
      <c r="L217" s="125" t="s">
        <v>92</v>
      </c>
      <c r="M217" s="86" t="s">
        <v>164</v>
      </c>
      <c r="N217" s="43" t="s">
        <v>55</v>
      </c>
      <c r="O217" s="59" t="s">
        <v>187</v>
      </c>
      <c r="P217" s="45" t="s">
        <v>550</v>
      </c>
      <c r="Q217" s="44" t="s">
        <v>555</v>
      </c>
    </row>
    <row r="218" ht="31.5" hidden="1" customHeight="1">
      <c r="A218" s="94" t="s">
        <v>569</v>
      </c>
      <c r="B218" s="96" t="s">
        <v>51</v>
      </c>
      <c r="C218" s="94" t="s">
        <v>288</v>
      </c>
      <c r="D218" s="97">
        <v>3.0</v>
      </c>
      <c r="E218" s="97" t="s">
        <v>866</v>
      </c>
      <c r="F218" s="97" t="s">
        <v>148</v>
      </c>
      <c r="G218" s="97" t="s">
        <v>149</v>
      </c>
      <c r="H218" s="97" t="s">
        <v>151</v>
      </c>
      <c r="I218" s="96"/>
      <c r="J218" s="100" t="s">
        <v>292</v>
      </c>
      <c r="K218" s="101" t="s">
        <v>293</v>
      </c>
      <c r="L218" s="88" t="s">
        <v>63</v>
      </c>
      <c r="M218" s="62" t="s">
        <v>92</v>
      </c>
      <c r="N218" s="43" t="s">
        <v>55</v>
      </c>
      <c r="O218" s="124" t="s">
        <v>56</v>
      </c>
      <c r="P218" s="101" t="s">
        <v>571</v>
      </c>
      <c r="Q218" s="107"/>
    </row>
    <row r="219" ht="31.5" hidden="1" customHeight="1">
      <c r="A219" s="73" t="s">
        <v>620</v>
      </c>
      <c r="B219" s="75" t="s">
        <v>51</v>
      </c>
      <c r="C219" s="73" t="s">
        <v>288</v>
      </c>
      <c r="D219" s="77">
        <v>3.0</v>
      </c>
      <c r="E219" s="77" t="s">
        <v>866</v>
      </c>
      <c r="F219" s="77" t="s">
        <v>148</v>
      </c>
      <c r="G219" s="77" t="s">
        <v>149</v>
      </c>
      <c r="H219" s="77" t="s">
        <v>151</v>
      </c>
      <c r="I219" s="75"/>
      <c r="J219" s="81" t="s">
        <v>292</v>
      </c>
      <c r="K219" s="45" t="s">
        <v>293</v>
      </c>
      <c r="L219" s="127" t="s">
        <v>64</v>
      </c>
      <c r="M219" s="49" t="s">
        <v>63</v>
      </c>
      <c r="N219" s="43" t="s">
        <v>55</v>
      </c>
      <c r="O219" s="115" t="s">
        <v>56</v>
      </c>
      <c r="P219" s="45" t="s">
        <v>622</v>
      </c>
      <c r="Q219" s="44"/>
    </row>
    <row r="220" ht="31.5" hidden="1" customHeight="1">
      <c r="A220" s="94" t="s">
        <v>637</v>
      </c>
      <c r="B220" s="96" t="s">
        <v>51</v>
      </c>
      <c r="C220" s="94" t="s">
        <v>288</v>
      </c>
      <c r="D220" s="97">
        <v>3.0</v>
      </c>
      <c r="E220" s="97" t="s">
        <v>866</v>
      </c>
      <c r="F220" s="97" t="s">
        <v>148</v>
      </c>
      <c r="G220" s="97" t="s">
        <v>149</v>
      </c>
      <c r="H220" s="97" t="s">
        <v>151</v>
      </c>
      <c r="I220" s="96"/>
      <c r="J220" s="100" t="s">
        <v>292</v>
      </c>
      <c r="K220" s="101" t="s">
        <v>293</v>
      </c>
      <c r="L220" s="127" t="s">
        <v>64</v>
      </c>
      <c r="M220" s="49" t="s">
        <v>63</v>
      </c>
      <c r="N220" s="43" t="s">
        <v>55</v>
      </c>
      <c r="O220" s="124" t="s">
        <v>56</v>
      </c>
      <c r="P220" s="101" t="s">
        <v>639</v>
      </c>
      <c r="Q220" s="107"/>
    </row>
    <row r="221" ht="31.5" hidden="1" customHeight="1">
      <c r="A221" s="73" t="s">
        <v>640</v>
      </c>
      <c r="B221" s="75" t="s">
        <v>51</v>
      </c>
      <c r="C221" s="73" t="s">
        <v>288</v>
      </c>
      <c r="D221" s="77">
        <v>3.0</v>
      </c>
      <c r="E221" s="77" t="s">
        <v>866</v>
      </c>
      <c r="F221" s="77" t="s">
        <v>148</v>
      </c>
      <c r="G221" s="77" t="s">
        <v>149</v>
      </c>
      <c r="H221" s="77" t="s">
        <v>151</v>
      </c>
      <c r="I221" s="75"/>
      <c r="J221" s="81" t="s">
        <v>292</v>
      </c>
      <c r="K221" s="45" t="s">
        <v>293</v>
      </c>
      <c r="L221" s="88" t="s">
        <v>63</v>
      </c>
      <c r="M221" s="62" t="s">
        <v>92</v>
      </c>
      <c r="N221" s="43" t="s">
        <v>55</v>
      </c>
      <c r="O221" s="115" t="s">
        <v>56</v>
      </c>
      <c r="P221" s="45" t="s">
        <v>643</v>
      </c>
      <c r="Q221" s="44"/>
    </row>
    <row r="222" ht="31.5" hidden="1" customHeight="1">
      <c r="A222" s="94" t="s">
        <v>644</v>
      </c>
      <c r="B222" s="96" t="s">
        <v>51</v>
      </c>
      <c r="C222" s="94" t="s">
        <v>288</v>
      </c>
      <c r="D222" s="97">
        <v>3.0</v>
      </c>
      <c r="E222" s="97" t="s">
        <v>866</v>
      </c>
      <c r="F222" s="97" t="s">
        <v>148</v>
      </c>
      <c r="G222" s="97" t="s">
        <v>149</v>
      </c>
      <c r="H222" s="97" t="s">
        <v>151</v>
      </c>
      <c r="I222" s="96"/>
      <c r="J222" s="100" t="s">
        <v>292</v>
      </c>
      <c r="K222" s="101" t="s">
        <v>293</v>
      </c>
      <c r="L222" s="125" t="s">
        <v>92</v>
      </c>
      <c r="M222" s="49" t="s">
        <v>63</v>
      </c>
      <c r="N222" s="43" t="s">
        <v>55</v>
      </c>
      <c r="O222" s="124" t="s">
        <v>56</v>
      </c>
      <c r="P222" s="101" t="s">
        <v>646</v>
      </c>
      <c r="Q222" s="107" t="s">
        <v>648</v>
      </c>
    </row>
    <row r="223" ht="31.5" hidden="1" customHeight="1">
      <c r="A223" s="73" t="s">
        <v>663</v>
      </c>
      <c r="B223" s="75" t="s">
        <v>51</v>
      </c>
      <c r="C223" s="73" t="s">
        <v>288</v>
      </c>
      <c r="D223" s="77">
        <v>3.0</v>
      </c>
      <c r="E223" s="77" t="s">
        <v>866</v>
      </c>
      <c r="F223" s="77" t="s">
        <v>148</v>
      </c>
      <c r="G223" s="77" t="s">
        <v>149</v>
      </c>
      <c r="H223" s="77" t="s">
        <v>151</v>
      </c>
      <c r="I223" s="75"/>
      <c r="J223" s="81" t="s">
        <v>292</v>
      </c>
      <c r="K223" s="45" t="s">
        <v>293</v>
      </c>
      <c r="L223" s="137" t="s">
        <v>164</v>
      </c>
      <c r="M223" s="62" t="s">
        <v>92</v>
      </c>
      <c r="N223" s="43" t="s">
        <v>55</v>
      </c>
      <c r="O223" s="115" t="s">
        <v>56</v>
      </c>
      <c r="P223" s="45" t="s">
        <v>666</v>
      </c>
      <c r="Q223" s="44"/>
    </row>
    <row r="224" ht="39.75" hidden="1" customHeight="1">
      <c r="A224" s="94" t="s">
        <v>673</v>
      </c>
      <c r="B224" s="96" t="s">
        <v>51</v>
      </c>
      <c r="C224" s="94" t="s">
        <v>288</v>
      </c>
      <c r="D224" s="97">
        <v>3.0</v>
      </c>
      <c r="E224" s="97" t="s">
        <v>866</v>
      </c>
      <c r="F224" s="97" t="s">
        <v>148</v>
      </c>
      <c r="G224" s="97" t="s">
        <v>149</v>
      </c>
      <c r="H224" s="97" t="s">
        <v>151</v>
      </c>
      <c r="I224" s="96"/>
      <c r="J224" s="100" t="s">
        <v>292</v>
      </c>
      <c r="K224" s="101" t="s">
        <v>293</v>
      </c>
      <c r="L224" s="166" t="s">
        <v>154</v>
      </c>
      <c r="M224" s="50" t="s">
        <v>64</v>
      </c>
      <c r="N224" s="43" t="s">
        <v>55</v>
      </c>
      <c r="O224" s="105" t="s">
        <v>68</v>
      </c>
      <c r="P224" s="101" t="s">
        <v>550</v>
      </c>
      <c r="Q224" s="107" t="s">
        <v>669</v>
      </c>
    </row>
    <row r="225" ht="31.5" hidden="1" customHeight="1">
      <c r="A225" s="73" t="s">
        <v>693</v>
      </c>
      <c r="B225" s="75" t="s">
        <v>51</v>
      </c>
      <c r="C225" s="73" t="s">
        <v>288</v>
      </c>
      <c r="D225" s="77">
        <v>3.0</v>
      </c>
      <c r="E225" s="77" t="s">
        <v>866</v>
      </c>
      <c r="F225" s="77" t="s">
        <v>148</v>
      </c>
      <c r="G225" s="77" t="s">
        <v>149</v>
      </c>
      <c r="H225" s="77" t="s">
        <v>151</v>
      </c>
      <c r="I225" s="75"/>
      <c r="J225" s="81" t="s">
        <v>292</v>
      </c>
      <c r="K225" s="45" t="s">
        <v>293</v>
      </c>
      <c r="L225" s="156" t="s">
        <v>218</v>
      </c>
      <c r="M225" s="50" t="s">
        <v>64</v>
      </c>
      <c r="N225" s="43" t="s">
        <v>55</v>
      </c>
      <c r="O225" s="115" t="s">
        <v>56</v>
      </c>
      <c r="P225" s="45" t="s">
        <v>696</v>
      </c>
      <c r="Q225" s="44"/>
    </row>
    <row r="226" ht="39.75" hidden="1" customHeight="1">
      <c r="A226" s="94" t="s">
        <v>703</v>
      </c>
      <c r="B226" s="96" t="s">
        <v>51</v>
      </c>
      <c r="C226" s="94" t="s">
        <v>288</v>
      </c>
      <c r="D226" s="97">
        <v>3.0</v>
      </c>
      <c r="E226" s="97" t="s">
        <v>866</v>
      </c>
      <c r="F226" s="97" t="s">
        <v>148</v>
      </c>
      <c r="G226" s="97" t="s">
        <v>149</v>
      </c>
      <c r="H226" s="97" t="s">
        <v>151</v>
      </c>
      <c r="I226" s="96"/>
      <c r="J226" s="100" t="s">
        <v>292</v>
      </c>
      <c r="K226" s="101" t="s">
        <v>293</v>
      </c>
      <c r="L226" s="88" t="s">
        <v>63</v>
      </c>
      <c r="M226" s="50" t="s">
        <v>64</v>
      </c>
      <c r="N226" s="43" t="s">
        <v>55</v>
      </c>
      <c r="O226" s="105" t="s">
        <v>68</v>
      </c>
      <c r="P226" s="101" t="s">
        <v>550</v>
      </c>
      <c r="Q226" s="107" t="s">
        <v>552</v>
      </c>
    </row>
    <row r="227" ht="39.75" hidden="1" customHeight="1">
      <c r="A227" s="73" t="s">
        <v>704</v>
      </c>
      <c r="B227" s="75" t="s">
        <v>51</v>
      </c>
      <c r="C227" s="73" t="s">
        <v>288</v>
      </c>
      <c r="D227" s="77">
        <v>3.0</v>
      </c>
      <c r="E227" s="77" t="s">
        <v>866</v>
      </c>
      <c r="F227" s="77" t="s">
        <v>148</v>
      </c>
      <c r="G227" s="77" t="s">
        <v>149</v>
      </c>
      <c r="H227" s="77" t="s">
        <v>151</v>
      </c>
      <c r="I227" s="75"/>
      <c r="J227" s="81" t="s">
        <v>292</v>
      </c>
      <c r="K227" s="45" t="s">
        <v>293</v>
      </c>
      <c r="L227" s="125" t="s">
        <v>92</v>
      </c>
      <c r="M227" s="50" t="s">
        <v>64</v>
      </c>
      <c r="N227" s="43" t="s">
        <v>55</v>
      </c>
      <c r="O227" s="59" t="s">
        <v>68</v>
      </c>
      <c r="P227" s="45" t="s">
        <v>550</v>
      </c>
      <c r="Q227" s="44" t="s">
        <v>552</v>
      </c>
    </row>
    <row r="228" ht="31.5" hidden="1" customHeight="1">
      <c r="A228" s="94" t="s">
        <v>705</v>
      </c>
      <c r="B228" s="96" t="s">
        <v>51</v>
      </c>
      <c r="C228" s="94" t="s">
        <v>288</v>
      </c>
      <c r="D228" s="97">
        <v>3.0</v>
      </c>
      <c r="E228" s="97" t="s">
        <v>866</v>
      </c>
      <c r="F228" s="97" t="s">
        <v>148</v>
      </c>
      <c r="G228" s="97" t="s">
        <v>149</v>
      </c>
      <c r="H228" s="97" t="s">
        <v>151</v>
      </c>
      <c r="I228" s="96"/>
      <c r="J228" s="100" t="s">
        <v>292</v>
      </c>
      <c r="K228" s="101" t="s">
        <v>293</v>
      </c>
      <c r="L228" s="127" t="s">
        <v>64</v>
      </c>
      <c r="M228" s="86" t="s">
        <v>164</v>
      </c>
      <c r="N228" s="43" t="s">
        <v>55</v>
      </c>
      <c r="O228" s="124" t="s">
        <v>56</v>
      </c>
      <c r="P228" s="101" t="s">
        <v>708</v>
      </c>
      <c r="Q228" s="107"/>
    </row>
    <row r="229" ht="31.5" hidden="1" customHeight="1">
      <c r="A229" s="73" t="s">
        <v>714</v>
      </c>
      <c r="B229" s="75" t="s">
        <v>51</v>
      </c>
      <c r="C229" s="73" t="s">
        <v>288</v>
      </c>
      <c r="D229" s="77">
        <v>3.0</v>
      </c>
      <c r="E229" s="77" t="s">
        <v>866</v>
      </c>
      <c r="F229" s="77" t="s">
        <v>148</v>
      </c>
      <c r="G229" s="77" t="s">
        <v>149</v>
      </c>
      <c r="H229" s="77" t="s">
        <v>151</v>
      </c>
      <c r="I229" s="75"/>
      <c r="J229" s="81" t="s">
        <v>292</v>
      </c>
      <c r="K229" s="45" t="s">
        <v>293</v>
      </c>
      <c r="L229" s="127" t="s">
        <v>64</v>
      </c>
      <c r="M229" s="62" t="s">
        <v>92</v>
      </c>
      <c r="N229" s="43" t="s">
        <v>55</v>
      </c>
      <c r="O229" s="115" t="s">
        <v>56</v>
      </c>
      <c r="P229" s="45" t="s">
        <v>716</v>
      </c>
      <c r="Q229" s="44"/>
    </row>
    <row r="230" ht="39.75" hidden="1" customHeight="1">
      <c r="A230" s="94" t="s">
        <v>728</v>
      </c>
      <c r="B230" s="96" t="s">
        <v>51</v>
      </c>
      <c r="C230" s="94" t="s">
        <v>288</v>
      </c>
      <c r="D230" s="97">
        <v>3.0</v>
      </c>
      <c r="E230" s="97" t="s">
        <v>866</v>
      </c>
      <c r="F230" s="97" t="s">
        <v>148</v>
      </c>
      <c r="G230" s="97" t="s">
        <v>149</v>
      </c>
      <c r="H230" s="97" t="s">
        <v>151</v>
      </c>
      <c r="I230" s="96"/>
      <c r="J230" s="100" t="s">
        <v>292</v>
      </c>
      <c r="K230" s="101" t="s">
        <v>293</v>
      </c>
      <c r="L230" s="140" t="s">
        <v>52</v>
      </c>
      <c r="M230" s="49" t="s">
        <v>63</v>
      </c>
      <c r="N230" s="43" t="s">
        <v>55</v>
      </c>
      <c r="O230" s="105" t="s">
        <v>68</v>
      </c>
      <c r="P230" s="101" t="s">
        <v>550</v>
      </c>
      <c r="Q230" s="107" t="s">
        <v>552</v>
      </c>
    </row>
    <row r="231" ht="39.75" hidden="1" customHeight="1">
      <c r="A231" s="73" t="s">
        <v>729</v>
      </c>
      <c r="B231" s="75" t="s">
        <v>51</v>
      </c>
      <c r="C231" s="73" t="s">
        <v>288</v>
      </c>
      <c r="D231" s="77">
        <v>3.0</v>
      </c>
      <c r="E231" s="77" t="s">
        <v>866</v>
      </c>
      <c r="F231" s="77" t="s">
        <v>148</v>
      </c>
      <c r="G231" s="77" t="s">
        <v>149</v>
      </c>
      <c r="H231" s="77" t="s">
        <v>151</v>
      </c>
      <c r="I231" s="75"/>
      <c r="J231" s="81" t="s">
        <v>292</v>
      </c>
      <c r="K231" s="45" t="s">
        <v>293</v>
      </c>
      <c r="L231" s="165" t="s">
        <v>192</v>
      </c>
      <c r="M231" s="62" t="s">
        <v>92</v>
      </c>
      <c r="N231" s="43" t="s">
        <v>55</v>
      </c>
      <c r="O231" s="59" t="s">
        <v>68</v>
      </c>
      <c r="P231" s="45" t="s">
        <v>550</v>
      </c>
      <c r="Q231" s="44" t="s">
        <v>552</v>
      </c>
    </row>
    <row r="232" ht="31.5" hidden="1" customHeight="1">
      <c r="A232" s="94" t="s">
        <v>744</v>
      </c>
      <c r="B232" s="96" t="s">
        <v>51</v>
      </c>
      <c r="C232" s="94" t="s">
        <v>288</v>
      </c>
      <c r="D232" s="97">
        <v>3.0</v>
      </c>
      <c r="E232" s="97" t="s">
        <v>866</v>
      </c>
      <c r="F232" s="97" t="s">
        <v>148</v>
      </c>
      <c r="G232" s="97" t="s">
        <v>149</v>
      </c>
      <c r="H232" s="97" t="s">
        <v>151</v>
      </c>
      <c r="I232" s="96"/>
      <c r="J232" s="100" t="s">
        <v>292</v>
      </c>
      <c r="K232" s="101" t="s">
        <v>293</v>
      </c>
      <c r="L232" s="88" t="s">
        <v>63</v>
      </c>
      <c r="M232" s="62" t="s">
        <v>92</v>
      </c>
      <c r="N232" s="43" t="s">
        <v>55</v>
      </c>
      <c r="O232" s="124" t="s">
        <v>184</v>
      </c>
      <c r="P232" s="101" t="s">
        <v>747</v>
      </c>
      <c r="Q232" s="107"/>
    </row>
    <row r="233" ht="31.5" hidden="1" customHeight="1">
      <c r="A233" s="73" t="s">
        <v>765</v>
      </c>
      <c r="B233" s="75" t="s">
        <v>51</v>
      </c>
      <c r="C233" s="73" t="s">
        <v>288</v>
      </c>
      <c r="D233" s="77">
        <v>3.0</v>
      </c>
      <c r="E233" s="77" t="s">
        <v>866</v>
      </c>
      <c r="F233" s="77" t="s">
        <v>148</v>
      </c>
      <c r="G233" s="77" t="s">
        <v>149</v>
      </c>
      <c r="H233" s="77" t="s">
        <v>151</v>
      </c>
      <c r="I233" s="75"/>
      <c r="J233" s="81" t="s">
        <v>292</v>
      </c>
      <c r="K233" s="45" t="s">
        <v>293</v>
      </c>
      <c r="L233" s="127" t="s">
        <v>64</v>
      </c>
      <c r="M233" s="86" t="s">
        <v>164</v>
      </c>
      <c r="N233" s="43" t="s">
        <v>55</v>
      </c>
      <c r="O233" s="115" t="s">
        <v>56</v>
      </c>
      <c r="P233" s="45" t="s">
        <v>767</v>
      </c>
      <c r="Q233" s="44"/>
    </row>
    <row r="234" ht="31.5" hidden="1" customHeight="1">
      <c r="A234" s="94" t="s">
        <v>778</v>
      </c>
      <c r="B234" s="96" t="s">
        <v>51</v>
      </c>
      <c r="C234" s="94" t="s">
        <v>288</v>
      </c>
      <c r="D234" s="97">
        <v>3.0</v>
      </c>
      <c r="E234" s="97" t="s">
        <v>866</v>
      </c>
      <c r="F234" s="97" t="s">
        <v>148</v>
      </c>
      <c r="G234" s="97" t="s">
        <v>149</v>
      </c>
      <c r="H234" s="97" t="s">
        <v>151</v>
      </c>
      <c r="I234" s="96"/>
      <c r="J234" s="100" t="s">
        <v>292</v>
      </c>
      <c r="K234" s="101" t="s">
        <v>293</v>
      </c>
      <c r="L234" s="88" t="s">
        <v>63</v>
      </c>
      <c r="M234" s="62" t="s">
        <v>92</v>
      </c>
      <c r="N234" s="43" t="s">
        <v>55</v>
      </c>
      <c r="O234" s="124" t="s">
        <v>56</v>
      </c>
      <c r="P234" s="101" t="s">
        <v>780</v>
      </c>
      <c r="Q234" s="107"/>
    </row>
    <row r="235" ht="31.5" hidden="1" customHeight="1">
      <c r="A235" s="73" t="s">
        <v>794</v>
      </c>
      <c r="B235" s="75" t="s">
        <v>51</v>
      </c>
      <c r="C235" s="73" t="s">
        <v>288</v>
      </c>
      <c r="D235" s="77">
        <v>3.0</v>
      </c>
      <c r="E235" s="77" t="s">
        <v>866</v>
      </c>
      <c r="F235" s="77" t="s">
        <v>148</v>
      </c>
      <c r="G235" s="77" t="s">
        <v>149</v>
      </c>
      <c r="H235" s="77" t="s">
        <v>151</v>
      </c>
      <c r="I235" s="75"/>
      <c r="J235" s="81" t="s">
        <v>292</v>
      </c>
      <c r="K235" s="45" t="s">
        <v>293</v>
      </c>
      <c r="L235" s="88" t="s">
        <v>63</v>
      </c>
      <c r="M235" s="62" t="s">
        <v>92</v>
      </c>
      <c r="N235" s="43" t="s">
        <v>55</v>
      </c>
      <c r="O235" s="115" t="s">
        <v>56</v>
      </c>
      <c r="P235" s="45" t="s">
        <v>796</v>
      </c>
      <c r="Q235" s="44"/>
    </row>
    <row r="236" ht="31.5" hidden="1" customHeight="1">
      <c r="A236" s="94" t="s">
        <v>802</v>
      </c>
      <c r="B236" s="96" t="s">
        <v>51</v>
      </c>
      <c r="C236" s="94" t="s">
        <v>288</v>
      </c>
      <c r="D236" s="97">
        <v>3.0</v>
      </c>
      <c r="E236" s="97" t="s">
        <v>866</v>
      </c>
      <c r="F236" s="97" t="s">
        <v>148</v>
      </c>
      <c r="G236" s="97" t="s">
        <v>149</v>
      </c>
      <c r="H236" s="97" t="s">
        <v>151</v>
      </c>
      <c r="I236" s="96"/>
      <c r="J236" s="100" t="s">
        <v>292</v>
      </c>
      <c r="K236" s="101" t="s">
        <v>293</v>
      </c>
      <c r="L236" s="127" t="s">
        <v>64</v>
      </c>
      <c r="M236" s="49" t="s">
        <v>63</v>
      </c>
      <c r="N236" s="43" t="s">
        <v>55</v>
      </c>
      <c r="O236" s="124" t="s">
        <v>56</v>
      </c>
      <c r="P236" s="101" t="s">
        <v>805</v>
      </c>
      <c r="Q236" s="107"/>
    </row>
    <row r="237" ht="31.5" hidden="1" customHeight="1">
      <c r="A237" s="73" t="s">
        <v>556</v>
      </c>
      <c r="B237" s="75" t="s">
        <v>51</v>
      </c>
      <c r="C237" s="73" t="s">
        <v>288</v>
      </c>
      <c r="D237" s="77">
        <v>3.0</v>
      </c>
      <c r="E237" s="77" t="s">
        <v>939</v>
      </c>
      <c r="F237" s="77" t="s">
        <v>148</v>
      </c>
      <c r="G237" s="77" t="s">
        <v>149</v>
      </c>
      <c r="H237" s="77" t="s">
        <v>151</v>
      </c>
      <c r="I237" s="75"/>
      <c r="J237" s="81" t="s">
        <v>292</v>
      </c>
      <c r="K237" s="45" t="s">
        <v>293</v>
      </c>
      <c r="L237" s="140" t="s">
        <v>52</v>
      </c>
      <c r="M237" s="62" t="s">
        <v>92</v>
      </c>
      <c r="N237" s="43" t="s">
        <v>55</v>
      </c>
      <c r="O237" s="115" t="s">
        <v>56</v>
      </c>
      <c r="P237" s="45" t="s">
        <v>558</v>
      </c>
      <c r="Q237" s="44"/>
    </row>
    <row r="238" ht="39.75" hidden="1" customHeight="1">
      <c r="A238" s="94" t="s">
        <v>560</v>
      </c>
      <c r="B238" s="96" t="s">
        <v>51</v>
      </c>
      <c r="C238" s="94" t="s">
        <v>288</v>
      </c>
      <c r="D238" s="97">
        <v>3.0</v>
      </c>
      <c r="E238" s="97" t="s">
        <v>939</v>
      </c>
      <c r="F238" s="97" t="s">
        <v>148</v>
      </c>
      <c r="G238" s="97" t="s">
        <v>149</v>
      </c>
      <c r="H238" s="97" t="s">
        <v>151</v>
      </c>
      <c r="I238" s="96"/>
      <c r="J238" s="100" t="s">
        <v>292</v>
      </c>
      <c r="K238" s="101" t="s">
        <v>293</v>
      </c>
      <c r="L238" s="127" t="s">
        <v>64</v>
      </c>
      <c r="M238" s="49" t="s">
        <v>63</v>
      </c>
      <c r="N238" s="43" t="s">
        <v>55</v>
      </c>
      <c r="O238" s="105" t="s">
        <v>68</v>
      </c>
      <c r="P238" s="101" t="s">
        <v>550</v>
      </c>
      <c r="Q238" s="107" t="s">
        <v>552</v>
      </c>
    </row>
    <row r="239" ht="31.5" hidden="1" customHeight="1">
      <c r="A239" s="73" t="s">
        <v>561</v>
      </c>
      <c r="B239" s="75" t="s">
        <v>51</v>
      </c>
      <c r="C239" s="73" t="s">
        <v>288</v>
      </c>
      <c r="D239" s="77">
        <v>3.0</v>
      </c>
      <c r="E239" s="77" t="s">
        <v>939</v>
      </c>
      <c r="F239" s="77" t="s">
        <v>148</v>
      </c>
      <c r="G239" s="77" t="s">
        <v>149</v>
      </c>
      <c r="H239" s="77" t="s">
        <v>151</v>
      </c>
      <c r="I239" s="75"/>
      <c r="J239" s="81" t="s">
        <v>292</v>
      </c>
      <c r="K239" s="45" t="s">
        <v>293</v>
      </c>
      <c r="L239" s="127" t="s">
        <v>64</v>
      </c>
      <c r="M239" s="49" t="s">
        <v>63</v>
      </c>
      <c r="N239" s="43" t="s">
        <v>55</v>
      </c>
      <c r="O239" s="115" t="s">
        <v>56</v>
      </c>
      <c r="P239" s="45" t="s">
        <v>563</v>
      </c>
      <c r="Q239" s="44"/>
    </row>
    <row r="240" ht="31.5" hidden="1" customHeight="1">
      <c r="A240" s="94" t="s">
        <v>578</v>
      </c>
      <c r="B240" s="96" t="s">
        <v>51</v>
      </c>
      <c r="C240" s="94" t="s">
        <v>288</v>
      </c>
      <c r="D240" s="97">
        <v>3.0</v>
      </c>
      <c r="E240" s="97" t="s">
        <v>939</v>
      </c>
      <c r="F240" s="97" t="s">
        <v>148</v>
      </c>
      <c r="G240" s="97" t="s">
        <v>149</v>
      </c>
      <c r="H240" s="97" t="s">
        <v>151</v>
      </c>
      <c r="I240" s="96"/>
      <c r="J240" s="100" t="s">
        <v>292</v>
      </c>
      <c r="K240" s="101" t="s">
        <v>293</v>
      </c>
      <c r="L240" s="88" t="s">
        <v>63</v>
      </c>
      <c r="M240" s="62" t="s">
        <v>92</v>
      </c>
      <c r="N240" s="43" t="s">
        <v>55</v>
      </c>
      <c r="O240" s="124" t="s">
        <v>56</v>
      </c>
      <c r="P240" s="101" t="s">
        <v>580</v>
      </c>
      <c r="Q240" s="107"/>
    </row>
    <row r="241" ht="39.75" hidden="1" customHeight="1">
      <c r="A241" s="73" t="s">
        <v>581</v>
      </c>
      <c r="B241" s="75" t="s">
        <v>51</v>
      </c>
      <c r="C241" s="73" t="s">
        <v>288</v>
      </c>
      <c r="D241" s="77">
        <v>3.0</v>
      </c>
      <c r="E241" s="77" t="s">
        <v>939</v>
      </c>
      <c r="F241" s="77" t="s">
        <v>148</v>
      </c>
      <c r="G241" s="77" t="s">
        <v>149</v>
      </c>
      <c r="H241" s="77" t="s">
        <v>151</v>
      </c>
      <c r="I241" s="75"/>
      <c r="J241" s="81" t="s">
        <v>292</v>
      </c>
      <c r="K241" s="45" t="s">
        <v>293</v>
      </c>
      <c r="L241" s="88" t="s">
        <v>63</v>
      </c>
      <c r="M241" s="62" t="s">
        <v>92</v>
      </c>
      <c r="N241" s="43" t="s">
        <v>55</v>
      </c>
      <c r="O241" s="59" t="s">
        <v>68</v>
      </c>
      <c r="P241" s="45" t="s">
        <v>550</v>
      </c>
      <c r="Q241" s="44" t="s">
        <v>552</v>
      </c>
    </row>
    <row r="242" ht="31.5" hidden="1" customHeight="1">
      <c r="A242" s="94" t="s">
        <v>582</v>
      </c>
      <c r="B242" s="96" t="s">
        <v>51</v>
      </c>
      <c r="C242" s="94" t="s">
        <v>288</v>
      </c>
      <c r="D242" s="97">
        <v>3.0</v>
      </c>
      <c r="E242" s="97" t="s">
        <v>939</v>
      </c>
      <c r="F242" s="97" t="s">
        <v>148</v>
      </c>
      <c r="G242" s="97" t="s">
        <v>149</v>
      </c>
      <c r="H242" s="97" t="s">
        <v>151</v>
      </c>
      <c r="I242" s="96"/>
      <c r="J242" s="100" t="s">
        <v>292</v>
      </c>
      <c r="K242" s="101" t="s">
        <v>293</v>
      </c>
      <c r="L242" s="88" t="s">
        <v>63</v>
      </c>
      <c r="M242" s="62" t="s">
        <v>92</v>
      </c>
      <c r="N242" s="43" t="s">
        <v>55</v>
      </c>
      <c r="O242" s="124" t="s">
        <v>56</v>
      </c>
      <c r="P242" s="101" t="s">
        <v>584</v>
      </c>
      <c r="Q242" s="107"/>
    </row>
    <row r="243" ht="31.5" hidden="1" customHeight="1">
      <c r="A243" s="73" t="s">
        <v>588</v>
      </c>
      <c r="B243" s="75" t="s">
        <v>51</v>
      </c>
      <c r="C243" s="73" t="s">
        <v>288</v>
      </c>
      <c r="D243" s="77">
        <v>3.0</v>
      </c>
      <c r="E243" s="77" t="s">
        <v>939</v>
      </c>
      <c r="F243" s="77" t="s">
        <v>148</v>
      </c>
      <c r="G243" s="77" t="s">
        <v>149</v>
      </c>
      <c r="H243" s="77" t="s">
        <v>151</v>
      </c>
      <c r="I243" s="75"/>
      <c r="J243" s="81" t="s">
        <v>292</v>
      </c>
      <c r="K243" s="45" t="s">
        <v>293</v>
      </c>
      <c r="L243" s="143" t="s">
        <v>150</v>
      </c>
      <c r="M243" s="50" t="s">
        <v>64</v>
      </c>
      <c r="N243" s="43" t="s">
        <v>55</v>
      </c>
      <c r="O243" s="115" t="s">
        <v>56</v>
      </c>
      <c r="P243" s="45" t="s">
        <v>590</v>
      </c>
      <c r="Q243" s="44"/>
    </row>
    <row r="244" ht="39.75" hidden="1" customHeight="1">
      <c r="A244" s="94" t="s">
        <v>597</v>
      </c>
      <c r="B244" s="96" t="s">
        <v>51</v>
      </c>
      <c r="C244" s="94" t="s">
        <v>288</v>
      </c>
      <c r="D244" s="97">
        <v>3.0</v>
      </c>
      <c r="E244" s="97" t="s">
        <v>939</v>
      </c>
      <c r="F244" s="97" t="s">
        <v>148</v>
      </c>
      <c r="G244" s="97" t="s">
        <v>149</v>
      </c>
      <c r="H244" s="97" t="s">
        <v>151</v>
      </c>
      <c r="I244" s="96"/>
      <c r="J244" s="100" t="s">
        <v>292</v>
      </c>
      <c r="K244" s="101" t="s">
        <v>293</v>
      </c>
      <c r="L244" s="88" t="s">
        <v>63</v>
      </c>
      <c r="M244" s="62" t="s">
        <v>92</v>
      </c>
      <c r="N244" s="43" t="s">
        <v>55</v>
      </c>
      <c r="O244" s="105" t="s">
        <v>68</v>
      </c>
      <c r="P244" s="101" t="s">
        <v>550</v>
      </c>
      <c r="Q244" s="107" t="s">
        <v>552</v>
      </c>
    </row>
    <row r="245" ht="31.5" hidden="1" customHeight="1">
      <c r="A245" s="73" t="s">
        <v>599</v>
      </c>
      <c r="B245" s="75" t="s">
        <v>51</v>
      </c>
      <c r="C245" s="73" t="s">
        <v>288</v>
      </c>
      <c r="D245" s="77">
        <v>3.0</v>
      </c>
      <c r="E245" s="77" t="s">
        <v>939</v>
      </c>
      <c r="F245" s="77" t="s">
        <v>148</v>
      </c>
      <c r="G245" s="77" t="s">
        <v>149</v>
      </c>
      <c r="H245" s="77" t="s">
        <v>151</v>
      </c>
      <c r="I245" s="75"/>
      <c r="J245" s="81" t="s">
        <v>292</v>
      </c>
      <c r="K245" s="45" t="s">
        <v>293</v>
      </c>
      <c r="L245" s="88" t="s">
        <v>63</v>
      </c>
      <c r="M245" s="62" t="s">
        <v>92</v>
      </c>
      <c r="N245" s="43" t="s">
        <v>55</v>
      </c>
      <c r="O245" s="115" t="s">
        <v>56</v>
      </c>
      <c r="P245" s="45" t="s">
        <v>601</v>
      </c>
      <c r="Q245" s="44"/>
    </row>
    <row r="246" ht="39.75" hidden="1" customHeight="1">
      <c r="A246" s="94" t="s">
        <v>615</v>
      </c>
      <c r="B246" s="96" t="s">
        <v>51</v>
      </c>
      <c r="C246" s="94" t="s">
        <v>288</v>
      </c>
      <c r="D246" s="97">
        <v>3.0</v>
      </c>
      <c r="E246" s="97" t="s">
        <v>939</v>
      </c>
      <c r="F246" s="97" t="s">
        <v>148</v>
      </c>
      <c r="G246" s="97" t="s">
        <v>149</v>
      </c>
      <c r="H246" s="97" t="s">
        <v>151</v>
      </c>
      <c r="I246" s="96"/>
      <c r="J246" s="100" t="s">
        <v>292</v>
      </c>
      <c r="K246" s="101" t="s">
        <v>293</v>
      </c>
      <c r="L246" s="88" t="s">
        <v>63</v>
      </c>
      <c r="M246" s="86" t="s">
        <v>164</v>
      </c>
      <c r="N246" s="43" t="s">
        <v>55</v>
      </c>
      <c r="O246" s="105" t="s">
        <v>68</v>
      </c>
      <c r="P246" s="101" t="s">
        <v>550</v>
      </c>
      <c r="Q246" s="107" t="s">
        <v>552</v>
      </c>
    </row>
    <row r="247" ht="31.5" hidden="1" customHeight="1">
      <c r="A247" s="73" t="s">
        <v>633</v>
      </c>
      <c r="B247" s="75" t="s">
        <v>51</v>
      </c>
      <c r="C247" s="73" t="s">
        <v>288</v>
      </c>
      <c r="D247" s="77">
        <v>3.0</v>
      </c>
      <c r="E247" s="77" t="s">
        <v>939</v>
      </c>
      <c r="F247" s="77" t="s">
        <v>148</v>
      </c>
      <c r="G247" s="77" t="s">
        <v>149</v>
      </c>
      <c r="H247" s="77" t="s">
        <v>151</v>
      </c>
      <c r="I247" s="75"/>
      <c r="J247" s="81" t="s">
        <v>292</v>
      </c>
      <c r="K247" s="45" t="s">
        <v>293</v>
      </c>
      <c r="L247" s="140" t="s">
        <v>52</v>
      </c>
      <c r="M247" s="62" t="s">
        <v>92</v>
      </c>
      <c r="N247" s="43" t="s">
        <v>55</v>
      </c>
      <c r="O247" s="115" t="s">
        <v>56</v>
      </c>
      <c r="P247" s="45" t="s">
        <v>635</v>
      </c>
      <c r="Q247" s="44"/>
    </row>
    <row r="248" ht="39.75" hidden="1" customHeight="1">
      <c r="A248" s="94" t="s">
        <v>651</v>
      </c>
      <c r="B248" s="96" t="s">
        <v>51</v>
      </c>
      <c r="C248" s="94" t="s">
        <v>288</v>
      </c>
      <c r="D248" s="97">
        <v>3.0</v>
      </c>
      <c r="E248" s="97" t="s">
        <v>939</v>
      </c>
      <c r="F248" s="97" t="s">
        <v>148</v>
      </c>
      <c r="G248" s="97" t="s">
        <v>149</v>
      </c>
      <c r="H248" s="154" t="s">
        <v>466</v>
      </c>
      <c r="I248" s="96"/>
      <c r="J248" s="100" t="s">
        <v>292</v>
      </c>
      <c r="K248" s="101" t="s">
        <v>293</v>
      </c>
      <c r="L248" s="125" t="s">
        <v>92</v>
      </c>
      <c r="M248" s="86" t="s">
        <v>164</v>
      </c>
      <c r="N248" s="43" t="s">
        <v>55</v>
      </c>
      <c r="O248" s="105" t="s">
        <v>187</v>
      </c>
      <c r="P248" s="101" t="s">
        <v>550</v>
      </c>
      <c r="Q248" s="107" t="s">
        <v>653</v>
      </c>
    </row>
    <row r="249" ht="31.5" hidden="1" customHeight="1">
      <c r="A249" s="73" t="s">
        <v>683</v>
      </c>
      <c r="B249" s="75" t="s">
        <v>51</v>
      </c>
      <c r="C249" s="73" t="s">
        <v>288</v>
      </c>
      <c r="D249" s="77">
        <v>3.0</v>
      </c>
      <c r="E249" s="77" t="s">
        <v>939</v>
      </c>
      <c r="F249" s="77" t="s">
        <v>148</v>
      </c>
      <c r="G249" s="77" t="s">
        <v>149</v>
      </c>
      <c r="H249" s="77" t="s">
        <v>151</v>
      </c>
      <c r="I249" s="75"/>
      <c r="J249" s="81" t="s">
        <v>292</v>
      </c>
      <c r="K249" s="45" t="s">
        <v>293</v>
      </c>
      <c r="L249" s="127" t="s">
        <v>64</v>
      </c>
      <c r="M249" s="138" t="s">
        <v>199</v>
      </c>
      <c r="N249" s="43" t="s">
        <v>55</v>
      </c>
      <c r="O249" s="115" t="s">
        <v>56</v>
      </c>
      <c r="P249" s="45" t="s">
        <v>685</v>
      </c>
      <c r="Q249" s="44"/>
    </row>
    <row r="250" ht="31.5" hidden="1" customHeight="1">
      <c r="A250" s="94" t="s">
        <v>711</v>
      </c>
      <c r="B250" s="96" t="s">
        <v>51</v>
      </c>
      <c r="C250" s="94" t="s">
        <v>288</v>
      </c>
      <c r="D250" s="97">
        <v>3.0</v>
      </c>
      <c r="E250" s="97" t="s">
        <v>939</v>
      </c>
      <c r="F250" s="97" t="s">
        <v>148</v>
      </c>
      <c r="G250" s="97" t="s">
        <v>149</v>
      </c>
      <c r="H250" s="97" t="s">
        <v>151</v>
      </c>
      <c r="I250" s="96"/>
      <c r="J250" s="100" t="s">
        <v>292</v>
      </c>
      <c r="K250" s="101" t="s">
        <v>293</v>
      </c>
      <c r="L250" s="88" t="s">
        <v>63</v>
      </c>
      <c r="M250" s="62" t="s">
        <v>92</v>
      </c>
      <c r="N250" s="43" t="s">
        <v>55</v>
      </c>
      <c r="O250" s="124" t="s">
        <v>56</v>
      </c>
      <c r="P250" s="101" t="s">
        <v>713</v>
      </c>
      <c r="Q250" s="107"/>
    </row>
    <row r="251" ht="31.5" hidden="1" customHeight="1">
      <c r="A251" s="73" t="s">
        <v>719</v>
      </c>
      <c r="B251" s="75" t="s">
        <v>51</v>
      </c>
      <c r="C251" s="73" t="s">
        <v>288</v>
      </c>
      <c r="D251" s="77">
        <v>3.0</v>
      </c>
      <c r="E251" s="77" t="s">
        <v>939</v>
      </c>
      <c r="F251" s="77" t="s">
        <v>148</v>
      </c>
      <c r="G251" s="77" t="s">
        <v>149</v>
      </c>
      <c r="H251" s="77" t="s">
        <v>151</v>
      </c>
      <c r="I251" s="75"/>
      <c r="J251" s="81" t="s">
        <v>292</v>
      </c>
      <c r="K251" s="45" t="s">
        <v>293</v>
      </c>
      <c r="L251" s="88" t="s">
        <v>63</v>
      </c>
      <c r="M251" s="62" t="s">
        <v>92</v>
      </c>
      <c r="N251" s="43" t="s">
        <v>55</v>
      </c>
      <c r="O251" s="115" t="s">
        <v>56</v>
      </c>
      <c r="P251" s="45" t="s">
        <v>722</v>
      </c>
      <c r="Q251" s="44"/>
    </row>
    <row r="252" ht="31.5" hidden="1" customHeight="1">
      <c r="A252" s="94" t="s">
        <v>740</v>
      </c>
      <c r="B252" s="96" t="s">
        <v>51</v>
      </c>
      <c r="C252" s="94" t="s">
        <v>288</v>
      </c>
      <c r="D252" s="97">
        <v>3.0</v>
      </c>
      <c r="E252" s="97" t="s">
        <v>939</v>
      </c>
      <c r="F252" s="97" t="s">
        <v>148</v>
      </c>
      <c r="G252" s="97" t="s">
        <v>149</v>
      </c>
      <c r="H252" s="97" t="s">
        <v>151</v>
      </c>
      <c r="I252" s="96"/>
      <c r="J252" s="100" t="s">
        <v>292</v>
      </c>
      <c r="K252" s="101" t="s">
        <v>293</v>
      </c>
      <c r="L252" s="165" t="s">
        <v>192</v>
      </c>
      <c r="M252" s="149" t="s">
        <v>503</v>
      </c>
      <c r="N252" s="150" t="s">
        <v>35</v>
      </c>
      <c r="O252" s="124" t="s">
        <v>56</v>
      </c>
      <c r="P252" s="101" t="s">
        <v>742</v>
      </c>
      <c r="Q252" s="107" t="s">
        <v>743</v>
      </c>
    </row>
    <row r="253" ht="31.5" hidden="1" customHeight="1">
      <c r="A253" s="73" t="s">
        <v>751</v>
      </c>
      <c r="B253" s="75" t="s">
        <v>51</v>
      </c>
      <c r="C253" s="73" t="s">
        <v>288</v>
      </c>
      <c r="D253" s="77">
        <v>3.0</v>
      </c>
      <c r="E253" s="77" t="s">
        <v>939</v>
      </c>
      <c r="F253" s="77" t="s">
        <v>148</v>
      </c>
      <c r="G253" s="77" t="s">
        <v>149</v>
      </c>
      <c r="H253" s="77" t="s">
        <v>151</v>
      </c>
      <c r="I253" s="75"/>
      <c r="J253" s="81" t="s">
        <v>292</v>
      </c>
      <c r="K253" s="45" t="s">
        <v>293</v>
      </c>
      <c r="L253" s="127" t="s">
        <v>64</v>
      </c>
      <c r="M253" s="86" t="s">
        <v>164</v>
      </c>
      <c r="N253" s="43" t="s">
        <v>55</v>
      </c>
      <c r="O253" s="115" t="s">
        <v>144</v>
      </c>
      <c r="P253" s="45" t="s">
        <v>755</v>
      </c>
      <c r="Q253" s="44" t="s">
        <v>756</v>
      </c>
    </row>
    <row r="254" ht="31.5" hidden="1" customHeight="1">
      <c r="A254" s="94" t="s">
        <v>757</v>
      </c>
      <c r="B254" s="96" t="s">
        <v>51</v>
      </c>
      <c r="C254" s="94" t="s">
        <v>288</v>
      </c>
      <c r="D254" s="97">
        <v>3.0</v>
      </c>
      <c r="E254" s="97" t="s">
        <v>939</v>
      </c>
      <c r="F254" s="97" t="s">
        <v>148</v>
      </c>
      <c r="G254" s="97" t="s">
        <v>149</v>
      </c>
      <c r="H254" s="97" t="s">
        <v>151</v>
      </c>
      <c r="I254" s="96"/>
      <c r="J254" s="100" t="s">
        <v>292</v>
      </c>
      <c r="K254" s="101" t="s">
        <v>293</v>
      </c>
      <c r="L254" s="140" t="s">
        <v>52</v>
      </c>
      <c r="M254" s="62" t="s">
        <v>92</v>
      </c>
      <c r="N254" s="43" t="s">
        <v>55</v>
      </c>
      <c r="O254" s="124" t="s">
        <v>56</v>
      </c>
      <c r="P254" s="101" t="s">
        <v>759</v>
      </c>
      <c r="Q254" s="107"/>
    </row>
    <row r="255" ht="31.5" hidden="1" customHeight="1">
      <c r="A255" s="73" t="s">
        <v>761</v>
      </c>
      <c r="B255" s="75" t="s">
        <v>51</v>
      </c>
      <c r="C255" s="73" t="s">
        <v>288</v>
      </c>
      <c r="D255" s="77">
        <v>3.0</v>
      </c>
      <c r="E255" s="77" t="s">
        <v>939</v>
      </c>
      <c r="F255" s="77" t="s">
        <v>148</v>
      </c>
      <c r="G255" s="77" t="s">
        <v>149</v>
      </c>
      <c r="H255" s="77" t="s">
        <v>151</v>
      </c>
      <c r="I255" s="75"/>
      <c r="J255" s="81" t="s">
        <v>292</v>
      </c>
      <c r="K255" s="45" t="s">
        <v>293</v>
      </c>
      <c r="L255" s="88" t="s">
        <v>63</v>
      </c>
      <c r="M255" s="86" t="s">
        <v>164</v>
      </c>
      <c r="N255" s="43" t="s">
        <v>55</v>
      </c>
      <c r="O255" s="115" t="s">
        <v>56</v>
      </c>
      <c r="P255" s="45" t="s">
        <v>764</v>
      </c>
      <c r="Q255" s="44"/>
    </row>
    <row r="256" ht="31.5" hidden="1" customHeight="1">
      <c r="A256" s="94" t="s">
        <v>772</v>
      </c>
      <c r="B256" s="96" t="s">
        <v>51</v>
      </c>
      <c r="C256" s="94" t="s">
        <v>288</v>
      </c>
      <c r="D256" s="97">
        <v>3.0</v>
      </c>
      <c r="E256" s="97" t="s">
        <v>939</v>
      </c>
      <c r="F256" s="97" t="s">
        <v>148</v>
      </c>
      <c r="G256" s="97" t="s">
        <v>149</v>
      </c>
      <c r="H256" s="97" t="s">
        <v>151</v>
      </c>
      <c r="I256" s="96"/>
      <c r="J256" s="100" t="s">
        <v>292</v>
      </c>
      <c r="K256" s="101" t="s">
        <v>293</v>
      </c>
      <c r="L256" s="127" t="s">
        <v>64</v>
      </c>
      <c r="M256" s="49" t="s">
        <v>63</v>
      </c>
      <c r="N256" s="43" t="s">
        <v>55</v>
      </c>
      <c r="O256" s="124" t="s">
        <v>56</v>
      </c>
      <c r="P256" s="101" t="s">
        <v>774</v>
      </c>
      <c r="Q256" s="107"/>
    </row>
    <row r="257" ht="39.75" customHeight="1">
      <c r="A257" s="73" t="s">
        <v>700</v>
      </c>
      <c r="B257" s="75" t="s">
        <v>60</v>
      </c>
      <c r="C257" s="73" t="s">
        <v>294</v>
      </c>
      <c r="D257" s="77">
        <v>1.0</v>
      </c>
      <c r="E257" s="77" t="s">
        <v>146</v>
      </c>
      <c r="F257" s="77" t="s">
        <v>148</v>
      </c>
      <c r="G257" s="77" t="s">
        <v>149</v>
      </c>
      <c r="H257" s="77" t="s">
        <v>151</v>
      </c>
      <c r="I257" s="75"/>
      <c r="J257" s="81" t="s">
        <v>296</v>
      </c>
      <c r="K257" s="45" t="s">
        <v>297</v>
      </c>
      <c r="L257" s="88" t="s">
        <v>63</v>
      </c>
      <c r="M257" s="50" t="s">
        <v>64</v>
      </c>
      <c r="N257" s="43" t="s">
        <v>55</v>
      </c>
      <c r="O257" s="59" t="s">
        <v>68</v>
      </c>
      <c r="P257" s="45" t="s">
        <v>706</v>
      </c>
      <c r="Q257" s="44" t="s">
        <v>709</v>
      </c>
    </row>
    <row r="258" ht="39.75" customHeight="1">
      <c r="A258" s="94" t="s">
        <v>710</v>
      </c>
      <c r="B258" s="96" t="s">
        <v>60</v>
      </c>
      <c r="C258" s="94" t="s">
        <v>294</v>
      </c>
      <c r="D258" s="97">
        <v>1.0</v>
      </c>
      <c r="E258" s="97" t="s">
        <v>146</v>
      </c>
      <c r="F258" s="97" t="s">
        <v>148</v>
      </c>
      <c r="G258" s="97" t="s">
        <v>149</v>
      </c>
      <c r="H258" s="97" t="s">
        <v>151</v>
      </c>
      <c r="I258" s="96"/>
      <c r="J258" s="100" t="s">
        <v>296</v>
      </c>
      <c r="K258" s="101" t="s">
        <v>297</v>
      </c>
      <c r="L258" s="88" t="s">
        <v>63</v>
      </c>
      <c r="M258" s="86" t="s">
        <v>164</v>
      </c>
      <c r="N258" s="43" t="s">
        <v>55</v>
      </c>
      <c r="O258" s="105" t="s">
        <v>68</v>
      </c>
      <c r="P258" s="101" t="s">
        <v>706</v>
      </c>
      <c r="Q258" s="107" t="s">
        <v>709</v>
      </c>
    </row>
    <row r="259" ht="39.75" customHeight="1">
      <c r="A259" s="73" t="s">
        <v>717</v>
      </c>
      <c r="B259" s="75" t="s">
        <v>60</v>
      </c>
      <c r="C259" s="73" t="s">
        <v>294</v>
      </c>
      <c r="D259" s="77">
        <v>1.0</v>
      </c>
      <c r="E259" s="77" t="s">
        <v>146</v>
      </c>
      <c r="F259" s="77" t="s">
        <v>148</v>
      </c>
      <c r="G259" s="77" t="s">
        <v>149</v>
      </c>
      <c r="H259" s="77" t="s">
        <v>151</v>
      </c>
      <c r="I259" s="75"/>
      <c r="J259" s="81" t="s">
        <v>296</v>
      </c>
      <c r="K259" s="45" t="s">
        <v>297</v>
      </c>
      <c r="L259" s="88" t="s">
        <v>63</v>
      </c>
      <c r="M259" s="50" t="s">
        <v>64</v>
      </c>
      <c r="N259" s="43" t="s">
        <v>55</v>
      </c>
      <c r="O259" s="59" t="s">
        <v>68</v>
      </c>
      <c r="P259" s="45" t="s">
        <v>706</v>
      </c>
      <c r="Q259" s="44" t="s">
        <v>709</v>
      </c>
    </row>
    <row r="260" ht="39.75" customHeight="1">
      <c r="A260" s="94" t="s">
        <v>720</v>
      </c>
      <c r="B260" s="96" t="s">
        <v>60</v>
      </c>
      <c r="C260" s="94" t="s">
        <v>294</v>
      </c>
      <c r="D260" s="97">
        <v>1.0</v>
      </c>
      <c r="E260" s="97" t="s">
        <v>146</v>
      </c>
      <c r="F260" s="97" t="s">
        <v>148</v>
      </c>
      <c r="G260" s="97" t="s">
        <v>149</v>
      </c>
      <c r="H260" s="97" t="s">
        <v>151</v>
      </c>
      <c r="I260" s="96"/>
      <c r="J260" s="100" t="s">
        <v>296</v>
      </c>
      <c r="K260" s="101" t="s">
        <v>297</v>
      </c>
      <c r="L260" s="140" t="s">
        <v>52</v>
      </c>
      <c r="M260" s="86" t="s">
        <v>164</v>
      </c>
      <c r="N260" s="43" t="s">
        <v>55</v>
      </c>
      <c r="O260" s="105" t="s">
        <v>68</v>
      </c>
      <c r="P260" s="101" t="s">
        <v>706</v>
      </c>
      <c r="Q260" s="107" t="s">
        <v>709</v>
      </c>
    </row>
    <row r="261" ht="30.0" customHeight="1">
      <c r="A261" s="73" t="s">
        <v>727</v>
      </c>
      <c r="B261" s="75" t="s">
        <v>60</v>
      </c>
      <c r="C261" s="73" t="s">
        <v>294</v>
      </c>
      <c r="D261" s="77">
        <v>1.0</v>
      </c>
      <c r="E261" s="77" t="s">
        <v>146</v>
      </c>
      <c r="F261" s="77" t="s">
        <v>148</v>
      </c>
      <c r="G261" s="77" t="s">
        <v>149</v>
      </c>
      <c r="H261" s="77" t="s">
        <v>151</v>
      </c>
      <c r="I261" s="75"/>
      <c r="J261" s="81" t="s">
        <v>296</v>
      </c>
      <c r="K261" s="45" t="s">
        <v>297</v>
      </c>
      <c r="L261" s="137" t="s">
        <v>164</v>
      </c>
      <c r="M261" s="50" t="s">
        <v>64</v>
      </c>
      <c r="N261" s="43" t="s">
        <v>55</v>
      </c>
      <c r="O261" s="115" t="s">
        <v>56</v>
      </c>
      <c r="P261" s="45" t="s">
        <v>730</v>
      </c>
      <c r="Q261" s="44" t="s">
        <v>733</v>
      </c>
    </row>
    <row r="262" ht="39.75" customHeight="1">
      <c r="A262" s="94" t="s">
        <v>734</v>
      </c>
      <c r="B262" s="96" t="s">
        <v>60</v>
      </c>
      <c r="C262" s="94" t="s">
        <v>294</v>
      </c>
      <c r="D262" s="97">
        <v>1.0</v>
      </c>
      <c r="E262" s="97" t="s">
        <v>146</v>
      </c>
      <c r="F262" s="97" t="s">
        <v>148</v>
      </c>
      <c r="G262" s="97" t="s">
        <v>149</v>
      </c>
      <c r="H262" s="97" t="s">
        <v>151</v>
      </c>
      <c r="I262" s="96"/>
      <c r="J262" s="100" t="s">
        <v>296</v>
      </c>
      <c r="K262" s="101" t="s">
        <v>297</v>
      </c>
      <c r="L262" s="88" t="s">
        <v>63</v>
      </c>
      <c r="M262" s="86" t="s">
        <v>164</v>
      </c>
      <c r="N262" s="43" t="s">
        <v>55</v>
      </c>
      <c r="O262" s="105" t="s">
        <v>68</v>
      </c>
      <c r="P262" s="101" t="s">
        <v>706</v>
      </c>
      <c r="Q262" s="107" t="s">
        <v>709</v>
      </c>
    </row>
    <row r="263" ht="30.0" customHeight="1">
      <c r="A263" s="73" t="s">
        <v>739</v>
      </c>
      <c r="B263" s="75" t="s">
        <v>60</v>
      </c>
      <c r="C263" s="73" t="s">
        <v>294</v>
      </c>
      <c r="D263" s="77">
        <v>1.0</v>
      </c>
      <c r="E263" s="77" t="s">
        <v>146</v>
      </c>
      <c r="F263" s="77" t="s">
        <v>148</v>
      </c>
      <c r="G263" s="77" t="s">
        <v>149</v>
      </c>
      <c r="H263" s="77" t="s">
        <v>151</v>
      </c>
      <c r="I263" s="75"/>
      <c r="J263" s="81" t="s">
        <v>296</v>
      </c>
      <c r="K263" s="45" t="s">
        <v>297</v>
      </c>
      <c r="L263" s="88" t="s">
        <v>63</v>
      </c>
      <c r="M263" s="138" t="s">
        <v>199</v>
      </c>
      <c r="N263" s="43" t="s">
        <v>55</v>
      </c>
      <c r="O263" s="115" t="s">
        <v>56</v>
      </c>
      <c r="P263" s="45" t="s">
        <v>745</v>
      </c>
      <c r="Q263" s="44" t="s">
        <v>269</v>
      </c>
    </row>
    <row r="264" ht="39.75" customHeight="1">
      <c r="A264" s="94" t="s">
        <v>748</v>
      </c>
      <c r="B264" s="96" t="s">
        <v>60</v>
      </c>
      <c r="C264" s="94" t="s">
        <v>294</v>
      </c>
      <c r="D264" s="97">
        <v>1.0</v>
      </c>
      <c r="E264" s="97" t="s">
        <v>146</v>
      </c>
      <c r="F264" s="97" t="s">
        <v>148</v>
      </c>
      <c r="G264" s="97" t="s">
        <v>149</v>
      </c>
      <c r="H264" s="97" t="s">
        <v>151</v>
      </c>
      <c r="I264" s="96"/>
      <c r="J264" s="100" t="s">
        <v>296</v>
      </c>
      <c r="K264" s="101" t="s">
        <v>297</v>
      </c>
      <c r="L264" s="125" t="s">
        <v>92</v>
      </c>
      <c r="M264" s="50" t="s">
        <v>64</v>
      </c>
      <c r="N264" s="43" t="s">
        <v>55</v>
      </c>
      <c r="O264" s="124" t="s">
        <v>56</v>
      </c>
      <c r="P264" s="101" t="s">
        <v>750</v>
      </c>
      <c r="Q264" s="107" t="s">
        <v>752</v>
      </c>
    </row>
    <row r="265" ht="30.0" customHeight="1">
      <c r="A265" s="73" t="s">
        <v>753</v>
      </c>
      <c r="B265" s="75" t="s">
        <v>60</v>
      </c>
      <c r="C265" s="73" t="s">
        <v>294</v>
      </c>
      <c r="D265" s="77">
        <v>1.0</v>
      </c>
      <c r="E265" s="77" t="s">
        <v>146</v>
      </c>
      <c r="F265" s="77" t="s">
        <v>148</v>
      </c>
      <c r="G265" s="77" t="s">
        <v>149</v>
      </c>
      <c r="H265" s="77" t="s">
        <v>151</v>
      </c>
      <c r="I265" s="75"/>
      <c r="J265" s="81" t="s">
        <v>296</v>
      </c>
      <c r="K265" s="45" t="s">
        <v>297</v>
      </c>
      <c r="L265" s="88" t="s">
        <v>63</v>
      </c>
      <c r="M265" s="50" t="s">
        <v>64</v>
      </c>
      <c r="N265" s="43" t="s">
        <v>55</v>
      </c>
      <c r="O265" s="115" t="s">
        <v>56</v>
      </c>
      <c r="P265" s="45" t="s">
        <v>760</v>
      </c>
      <c r="Q265" s="44"/>
    </row>
    <row r="266" ht="30.0" customHeight="1">
      <c r="A266" s="94" t="s">
        <v>763</v>
      </c>
      <c r="B266" s="96" t="s">
        <v>60</v>
      </c>
      <c r="C266" s="94" t="s">
        <v>294</v>
      </c>
      <c r="D266" s="97">
        <v>1.0</v>
      </c>
      <c r="E266" s="97" t="s">
        <v>146</v>
      </c>
      <c r="F266" s="97" t="s">
        <v>148</v>
      </c>
      <c r="G266" s="97" t="s">
        <v>149</v>
      </c>
      <c r="H266" s="97" t="s">
        <v>151</v>
      </c>
      <c r="I266" s="96"/>
      <c r="J266" s="100" t="s">
        <v>296</v>
      </c>
      <c r="K266" s="101" t="s">
        <v>297</v>
      </c>
      <c r="L266" s="88" t="s">
        <v>63</v>
      </c>
      <c r="M266" s="50" t="s">
        <v>64</v>
      </c>
      <c r="N266" s="43" t="s">
        <v>55</v>
      </c>
      <c r="O266" s="124" t="s">
        <v>56</v>
      </c>
      <c r="P266" s="101" t="s">
        <v>768</v>
      </c>
      <c r="Q266" s="107"/>
    </row>
    <row r="267" ht="39.75" customHeight="1">
      <c r="A267" s="73" t="s">
        <v>769</v>
      </c>
      <c r="B267" s="75" t="s">
        <v>60</v>
      </c>
      <c r="C267" s="73" t="s">
        <v>294</v>
      </c>
      <c r="D267" s="77">
        <v>1.0</v>
      </c>
      <c r="E267" s="77" t="s">
        <v>146</v>
      </c>
      <c r="F267" s="77" t="s">
        <v>148</v>
      </c>
      <c r="G267" s="77" t="s">
        <v>149</v>
      </c>
      <c r="H267" s="77" t="s">
        <v>151</v>
      </c>
      <c r="I267" s="75"/>
      <c r="J267" s="81" t="s">
        <v>296</v>
      </c>
      <c r="K267" s="45" t="s">
        <v>297</v>
      </c>
      <c r="L267" s="88" t="s">
        <v>63</v>
      </c>
      <c r="M267" s="50" t="s">
        <v>64</v>
      </c>
      <c r="N267" s="43" t="s">
        <v>55</v>
      </c>
      <c r="O267" s="59" t="s">
        <v>68</v>
      </c>
      <c r="P267" s="45" t="s">
        <v>706</v>
      </c>
      <c r="Q267" s="44" t="s">
        <v>775</v>
      </c>
    </row>
    <row r="268" ht="30.0" customHeight="1">
      <c r="A268" s="94" t="s">
        <v>776</v>
      </c>
      <c r="B268" s="96" t="s">
        <v>60</v>
      </c>
      <c r="C268" s="94" t="s">
        <v>294</v>
      </c>
      <c r="D268" s="97">
        <v>1.0</v>
      </c>
      <c r="E268" s="97" t="s">
        <v>146</v>
      </c>
      <c r="F268" s="97" t="s">
        <v>148</v>
      </c>
      <c r="G268" s="97" t="s">
        <v>149</v>
      </c>
      <c r="H268" s="97" t="s">
        <v>151</v>
      </c>
      <c r="I268" s="96"/>
      <c r="J268" s="100" t="s">
        <v>296</v>
      </c>
      <c r="K268" s="101" t="s">
        <v>297</v>
      </c>
      <c r="L268" s="125" t="s">
        <v>92</v>
      </c>
      <c r="M268" s="86" t="s">
        <v>164</v>
      </c>
      <c r="N268" s="43" t="s">
        <v>55</v>
      </c>
      <c r="O268" s="124" t="s">
        <v>56</v>
      </c>
      <c r="P268" s="101" t="s">
        <v>781</v>
      </c>
      <c r="Q268" s="107"/>
    </row>
    <row r="269" ht="39.75" customHeight="1">
      <c r="A269" s="73" t="s">
        <v>784</v>
      </c>
      <c r="B269" s="75" t="s">
        <v>60</v>
      </c>
      <c r="C269" s="73" t="s">
        <v>294</v>
      </c>
      <c r="D269" s="77">
        <v>1.0</v>
      </c>
      <c r="E269" s="77" t="s">
        <v>146</v>
      </c>
      <c r="F269" s="77" t="s">
        <v>148</v>
      </c>
      <c r="G269" s="77" t="s">
        <v>149</v>
      </c>
      <c r="H269" s="77" t="s">
        <v>151</v>
      </c>
      <c r="I269" s="75"/>
      <c r="J269" s="81" t="s">
        <v>296</v>
      </c>
      <c r="K269" s="45" t="s">
        <v>297</v>
      </c>
      <c r="L269" s="125" t="s">
        <v>92</v>
      </c>
      <c r="M269" s="50" t="s">
        <v>64</v>
      </c>
      <c r="N269" s="43" t="s">
        <v>55</v>
      </c>
      <c r="O269" s="59" t="s">
        <v>68</v>
      </c>
      <c r="P269" s="45" t="s">
        <v>706</v>
      </c>
      <c r="Q269" s="44" t="s">
        <v>709</v>
      </c>
    </row>
    <row r="270" ht="30.0" customHeight="1">
      <c r="A270" s="94" t="s">
        <v>788</v>
      </c>
      <c r="B270" s="96" t="s">
        <v>60</v>
      </c>
      <c r="C270" s="94" t="s">
        <v>294</v>
      </c>
      <c r="D270" s="97">
        <v>1.0</v>
      </c>
      <c r="E270" s="97" t="s">
        <v>146</v>
      </c>
      <c r="F270" s="97" t="s">
        <v>148</v>
      </c>
      <c r="G270" s="97" t="s">
        <v>149</v>
      </c>
      <c r="H270" s="97" t="s">
        <v>151</v>
      </c>
      <c r="I270" s="96"/>
      <c r="J270" s="100" t="s">
        <v>296</v>
      </c>
      <c r="K270" s="101" t="s">
        <v>297</v>
      </c>
      <c r="L270" s="137" t="s">
        <v>164</v>
      </c>
      <c r="M270" s="50" t="s">
        <v>64</v>
      </c>
      <c r="N270" s="43" t="s">
        <v>55</v>
      </c>
      <c r="O270" s="124" t="s">
        <v>56</v>
      </c>
      <c r="P270" s="101" t="s">
        <v>797</v>
      </c>
      <c r="Q270" s="107"/>
    </row>
    <row r="271" ht="30.0" customHeight="1">
      <c r="A271" s="73" t="s">
        <v>799</v>
      </c>
      <c r="B271" s="75" t="s">
        <v>60</v>
      </c>
      <c r="C271" s="73" t="s">
        <v>294</v>
      </c>
      <c r="D271" s="77">
        <v>1.0</v>
      </c>
      <c r="E271" s="77" t="s">
        <v>146</v>
      </c>
      <c r="F271" s="77" t="s">
        <v>148</v>
      </c>
      <c r="G271" s="77" t="s">
        <v>149</v>
      </c>
      <c r="H271" s="77" t="s">
        <v>151</v>
      </c>
      <c r="I271" s="75"/>
      <c r="J271" s="81" t="s">
        <v>296</v>
      </c>
      <c r="K271" s="45" t="s">
        <v>297</v>
      </c>
      <c r="L271" s="125" t="s">
        <v>92</v>
      </c>
      <c r="M271" s="50" t="s">
        <v>64</v>
      </c>
      <c r="N271" s="43" t="s">
        <v>55</v>
      </c>
      <c r="O271" s="115" t="s">
        <v>56</v>
      </c>
      <c r="P271" s="45" t="s">
        <v>801</v>
      </c>
      <c r="Q271" s="44"/>
    </row>
    <row r="272" ht="39.75" customHeight="1">
      <c r="A272" s="94" t="s">
        <v>803</v>
      </c>
      <c r="B272" s="96" t="s">
        <v>60</v>
      </c>
      <c r="C272" s="94" t="s">
        <v>294</v>
      </c>
      <c r="D272" s="97">
        <v>1.0</v>
      </c>
      <c r="E272" s="97" t="s">
        <v>146</v>
      </c>
      <c r="F272" s="97" t="s">
        <v>148</v>
      </c>
      <c r="G272" s="97" t="s">
        <v>149</v>
      </c>
      <c r="H272" s="97" t="s">
        <v>151</v>
      </c>
      <c r="I272" s="96"/>
      <c r="J272" s="100" t="s">
        <v>296</v>
      </c>
      <c r="K272" s="101" t="s">
        <v>297</v>
      </c>
      <c r="L272" s="88" t="s">
        <v>63</v>
      </c>
      <c r="M272" s="50" t="s">
        <v>64</v>
      </c>
      <c r="N272" s="43" t="s">
        <v>55</v>
      </c>
      <c r="O272" s="105" t="s">
        <v>68</v>
      </c>
      <c r="P272" s="101" t="s">
        <v>706</v>
      </c>
      <c r="Q272" s="107" t="s">
        <v>709</v>
      </c>
    </row>
    <row r="273" ht="39.75" customHeight="1">
      <c r="A273" s="73" t="s">
        <v>810</v>
      </c>
      <c r="B273" s="75" t="s">
        <v>60</v>
      </c>
      <c r="C273" s="73" t="s">
        <v>294</v>
      </c>
      <c r="D273" s="77">
        <v>1.0</v>
      </c>
      <c r="E273" s="77" t="s">
        <v>146</v>
      </c>
      <c r="F273" s="77" t="s">
        <v>148</v>
      </c>
      <c r="G273" s="77" t="s">
        <v>149</v>
      </c>
      <c r="H273" s="77" t="s">
        <v>151</v>
      </c>
      <c r="I273" s="75"/>
      <c r="J273" s="81" t="s">
        <v>296</v>
      </c>
      <c r="K273" s="45" t="s">
        <v>297</v>
      </c>
      <c r="L273" s="127" t="s">
        <v>64</v>
      </c>
      <c r="M273" s="49" t="s">
        <v>63</v>
      </c>
      <c r="N273" s="43" t="s">
        <v>55</v>
      </c>
      <c r="O273" s="59" t="s">
        <v>68</v>
      </c>
      <c r="P273" s="45" t="s">
        <v>706</v>
      </c>
      <c r="Q273" s="44" t="s">
        <v>709</v>
      </c>
    </row>
    <row r="274" ht="39.75" customHeight="1">
      <c r="A274" s="94" t="s">
        <v>814</v>
      </c>
      <c r="B274" s="96" t="s">
        <v>60</v>
      </c>
      <c r="C274" s="94" t="s">
        <v>294</v>
      </c>
      <c r="D274" s="97">
        <v>1.0</v>
      </c>
      <c r="E274" s="97" t="s">
        <v>146</v>
      </c>
      <c r="F274" s="97" t="s">
        <v>148</v>
      </c>
      <c r="G274" s="97" t="s">
        <v>149</v>
      </c>
      <c r="H274" s="97" t="s">
        <v>151</v>
      </c>
      <c r="I274" s="96"/>
      <c r="J274" s="100" t="s">
        <v>296</v>
      </c>
      <c r="K274" s="101" t="s">
        <v>297</v>
      </c>
      <c r="L274" s="148" t="s">
        <v>199</v>
      </c>
      <c r="M274" s="50" t="s">
        <v>64</v>
      </c>
      <c r="N274" s="43" t="s">
        <v>55</v>
      </c>
      <c r="O274" s="105" t="s">
        <v>68</v>
      </c>
      <c r="P274" s="101" t="s">
        <v>706</v>
      </c>
      <c r="Q274" s="107" t="s">
        <v>709</v>
      </c>
    </row>
    <row r="275" ht="30.0" hidden="1" customHeight="1">
      <c r="A275" s="73" t="s">
        <v>806</v>
      </c>
      <c r="B275" s="75" t="s">
        <v>60</v>
      </c>
      <c r="C275" s="73" t="s">
        <v>299</v>
      </c>
      <c r="D275" s="77">
        <v>2.0</v>
      </c>
      <c r="E275" s="77" t="s">
        <v>146</v>
      </c>
      <c r="F275" s="77" t="s">
        <v>148</v>
      </c>
      <c r="G275" s="77" t="s">
        <v>149</v>
      </c>
      <c r="H275" s="77" t="s">
        <v>151</v>
      </c>
      <c r="I275" s="75"/>
      <c r="J275" s="81" t="s">
        <v>300</v>
      </c>
      <c r="K275" s="45" t="s">
        <v>301</v>
      </c>
      <c r="L275" s="125" t="s">
        <v>92</v>
      </c>
      <c r="M275" s="49" t="s">
        <v>63</v>
      </c>
      <c r="N275" s="43" t="s">
        <v>55</v>
      </c>
      <c r="O275" s="115" t="s">
        <v>56</v>
      </c>
      <c r="P275" s="45" t="s">
        <v>808</v>
      </c>
      <c r="Q275" s="44" t="s">
        <v>269</v>
      </c>
    </row>
    <row r="276" ht="39.75" hidden="1" customHeight="1">
      <c r="A276" s="94" t="s">
        <v>809</v>
      </c>
      <c r="B276" s="96" t="s">
        <v>60</v>
      </c>
      <c r="C276" s="94" t="s">
        <v>299</v>
      </c>
      <c r="D276" s="97">
        <v>2.0</v>
      </c>
      <c r="E276" s="97" t="s">
        <v>146</v>
      </c>
      <c r="F276" s="97" t="s">
        <v>148</v>
      </c>
      <c r="G276" s="97" t="s">
        <v>149</v>
      </c>
      <c r="H276" s="97" t="s">
        <v>151</v>
      </c>
      <c r="I276" s="96"/>
      <c r="J276" s="100" t="s">
        <v>300</v>
      </c>
      <c r="K276" s="101" t="s">
        <v>301</v>
      </c>
      <c r="L276" s="88" t="s">
        <v>63</v>
      </c>
      <c r="M276" s="50" t="s">
        <v>64</v>
      </c>
      <c r="N276" s="43" t="s">
        <v>55</v>
      </c>
      <c r="O276" s="105" t="s">
        <v>68</v>
      </c>
      <c r="P276" s="101" t="s">
        <v>706</v>
      </c>
      <c r="Q276" s="107" t="s">
        <v>709</v>
      </c>
    </row>
    <row r="277" ht="39.75" hidden="1" customHeight="1">
      <c r="A277" s="73" t="s">
        <v>813</v>
      </c>
      <c r="B277" s="75" t="s">
        <v>60</v>
      </c>
      <c r="C277" s="73" t="s">
        <v>299</v>
      </c>
      <c r="D277" s="77">
        <v>2.0</v>
      </c>
      <c r="E277" s="77" t="s">
        <v>146</v>
      </c>
      <c r="F277" s="77" t="s">
        <v>148</v>
      </c>
      <c r="G277" s="77" t="s">
        <v>149</v>
      </c>
      <c r="H277" s="77" t="s">
        <v>151</v>
      </c>
      <c r="I277" s="75"/>
      <c r="J277" s="81" t="s">
        <v>300</v>
      </c>
      <c r="K277" s="45" t="s">
        <v>301</v>
      </c>
      <c r="L277" s="125" t="s">
        <v>92</v>
      </c>
      <c r="M277" s="50" t="s">
        <v>64</v>
      </c>
      <c r="N277" s="43" t="s">
        <v>55</v>
      </c>
      <c r="O277" s="59" t="s">
        <v>68</v>
      </c>
      <c r="P277" s="45" t="s">
        <v>706</v>
      </c>
      <c r="Q277" s="44" t="s">
        <v>709</v>
      </c>
    </row>
    <row r="278" ht="39.75" hidden="1" customHeight="1">
      <c r="A278" s="94" t="s">
        <v>815</v>
      </c>
      <c r="B278" s="96" t="s">
        <v>60</v>
      </c>
      <c r="C278" s="94" t="s">
        <v>299</v>
      </c>
      <c r="D278" s="97">
        <v>2.0</v>
      </c>
      <c r="E278" s="97" t="s">
        <v>146</v>
      </c>
      <c r="F278" s="97" t="s">
        <v>148</v>
      </c>
      <c r="G278" s="97" t="s">
        <v>149</v>
      </c>
      <c r="H278" s="97" t="s">
        <v>151</v>
      </c>
      <c r="I278" s="96"/>
      <c r="J278" s="100" t="s">
        <v>300</v>
      </c>
      <c r="K278" s="101" t="s">
        <v>301</v>
      </c>
      <c r="L278" s="88" t="s">
        <v>63</v>
      </c>
      <c r="M278" s="86" t="s">
        <v>164</v>
      </c>
      <c r="N278" s="43" t="s">
        <v>55</v>
      </c>
      <c r="O278" s="105" t="s">
        <v>68</v>
      </c>
      <c r="P278" s="101" t="s">
        <v>706</v>
      </c>
      <c r="Q278" s="107" t="s">
        <v>709</v>
      </c>
    </row>
    <row r="279" ht="39.75" hidden="1" customHeight="1">
      <c r="A279" s="73" t="s">
        <v>818</v>
      </c>
      <c r="B279" s="75" t="s">
        <v>60</v>
      </c>
      <c r="C279" s="73" t="s">
        <v>299</v>
      </c>
      <c r="D279" s="77">
        <v>2.0</v>
      </c>
      <c r="E279" s="77" t="s">
        <v>146</v>
      </c>
      <c r="F279" s="77" t="s">
        <v>148</v>
      </c>
      <c r="G279" s="77" t="s">
        <v>149</v>
      </c>
      <c r="H279" s="77" t="s">
        <v>151</v>
      </c>
      <c r="I279" s="75"/>
      <c r="J279" s="81" t="s">
        <v>300</v>
      </c>
      <c r="K279" s="45" t="s">
        <v>301</v>
      </c>
      <c r="L279" s="125" t="s">
        <v>92</v>
      </c>
      <c r="M279" s="50" t="s">
        <v>64</v>
      </c>
      <c r="N279" s="43" t="s">
        <v>55</v>
      </c>
      <c r="O279" s="59" t="s">
        <v>68</v>
      </c>
      <c r="P279" s="45" t="s">
        <v>706</v>
      </c>
      <c r="Q279" s="44" t="s">
        <v>775</v>
      </c>
    </row>
    <row r="280" ht="39.75" hidden="1" customHeight="1">
      <c r="A280" s="94" t="s">
        <v>820</v>
      </c>
      <c r="B280" s="96" t="s">
        <v>60</v>
      </c>
      <c r="C280" s="94" t="s">
        <v>299</v>
      </c>
      <c r="D280" s="97">
        <v>2.0</v>
      </c>
      <c r="E280" s="97" t="s">
        <v>146</v>
      </c>
      <c r="F280" s="97" t="s">
        <v>148</v>
      </c>
      <c r="G280" s="97" t="s">
        <v>149</v>
      </c>
      <c r="H280" s="97" t="s">
        <v>151</v>
      </c>
      <c r="I280" s="96"/>
      <c r="J280" s="100" t="s">
        <v>300</v>
      </c>
      <c r="K280" s="101" t="s">
        <v>301</v>
      </c>
      <c r="L280" s="125" t="s">
        <v>92</v>
      </c>
      <c r="M280" s="50" t="s">
        <v>64</v>
      </c>
      <c r="N280" s="43" t="s">
        <v>55</v>
      </c>
      <c r="O280" s="105" t="s">
        <v>68</v>
      </c>
      <c r="P280" s="101" t="s">
        <v>706</v>
      </c>
      <c r="Q280" s="107" t="s">
        <v>709</v>
      </c>
    </row>
    <row r="281" ht="39.75" hidden="1" customHeight="1">
      <c r="A281" s="73" t="s">
        <v>821</v>
      </c>
      <c r="B281" s="75" t="s">
        <v>60</v>
      </c>
      <c r="C281" s="73" t="s">
        <v>299</v>
      </c>
      <c r="D281" s="77">
        <v>2.0</v>
      </c>
      <c r="E281" s="77" t="s">
        <v>146</v>
      </c>
      <c r="F281" s="77" t="s">
        <v>148</v>
      </c>
      <c r="G281" s="77" t="s">
        <v>149</v>
      </c>
      <c r="H281" s="77" t="s">
        <v>151</v>
      </c>
      <c r="I281" s="75"/>
      <c r="J281" s="81" t="s">
        <v>300</v>
      </c>
      <c r="K281" s="45" t="s">
        <v>301</v>
      </c>
      <c r="L281" s="140" t="s">
        <v>52</v>
      </c>
      <c r="M281" s="86" t="s">
        <v>164</v>
      </c>
      <c r="N281" s="43" t="s">
        <v>55</v>
      </c>
      <c r="O281" s="59" t="s">
        <v>68</v>
      </c>
      <c r="P281" s="45" t="s">
        <v>706</v>
      </c>
      <c r="Q281" s="44" t="s">
        <v>709</v>
      </c>
    </row>
    <row r="282" ht="39.75" hidden="1" customHeight="1">
      <c r="A282" s="94" t="s">
        <v>822</v>
      </c>
      <c r="B282" s="96" t="s">
        <v>60</v>
      </c>
      <c r="C282" s="94" t="s">
        <v>299</v>
      </c>
      <c r="D282" s="97">
        <v>2.0</v>
      </c>
      <c r="E282" s="97" t="s">
        <v>146</v>
      </c>
      <c r="F282" s="97" t="s">
        <v>148</v>
      </c>
      <c r="G282" s="97" t="s">
        <v>149</v>
      </c>
      <c r="H282" s="97" t="s">
        <v>151</v>
      </c>
      <c r="I282" s="96"/>
      <c r="J282" s="100" t="s">
        <v>300</v>
      </c>
      <c r="K282" s="101" t="s">
        <v>301</v>
      </c>
      <c r="L282" s="140" t="s">
        <v>52</v>
      </c>
      <c r="M282" s="62" t="s">
        <v>92</v>
      </c>
      <c r="N282" s="43" t="s">
        <v>55</v>
      </c>
      <c r="O282" s="105" t="s">
        <v>68</v>
      </c>
      <c r="P282" s="101" t="s">
        <v>706</v>
      </c>
      <c r="Q282" s="107" t="s">
        <v>709</v>
      </c>
    </row>
    <row r="283" ht="30.0" hidden="1" customHeight="1">
      <c r="A283" s="73" t="s">
        <v>823</v>
      </c>
      <c r="B283" s="75" t="s">
        <v>60</v>
      </c>
      <c r="C283" s="73" t="s">
        <v>299</v>
      </c>
      <c r="D283" s="77">
        <v>2.0</v>
      </c>
      <c r="E283" s="77" t="s">
        <v>146</v>
      </c>
      <c r="F283" s="77" t="s">
        <v>148</v>
      </c>
      <c r="G283" s="77" t="s">
        <v>149</v>
      </c>
      <c r="H283" s="77" t="s">
        <v>151</v>
      </c>
      <c r="I283" s="75"/>
      <c r="J283" s="81" t="s">
        <v>300</v>
      </c>
      <c r="K283" s="45" t="s">
        <v>301</v>
      </c>
      <c r="L283" s="88" t="s">
        <v>63</v>
      </c>
      <c r="M283" s="50" t="s">
        <v>64</v>
      </c>
      <c r="N283" s="43" t="s">
        <v>55</v>
      </c>
      <c r="O283" s="115" t="s">
        <v>56</v>
      </c>
      <c r="P283" s="45" t="s">
        <v>825</v>
      </c>
      <c r="Q283" s="44"/>
    </row>
    <row r="284" ht="39.75" hidden="1" customHeight="1">
      <c r="A284" s="94" t="s">
        <v>830</v>
      </c>
      <c r="B284" s="96" t="s">
        <v>60</v>
      </c>
      <c r="C284" s="94" t="s">
        <v>299</v>
      </c>
      <c r="D284" s="97">
        <v>2.0</v>
      </c>
      <c r="E284" s="97" t="s">
        <v>146</v>
      </c>
      <c r="F284" s="97" t="s">
        <v>148</v>
      </c>
      <c r="G284" s="97" t="s">
        <v>149</v>
      </c>
      <c r="H284" s="97" t="s">
        <v>151</v>
      </c>
      <c r="I284" s="96"/>
      <c r="J284" s="100" t="s">
        <v>300</v>
      </c>
      <c r="K284" s="101" t="s">
        <v>301</v>
      </c>
      <c r="L284" s="171" t="s">
        <v>170</v>
      </c>
      <c r="M284" s="50" t="s">
        <v>64</v>
      </c>
      <c r="N284" s="43" t="s">
        <v>55</v>
      </c>
      <c r="O284" s="105" t="s">
        <v>68</v>
      </c>
      <c r="P284" s="101" t="s">
        <v>706</v>
      </c>
      <c r="Q284" s="107" t="s">
        <v>709</v>
      </c>
    </row>
    <row r="285" ht="39.75" hidden="1" customHeight="1">
      <c r="A285" s="73" t="s">
        <v>833</v>
      </c>
      <c r="B285" s="75" t="s">
        <v>60</v>
      </c>
      <c r="C285" s="73" t="s">
        <v>299</v>
      </c>
      <c r="D285" s="77">
        <v>2.0</v>
      </c>
      <c r="E285" s="77" t="s">
        <v>146</v>
      </c>
      <c r="F285" s="77" t="s">
        <v>148</v>
      </c>
      <c r="G285" s="77" t="s">
        <v>149</v>
      </c>
      <c r="H285" s="77" t="s">
        <v>151</v>
      </c>
      <c r="I285" s="75"/>
      <c r="J285" s="81" t="s">
        <v>300</v>
      </c>
      <c r="K285" s="45" t="s">
        <v>301</v>
      </c>
      <c r="L285" s="148" t="s">
        <v>199</v>
      </c>
      <c r="M285" s="50" t="s">
        <v>64</v>
      </c>
      <c r="N285" s="43" t="s">
        <v>55</v>
      </c>
      <c r="O285" s="59" t="s">
        <v>68</v>
      </c>
      <c r="P285" s="45" t="s">
        <v>706</v>
      </c>
      <c r="Q285" s="44" t="s">
        <v>709</v>
      </c>
    </row>
    <row r="286" ht="30.0" hidden="1" customHeight="1">
      <c r="A286" s="94" t="s">
        <v>835</v>
      </c>
      <c r="B286" s="96" t="s">
        <v>60</v>
      </c>
      <c r="C286" s="94" t="s">
        <v>299</v>
      </c>
      <c r="D286" s="97">
        <v>2.0</v>
      </c>
      <c r="E286" s="97" t="s">
        <v>146</v>
      </c>
      <c r="F286" s="97" t="s">
        <v>148</v>
      </c>
      <c r="G286" s="97" t="s">
        <v>149</v>
      </c>
      <c r="H286" s="97" t="s">
        <v>151</v>
      </c>
      <c r="I286" s="96"/>
      <c r="J286" s="100" t="s">
        <v>300</v>
      </c>
      <c r="K286" s="101" t="s">
        <v>301</v>
      </c>
      <c r="L286" s="137" t="s">
        <v>164</v>
      </c>
      <c r="M286" s="50" t="s">
        <v>64</v>
      </c>
      <c r="N286" s="43" t="s">
        <v>55</v>
      </c>
      <c r="O286" s="124" t="s">
        <v>56</v>
      </c>
      <c r="P286" s="101" t="s">
        <v>837</v>
      </c>
      <c r="Q286" s="107" t="s">
        <v>838</v>
      </c>
    </row>
    <row r="287" ht="39.75" hidden="1" customHeight="1">
      <c r="A287" s="73" t="s">
        <v>842</v>
      </c>
      <c r="B287" s="75" t="s">
        <v>60</v>
      </c>
      <c r="C287" s="73" t="s">
        <v>299</v>
      </c>
      <c r="D287" s="77">
        <v>2.0</v>
      </c>
      <c r="E287" s="77" t="s">
        <v>146</v>
      </c>
      <c r="F287" s="77" t="s">
        <v>148</v>
      </c>
      <c r="G287" s="77" t="s">
        <v>149</v>
      </c>
      <c r="H287" s="77" t="s">
        <v>151</v>
      </c>
      <c r="I287" s="75"/>
      <c r="J287" s="81" t="s">
        <v>300</v>
      </c>
      <c r="K287" s="45" t="s">
        <v>301</v>
      </c>
      <c r="L287" s="125" t="s">
        <v>92</v>
      </c>
      <c r="M287" s="50" t="s">
        <v>64</v>
      </c>
      <c r="N287" s="43" t="s">
        <v>55</v>
      </c>
      <c r="O287" s="59" t="s">
        <v>68</v>
      </c>
      <c r="P287" s="45" t="s">
        <v>706</v>
      </c>
      <c r="Q287" s="44" t="s">
        <v>709</v>
      </c>
    </row>
    <row r="288" ht="39.75" hidden="1" customHeight="1">
      <c r="A288" s="94" t="s">
        <v>843</v>
      </c>
      <c r="B288" s="96" t="s">
        <v>60</v>
      </c>
      <c r="C288" s="94" t="s">
        <v>299</v>
      </c>
      <c r="D288" s="97">
        <v>2.0</v>
      </c>
      <c r="E288" s="97" t="s">
        <v>146</v>
      </c>
      <c r="F288" s="97" t="s">
        <v>148</v>
      </c>
      <c r="G288" s="97" t="s">
        <v>149</v>
      </c>
      <c r="H288" s="97" t="s">
        <v>151</v>
      </c>
      <c r="I288" s="96"/>
      <c r="J288" s="100" t="s">
        <v>300</v>
      </c>
      <c r="K288" s="101" t="s">
        <v>301</v>
      </c>
      <c r="L288" s="125" t="s">
        <v>92</v>
      </c>
      <c r="M288" s="50" t="s">
        <v>64</v>
      </c>
      <c r="N288" s="43" t="s">
        <v>55</v>
      </c>
      <c r="O288" s="105" t="s">
        <v>68</v>
      </c>
      <c r="P288" s="101" t="s">
        <v>706</v>
      </c>
      <c r="Q288" s="107" t="s">
        <v>844</v>
      </c>
    </row>
    <row r="289" ht="39.75" hidden="1" customHeight="1">
      <c r="A289" s="73" t="s">
        <v>848</v>
      </c>
      <c r="B289" s="75" t="s">
        <v>60</v>
      </c>
      <c r="C289" s="73" t="s">
        <v>299</v>
      </c>
      <c r="D289" s="77">
        <v>2.0</v>
      </c>
      <c r="E289" s="77" t="s">
        <v>146</v>
      </c>
      <c r="F289" s="77" t="s">
        <v>148</v>
      </c>
      <c r="G289" s="77" t="s">
        <v>149</v>
      </c>
      <c r="H289" s="77" t="s">
        <v>151</v>
      </c>
      <c r="I289" s="75"/>
      <c r="J289" s="81" t="s">
        <v>300</v>
      </c>
      <c r="K289" s="45" t="s">
        <v>301</v>
      </c>
      <c r="L289" s="125" t="s">
        <v>92</v>
      </c>
      <c r="M289" s="50" t="s">
        <v>64</v>
      </c>
      <c r="N289" s="43" t="s">
        <v>55</v>
      </c>
      <c r="O289" s="59" t="s">
        <v>68</v>
      </c>
      <c r="P289" s="45" t="s">
        <v>706</v>
      </c>
      <c r="Q289" s="44" t="s">
        <v>709</v>
      </c>
    </row>
    <row r="290" ht="39.75" hidden="1" customHeight="1">
      <c r="A290" s="94" t="s">
        <v>853</v>
      </c>
      <c r="B290" s="96" t="s">
        <v>60</v>
      </c>
      <c r="C290" s="94" t="s">
        <v>299</v>
      </c>
      <c r="D290" s="97">
        <v>2.0</v>
      </c>
      <c r="E290" s="97" t="s">
        <v>146</v>
      </c>
      <c r="F290" s="97" t="s">
        <v>148</v>
      </c>
      <c r="G290" s="97" t="s">
        <v>149</v>
      </c>
      <c r="H290" s="97" t="s">
        <v>151</v>
      </c>
      <c r="I290" s="96"/>
      <c r="J290" s="100" t="s">
        <v>300</v>
      </c>
      <c r="K290" s="101" t="s">
        <v>301</v>
      </c>
      <c r="L290" s="125" t="s">
        <v>92</v>
      </c>
      <c r="M290" s="50" t="s">
        <v>64</v>
      </c>
      <c r="N290" s="43" t="s">
        <v>55</v>
      </c>
      <c r="O290" s="105" t="s">
        <v>68</v>
      </c>
      <c r="P290" s="101" t="s">
        <v>706</v>
      </c>
      <c r="Q290" s="107" t="s">
        <v>709</v>
      </c>
    </row>
    <row r="291" ht="39.75" hidden="1" customHeight="1">
      <c r="A291" s="73" t="s">
        <v>855</v>
      </c>
      <c r="B291" s="75" t="s">
        <v>60</v>
      </c>
      <c r="C291" s="73" t="s">
        <v>299</v>
      </c>
      <c r="D291" s="77">
        <v>2.0</v>
      </c>
      <c r="E291" s="77" t="s">
        <v>146</v>
      </c>
      <c r="F291" s="77" t="s">
        <v>148</v>
      </c>
      <c r="G291" s="77" t="s">
        <v>149</v>
      </c>
      <c r="H291" s="77" t="s">
        <v>151</v>
      </c>
      <c r="I291" s="75"/>
      <c r="J291" s="81" t="s">
        <v>300</v>
      </c>
      <c r="K291" s="45" t="s">
        <v>301</v>
      </c>
      <c r="L291" s="156" t="s">
        <v>218</v>
      </c>
      <c r="M291" s="50" t="s">
        <v>64</v>
      </c>
      <c r="N291" s="43" t="s">
        <v>55</v>
      </c>
      <c r="O291" s="59" t="s">
        <v>68</v>
      </c>
      <c r="P291" s="45" t="s">
        <v>706</v>
      </c>
      <c r="Q291" s="44" t="s">
        <v>709</v>
      </c>
    </row>
    <row r="292" ht="39.75" hidden="1" customHeight="1">
      <c r="A292" s="94" t="s">
        <v>857</v>
      </c>
      <c r="B292" s="96" t="s">
        <v>60</v>
      </c>
      <c r="C292" s="94" t="s">
        <v>299</v>
      </c>
      <c r="D292" s="97">
        <v>2.0</v>
      </c>
      <c r="E292" s="97" t="s">
        <v>146</v>
      </c>
      <c r="F292" s="97" t="s">
        <v>148</v>
      </c>
      <c r="G292" s="97" t="s">
        <v>149</v>
      </c>
      <c r="H292" s="97" t="s">
        <v>151</v>
      </c>
      <c r="I292" s="96"/>
      <c r="J292" s="100" t="s">
        <v>300</v>
      </c>
      <c r="K292" s="101" t="s">
        <v>301</v>
      </c>
      <c r="L292" s="148" t="s">
        <v>199</v>
      </c>
      <c r="M292" s="50" t="s">
        <v>64</v>
      </c>
      <c r="N292" s="43" t="s">
        <v>55</v>
      </c>
      <c r="O292" s="105" t="s">
        <v>68</v>
      </c>
      <c r="P292" s="101" t="s">
        <v>706</v>
      </c>
      <c r="Q292" s="107" t="s">
        <v>709</v>
      </c>
    </row>
    <row r="293" ht="39.75" hidden="1" customHeight="1">
      <c r="A293" s="73" t="s">
        <v>816</v>
      </c>
      <c r="B293" s="75" t="s">
        <v>60</v>
      </c>
      <c r="C293" s="73" t="s">
        <v>302</v>
      </c>
      <c r="D293" s="77">
        <v>3.0</v>
      </c>
      <c r="E293" s="77" t="s">
        <v>146</v>
      </c>
      <c r="F293" s="77" t="s">
        <v>148</v>
      </c>
      <c r="G293" s="77" t="s">
        <v>149</v>
      </c>
      <c r="H293" s="77" t="s">
        <v>151</v>
      </c>
      <c r="I293" s="75"/>
      <c r="J293" s="81" t="s">
        <v>306</v>
      </c>
      <c r="K293" s="45" t="s">
        <v>307</v>
      </c>
      <c r="L293" s="125" t="s">
        <v>92</v>
      </c>
      <c r="M293" s="86" t="s">
        <v>164</v>
      </c>
      <c r="N293" s="43" t="s">
        <v>55</v>
      </c>
      <c r="O293" s="59" t="s">
        <v>68</v>
      </c>
      <c r="P293" s="45" t="s">
        <v>706</v>
      </c>
      <c r="Q293" s="44" t="s">
        <v>709</v>
      </c>
    </row>
    <row r="294" ht="39.75" hidden="1" customHeight="1">
      <c r="A294" s="94" t="s">
        <v>817</v>
      </c>
      <c r="B294" s="96" t="s">
        <v>60</v>
      </c>
      <c r="C294" s="94" t="s">
        <v>302</v>
      </c>
      <c r="D294" s="97">
        <v>3.0</v>
      </c>
      <c r="E294" s="97" t="s">
        <v>146</v>
      </c>
      <c r="F294" s="97" t="s">
        <v>148</v>
      </c>
      <c r="G294" s="97" t="s">
        <v>149</v>
      </c>
      <c r="H294" s="97" t="s">
        <v>151</v>
      </c>
      <c r="I294" s="96"/>
      <c r="J294" s="100" t="s">
        <v>306</v>
      </c>
      <c r="K294" s="101" t="s">
        <v>307</v>
      </c>
      <c r="L294" s="140" t="s">
        <v>52</v>
      </c>
      <c r="M294" s="86" t="s">
        <v>164</v>
      </c>
      <c r="N294" s="43" t="s">
        <v>55</v>
      </c>
      <c r="O294" s="105" t="s">
        <v>68</v>
      </c>
      <c r="P294" s="101" t="s">
        <v>706</v>
      </c>
      <c r="Q294" s="107" t="s">
        <v>709</v>
      </c>
    </row>
    <row r="295" ht="30.0" hidden="1" customHeight="1">
      <c r="A295" s="73" t="s">
        <v>827</v>
      </c>
      <c r="B295" s="75" t="s">
        <v>60</v>
      </c>
      <c r="C295" s="73" t="s">
        <v>302</v>
      </c>
      <c r="D295" s="77">
        <v>3.0</v>
      </c>
      <c r="E295" s="77" t="s">
        <v>146</v>
      </c>
      <c r="F295" s="77" t="s">
        <v>148</v>
      </c>
      <c r="G295" s="77" t="s">
        <v>149</v>
      </c>
      <c r="H295" s="77" t="s">
        <v>151</v>
      </c>
      <c r="I295" s="75"/>
      <c r="J295" s="81" t="s">
        <v>306</v>
      </c>
      <c r="K295" s="45" t="s">
        <v>307</v>
      </c>
      <c r="L295" s="137" t="s">
        <v>164</v>
      </c>
      <c r="M295" s="49" t="s">
        <v>63</v>
      </c>
      <c r="N295" s="43" t="s">
        <v>55</v>
      </c>
      <c r="O295" s="115" t="s">
        <v>56</v>
      </c>
      <c r="P295" s="45" t="s">
        <v>829</v>
      </c>
      <c r="Q295" s="44" t="s">
        <v>269</v>
      </c>
    </row>
    <row r="296" ht="39.75" hidden="1" customHeight="1">
      <c r="A296" s="94" t="s">
        <v>831</v>
      </c>
      <c r="B296" s="96" t="s">
        <v>60</v>
      </c>
      <c r="C296" s="94" t="s">
        <v>302</v>
      </c>
      <c r="D296" s="97">
        <v>3.0</v>
      </c>
      <c r="E296" s="97" t="s">
        <v>146</v>
      </c>
      <c r="F296" s="97" t="s">
        <v>148</v>
      </c>
      <c r="G296" s="97" t="s">
        <v>149</v>
      </c>
      <c r="H296" s="97" t="s">
        <v>151</v>
      </c>
      <c r="I296" s="96"/>
      <c r="J296" s="100" t="s">
        <v>306</v>
      </c>
      <c r="K296" s="101" t="s">
        <v>307</v>
      </c>
      <c r="L296" s="88" t="s">
        <v>63</v>
      </c>
      <c r="M296" s="50" t="s">
        <v>64</v>
      </c>
      <c r="N296" s="43" t="s">
        <v>55</v>
      </c>
      <c r="O296" s="105" t="s">
        <v>68</v>
      </c>
      <c r="P296" s="101" t="s">
        <v>706</v>
      </c>
      <c r="Q296" s="107" t="s">
        <v>709</v>
      </c>
    </row>
    <row r="297" ht="39.75" hidden="1" customHeight="1">
      <c r="A297" s="73" t="s">
        <v>832</v>
      </c>
      <c r="B297" s="75" t="s">
        <v>60</v>
      </c>
      <c r="C297" s="73" t="s">
        <v>302</v>
      </c>
      <c r="D297" s="77">
        <v>3.0</v>
      </c>
      <c r="E297" s="77" t="s">
        <v>146</v>
      </c>
      <c r="F297" s="77" t="s">
        <v>148</v>
      </c>
      <c r="G297" s="77" t="s">
        <v>149</v>
      </c>
      <c r="H297" s="77" t="s">
        <v>151</v>
      </c>
      <c r="I297" s="75"/>
      <c r="J297" s="81" t="s">
        <v>306</v>
      </c>
      <c r="K297" s="45" t="s">
        <v>307</v>
      </c>
      <c r="L297" s="88" t="s">
        <v>63</v>
      </c>
      <c r="M297" s="50" t="s">
        <v>64</v>
      </c>
      <c r="N297" s="43" t="s">
        <v>55</v>
      </c>
      <c r="O297" s="59" t="s">
        <v>68</v>
      </c>
      <c r="P297" s="45" t="s">
        <v>706</v>
      </c>
      <c r="Q297" s="44" t="s">
        <v>709</v>
      </c>
    </row>
    <row r="298" ht="30.0" hidden="1" customHeight="1">
      <c r="A298" s="94" t="s">
        <v>839</v>
      </c>
      <c r="B298" s="96" t="s">
        <v>60</v>
      </c>
      <c r="C298" s="94" t="s">
        <v>302</v>
      </c>
      <c r="D298" s="97">
        <v>3.0</v>
      </c>
      <c r="E298" s="97" t="s">
        <v>146</v>
      </c>
      <c r="F298" s="97" t="s">
        <v>148</v>
      </c>
      <c r="G298" s="97" t="s">
        <v>149</v>
      </c>
      <c r="H298" s="97" t="s">
        <v>151</v>
      </c>
      <c r="I298" s="96"/>
      <c r="J298" s="100" t="s">
        <v>306</v>
      </c>
      <c r="K298" s="101" t="s">
        <v>307</v>
      </c>
      <c r="L298" s="127" t="s">
        <v>64</v>
      </c>
      <c r="M298" s="62" t="s">
        <v>92</v>
      </c>
      <c r="N298" s="43" t="s">
        <v>55</v>
      </c>
      <c r="O298" s="124" t="s">
        <v>56</v>
      </c>
      <c r="P298" s="101" t="s">
        <v>841</v>
      </c>
      <c r="Q298" s="107"/>
    </row>
    <row r="299" ht="30.0" hidden="1" customHeight="1">
      <c r="A299" s="73" t="s">
        <v>845</v>
      </c>
      <c r="B299" s="75" t="s">
        <v>60</v>
      </c>
      <c r="C299" s="73" t="s">
        <v>302</v>
      </c>
      <c r="D299" s="77">
        <v>3.0</v>
      </c>
      <c r="E299" s="77" t="s">
        <v>146</v>
      </c>
      <c r="F299" s="77" t="s">
        <v>148</v>
      </c>
      <c r="G299" s="77" t="s">
        <v>149</v>
      </c>
      <c r="H299" s="77" t="s">
        <v>151</v>
      </c>
      <c r="I299" s="75"/>
      <c r="J299" s="81" t="s">
        <v>306</v>
      </c>
      <c r="K299" s="45" t="s">
        <v>307</v>
      </c>
      <c r="L299" s="127" t="s">
        <v>64</v>
      </c>
      <c r="M299" s="49" t="s">
        <v>63</v>
      </c>
      <c r="N299" s="43" t="s">
        <v>55</v>
      </c>
      <c r="O299" s="115" t="s">
        <v>56</v>
      </c>
      <c r="P299" s="45" t="s">
        <v>847</v>
      </c>
      <c r="Q299" s="44"/>
    </row>
    <row r="300" ht="39.75" hidden="1" customHeight="1">
      <c r="A300" s="94" t="s">
        <v>850</v>
      </c>
      <c r="B300" s="96" t="s">
        <v>60</v>
      </c>
      <c r="C300" s="94" t="s">
        <v>302</v>
      </c>
      <c r="D300" s="97">
        <v>3.0</v>
      </c>
      <c r="E300" s="97" t="s">
        <v>146</v>
      </c>
      <c r="F300" s="97" t="s">
        <v>148</v>
      </c>
      <c r="G300" s="97" t="s">
        <v>149</v>
      </c>
      <c r="H300" s="97" t="s">
        <v>151</v>
      </c>
      <c r="I300" s="96"/>
      <c r="J300" s="100" t="s">
        <v>306</v>
      </c>
      <c r="K300" s="101" t="s">
        <v>307</v>
      </c>
      <c r="L300" s="125" t="s">
        <v>92</v>
      </c>
      <c r="M300" s="50" t="s">
        <v>64</v>
      </c>
      <c r="N300" s="43" t="s">
        <v>55</v>
      </c>
      <c r="O300" s="105" t="s">
        <v>68</v>
      </c>
      <c r="P300" s="101" t="s">
        <v>706</v>
      </c>
      <c r="Q300" s="107" t="s">
        <v>709</v>
      </c>
    </row>
    <row r="301" ht="30.0" hidden="1" customHeight="1">
      <c r="A301" s="73" t="s">
        <v>851</v>
      </c>
      <c r="B301" s="75" t="s">
        <v>60</v>
      </c>
      <c r="C301" s="73" t="s">
        <v>302</v>
      </c>
      <c r="D301" s="77">
        <v>3.0</v>
      </c>
      <c r="E301" s="77" t="s">
        <v>146</v>
      </c>
      <c r="F301" s="77" t="s">
        <v>148</v>
      </c>
      <c r="G301" s="77" t="s">
        <v>149</v>
      </c>
      <c r="H301" s="77" t="s">
        <v>151</v>
      </c>
      <c r="I301" s="75"/>
      <c r="J301" s="81" t="s">
        <v>306</v>
      </c>
      <c r="K301" s="45" t="s">
        <v>307</v>
      </c>
      <c r="L301" s="137" t="s">
        <v>164</v>
      </c>
      <c r="M301" s="50" t="s">
        <v>64</v>
      </c>
      <c r="N301" s="43" t="s">
        <v>55</v>
      </c>
      <c r="O301" s="115" t="s">
        <v>56</v>
      </c>
      <c r="P301" s="45" t="s">
        <v>854</v>
      </c>
      <c r="Q301" s="44" t="s">
        <v>733</v>
      </c>
    </row>
    <row r="302" ht="39.75" hidden="1" customHeight="1">
      <c r="A302" s="94" t="s">
        <v>858</v>
      </c>
      <c r="B302" s="96" t="s">
        <v>60</v>
      </c>
      <c r="C302" s="94" t="s">
        <v>302</v>
      </c>
      <c r="D302" s="97">
        <v>3.0</v>
      </c>
      <c r="E302" s="97" t="s">
        <v>146</v>
      </c>
      <c r="F302" s="97" t="s">
        <v>148</v>
      </c>
      <c r="G302" s="97" t="s">
        <v>149</v>
      </c>
      <c r="H302" s="97" t="s">
        <v>151</v>
      </c>
      <c r="I302" s="96"/>
      <c r="J302" s="100" t="s">
        <v>306</v>
      </c>
      <c r="K302" s="101" t="s">
        <v>307</v>
      </c>
      <c r="L302" s="88" t="s">
        <v>63</v>
      </c>
      <c r="M302" s="50" t="s">
        <v>64</v>
      </c>
      <c r="N302" s="43" t="s">
        <v>55</v>
      </c>
      <c r="O302" s="105" t="s">
        <v>68</v>
      </c>
      <c r="P302" s="101" t="s">
        <v>706</v>
      </c>
      <c r="Q302" s="107" t="s">
        <v>709</v>
      </c>
    </row>
    <row r="303" ht="39.75" hidden="1" customHeight="1">
      <c r="A303" s="73" t="s">
        <v>860</v>
      </c>
      <c r="B303" s="75" t="s">
        <v>60</v>
      </c>
      <c r="C303" s="73" t="s">
        <v>302</v>
      </c>
      <c r="D303" s="77">
        <v>3.0</v>
      </c>
      <c r="E303" s="77" t="s">
        <v>146</v>
      </c>
      <c r="F303" s="77" t="s">
        <v>148</v>
      </c>
      <c r="G303" s="77" t="s">
        <v>149</v>
      </c>
      <c r="H303" s="77" t="s">
        <v>151</v>
      </c>
      <c r="I303" s="75"/>
      <c r="J303" s="81" t="s">
        <v>306</v>
      </c>
      <c r="K303" s="45" t="s">
        <v>307</v>
      </c>
      <c r="L303" s="137" t="s">
        <v>164</v>
      </c>
      <c r="M303" s="50" t="s">
        <v>64</v>
      </c>
      <c r="N303" s="43" t="s">
        <v>55</v>
      </c>
      <c r="O303" s="59" t="s">
        <v>68</v>
      </c>
      <c r="P303" s="45" t="s">
        <v>706</v>
      </c>
      <c r="Q303" s="44" t="s">
        <v>709</v>
      </c>
    </row>
    <row r="304" ht="30.0" hidden="1" customHeight="1">
      <c r="A304" s="94" t="s">
        <v>861</v>
      </c>
      <c r="B304" s="96" t="s">
        <v>60</v>
      </c>
      <c r="C304" s="94" t="s">
        <v>302</v>
      </c>
      <c r="D304" s="97">
        <v>3.0</v>
      </c>
      <c r="E304" s="97" t="s">
        <v>146</v>
      </c>
      <c r="F304" s="97" t="s">
        <v>148</v>
      </c>
      <c r="G304" s="97" t="s">
        <v>149</v>
      </c>
      <c r="H304" s="97" t="s">
        <v>151</v>
      </c>
      <c r="I304" s="96"/>
      <c r="J304" s="100" t="s">
        <v>306</v>
      </c>
      <c r="K304" s="101" t="s">
        <v>307</v>
      </c>
      <c r="L304" s="88" t="s">
        <v>63</v>
      </c>
      <c r="M304" s="86" t="s">
        <v>164</v>
      </c>
      <c r="N304" s="43" t="s">
        <v>55</v>
      </c>
      <c r="O304" s="124" t="s">
        <v>56</v>
      </c>
      <c r="P304" s="101" t="s">
        <v>863</v>
      </c>
      <c r="Q304" s="107"/>
    </row>
    <row r="305" ht="39.75" hidden="1" customHeight="1">
      <c r="A305" s="73" t="s">
        <v>865</v>
      </c>
      <c r="B305" s="75" t="s">
        <v>60</v>
      </c>
      <c r="C305" s="73" t="s">
        <v>302</v>
      </c>
      <c r="D305" s="77">
        <v>3.0</v>
      </c>
      <c r="E305" s="77" t="s">
        <v>146</v>
      </c>
      <c r="F305" s="77" t="s">
        <v>148</v>
      </c>
      <c r="G305" s="77" t="s">
        <v>149</v>
      </c>
      <c r="H305" s="77" t="s">
        <v>151</v>
      </c>
      <c r="I305" s="75"/>
      <c r="J305" s="81" t="s">
        <v>306</v>
      </c>
      <c r="K305" s="45" t="s">
        <v>307</v>
      </c>
      <c r="L305" s="125" t="s">
        <v>92</v>
      </c>
      <c r="M305" s="50" t="s">
        <v>64</v>
      </c>
      <c r="N305" s="43" t="s">
        <v>55</v>
      </c>
      <c r="O305" s="59" t="s">
        <v>68</v>
      </c>
      <c r="P305" s="45" t="s">
        <v>706</v>
      </c>
      <c r="Q305" s="44" t="s">
        <v>709</v>
      </c>
    </row>
    <row r="306" ht="30.0" hidden="1" customHeight="1">
      <c r="A306" s="94" t="s">
        <v>867</v>
      </c>
      <c r="B306" s="96" t="s">
        <v>60</v>
      </c>
      <c r="C306" s="94" t="s">
        <v>302</v>
      </c>
      <c r="D306" s="97">
        <v>3.0</v>
      </c>
      <c r="E306" s="97" t="s">
        <v>146</v>
      </c>
      <c r="F306" s="97" t="s">
        <v>148</v>
      </c>
      <c r="G306" s="97" t="s">
        <v>149</v>
      </c>
      <c r="H306" s="97" t="s">
        <v>151</v>
      </c>
      <c r="I306" s="96"/>
      <c r="J306" s="100" t="s">
        <v>306</v>
      </c>
      <c r="K306" s="101" t="s">
        <v>307</v>
      </c>
      <c r="L306" s="88" t="s">
        <v>63</v>
      </c>
      <c r="M306" s="86" t="s">
        <v>164</v>
      </c>
      <c r="N306" s="43" t="s">
        <v>55</v>
      </c>
      <c r="O306" s="124" t="s">
        <v>56</v>
      </c>
      <c r="P306" s="101" t="s">
        <v>869</v>
      </c>
      <c r="Q306" s="107"/>
    </row>
    <row r="307" ht="39.75" hidden="1" customHeight="1">
      <c r="A307" s="73" t="s">
        <v>871</v>
      </c>
      <c r="B307" s="75" t="s">
        <v>60</v>
      </c>
      <c r="C307" s="73" t="s">
        <v>302</v>
      </c>
      <c r="D307" s="77">
        <v>3.0</v>
      </c>
      <c r="E307" s="77" t="s">
        <v>146</v>
      </c>
      <c r="F307" s="77" t="s">
        <v>148</v>
      </c>
      <c r="G307" s="77" t="s">
        <v>149</v>
      </c>
      <c r="H307" s="158" t="s">
        <v>466</v>
      </c>
      <c r="I307" s="75"/>
      <c r="J307" s="81" t="s">
        <v>306</v>
      </c>
      <c r="K307" s="45" t="s">
        <v>307</v>
      </c>
      <c r="L307" s="125" t="s">
        <v>92</v>
      </c>
      <c r="M307" s="50" t="s">
        <v>64</v>
      </c>
      <c r="N307" s="43" t="s">
        <v>55</v>
      </c>
      <c r="O307" s="59" t="s">
        <v>187</v>
      </c>
      <c r="P307" s="45" t="s">
        <v>801</v>
      </c>
      <c r="Q307" s="44" t="s">
        <v>872</v>
      </c>
    </row>
    <row r="308" ht="30.0" hidden="1" customHeight="1">
      <c r="A308" s="94" t="s">
        <v>873</v>
      </c>
      <c r="B308" s="96" t="s">
        <v>60</v>
      </c>
      <c r="C308" s="94" t="s">
        <v>302</v>
      </c>
      <c r="D308" s="97">
        <v>3.0</v>
      </c>
      <c r="E308" s="97" t="s">
        <v>146</v>
      </c>
      <c r="F308" s="97" t="s">
        <v>148</v>
      </c>
      <c r="G308" s="97" t="s">
        <v>149</v>
      </c>
      <c r="H308" s="97" t="s">
        <v>151</v>
      </c>
      <c r="I308" s="96"/>
      <c r="J308" s="100" t="s">
        <v>306</v>
      </c>
      <c r="K308" s="101" t="s">
        <v>307</v>
      </c>
      <c r="L308" s="88" t="s">
        <v>63</v>
      </c>
      <c r="M308" s="50" t="s">
        <v>64</v>
      </c>
      <c r="N308" s="43" t="s">
        <v>55</v>
      </c>
      <c r="O308" s="124" t="s">
        <v>56</v>
      </c>
      <c r="P308" s="101" t="s">
        <v>875</v>
      </c>
      <c r="Q308" s="107"/>
    </row>
    <row r="309" ht="39.75" hidden="1" customHeight="1">
      <c r="A309" s="73" t="s">
        <v>876</v>
      </c>
      <c r="B309" s="75" t="s">
        <v>60</v>
      </c>
      <c r="C309" s="73" t="s">
        <v>302</v>
      </c>
      <c r="D309" s="77">
        <v>3.0</v>
      </c>
      <c r="E309" s="77" t="s">
        <v>146</v>
      </c>
      <c r="F309" s="77" t="s">
        <v>148</v>
      </c>
      <c r="G309" s="77" t="s">
        <v>149</v>
      </c>
      <c r="H309" s="158" t="s">
        <v>466</v>
      </c>
      <c r="I309" s="75"/>
      <c r="J309" s="81" t="s">
        <v>306</v>
      </c>
      <c r="K309" s="45" t="s">
        <v>307</v>
      </c>
      <c r="L309" s="127" t="s">
        <v>64</v>
      </c>
      <c r="M309" s="49" t="s">
        <v>63</v>
      </c>
      <c r="N309" s="43" t="s">
        <v>55</v>
      </c>
      <c r="O309" s="59" t="s">
        <v>187</v>
      </c>
      <c r="P309" s="45" t="s">
        <v>706</v>
      </c>
      <c r="Q309" s="44" t="s">
        <v>877</v>
      </c>
    </row>
    <row r="310" ht="30.0" hidden="1" customHeight="1">
      <c r="A310" s="94" t="s">
        <v>878</v>
      </c>
      <c r="B310" s="96" t="s">
        <v>60</v>
      </c>
      <c r="C310" s="94" t="s">
        <v>302</v>
      </c>
      <c r="D310" s="97">
        <v>3.0</v>
      </c>
      <c r="E310" s="97" t="s">
        <v>146</v>
      </c>
      <c r="F310" s="97" t="s">
        <v>148</v>
      </c>
      <c r="G310" s="97" t="s">
        <v>149</v>
      </c>
      <c r="H310" s="97" t="s">
        <v>151</v>
      </c>
      <c r="I310" s="96"/>
      <c r="J310" s="100" t="s">
        <v>306</v>
      </c>
      <c r="K310" s="101" t="s">
        <v>307</v>
      </c>
      <c r="L310" s="137" t="s">
        <v>164</v>
      </c>
      <c r="M310" s="50" t="s">
        <v>64</v>
      </c>
      <c r="N310" s="43" t="s">
        <v>55</v>
      </c>
      <c r="O310" s="124" t="s">
        <v>56</v>
      </c>
      <c r="P310" s="101" t="s">
        <v>880</v>
      </c>
      <c r="Q310" s="107" t="s">
        <v>881</v>
      </c>
    </row>
    <row r="311" ht="39.75" hidden="1" customHeight="1">
      <c r="A311" s="73" t="s">
        <v>882</v>
      </c>
      <c r="B311" s="75" t="s">
        <v>60</v>
      </c>
      <c r="C311" s="73" t="s">
        <v>302</v>
      </c>
      <c r="D311" s="77">
        <v>3.0</v>
      </c>
      <c r="E311" s="77" t="s">
        <v>146</v>
      </c>
      <c r="F311" s="77" t="s">
        <v>148</v>
      </c>
      <c r="G311" s="77" t="s">
        <v>149</v>
      </c>
      <c r="H311" s="77" t="s">
        <v>151</v>
      </c>
      <c r="I311" s="75"/>
      <c r="J311" s="81" t="s">
        <v>306</v>
      </c>
      <c r="K311" s="45" t="s">
        <v>307</v>
      </c>
      <c r="L311" s="125" t="s">
        <v>92</v>
      </c>
      <c r="M311" s="86" t="s">
        <v>164</v>
      </c>
      <c r="N311" s="43" t="s">
        <v>55</v>
      </c>
      <c r="O311" s="59" t="s">
        <v>68</v>
      </c>
      <c r="P311" s="45" t="s">
        <v>706</v>
      </c>
      <c r="Q311" s="44" t="s">
        <v>709</v>
      </c>
    </row>
    <row r="312" ht="30.0" hidden="1" customHeight="1">
      <c r="A312" s="94" t="s">
        <v>883</v>
      </c>
      <c r="B312" s="96" t="s">
        <v>60</v>
      </c>
      <c r="C312" s="94" t="s">
        <v>302</v>
      </c>
      <c r="D312" s="97">
        <v>3.0</v>
      </c>
      <c r="E312" s="97" t="s">
        <v>146</v>
      </c>
      <c r="F312" s="97" t="s">
        <v>148</v>
      </c>
      <c r="G312" s="97" t="s">
        <v>149</v>
      </c>
      <c r="H312" s="97" t="s">
        <v>151</v>
      </c>
      <c r="I312" s="96"/>
      <c r="J312" s="100" t="s">
        <v>306</v>
      </c>
      <c r="K312" s="101" t="s">
        <v>307</v>
      </c>
      <c r="L312" s="127" t="s">
        <v>64</v>
      </c>
      <c r="M312" s="49" t="s">
        <v>63</v>
      </c>
      <c r="N312" s="43" t="s">
        <v>55</v>
      </c>
      <c r="O312" s="124" t="s">
        <v>56</v>
      </c>
      <c r="P312" s="101" t="s">
        <v>885</v>
      </c>
      <c r="Q312" s="107"/>
    </row>
    <row r="313" ht="39.75" customHeight="1">
      <c r="A313" s="73" t="s">
        <v>889</v>
      </c>
      <c r="B313" s="75" t="s">
        <v>66</v>
      </c>
      <c r="C313" s="73" t="s">
        <v>309</v>
      </c>
      <c r="D313" s="77">
        <v>1.0</v>
      </c>
      <c r="E313" s="77" t="s">
        <v>146</v>
      </c>
      <c r="F313" s="77" t="s">
        <v>148</v>
      </c>
      <c r="G313" s="77" t="s">
        <v>149</v>
      </c>
      <c r="H313" s="77" t="s">
        <v>151</v>
      </c>
      <c r="I313" s="75"/>
      <c r="J313" s="81" t="s">
        <v>313</v>
      </c>
      <c r="K313" s="45" t="s">
        <v>314</v>
      </c>
      <c r="L313" s="127" t="s">
        <v>64</v>
      </c>
      <c r="M313" s="86" t="s">
        <v>164</v>
      </c>
      <c r="N313" s="43" t="s">
        <v>55</v>
      </c>
      <c r="O313" s="59" t="s">
        <v>68</v>
      </c>
      <c r="P313" s="45" t="s">
        <v>891</v>
      </c>
      <c r="Q313" s="44" t="s">
        <v>893</v>
      </c>
    </row>
    <row r="314" ht="39.75" customHeight="1">
      <c r="A314" s="94" t="s">
        <v>898</v>
      </c>
      <c r="B314" s="96" t="s">
        <v>66</v>
      </c>
      <c r="C314" s="94" t="s">
        <v>309</v>
      </c>
      <c r="D314" s="97">
        <v>1.0</v>
      </c>
      <c r="E314" s="97" t="s">
        <v>146</v>
      </c>
      <c r="F314" s="97" t="s">
        <v>148</v>
      </c>
      <c r="G314" s="97" t="s">
        <v>149</v>
      </c>
      <c r="H314" s="97" t="s">
        <v>151</v>
      </c>
      <c r="I314" s="96"/>
      <c r="J314" s="100" t="s">
        <v>313</v>
      </c>
      <c r="K314" s="101" t="s">
        <v>314</v>
      </c>
      <c r="L314" s="127" t="s">
        <v>64</v>
      </c>
      <c r="M314" s="62" t="s">
        <v>92</v>
      </c>
      <c r="N314" s="43" t="s">
        <v>55</v>
      </c>
      <c r="O314" s="105" t="s">
        <v>68</v>
      </c>
      <c r="P314" s="101" t="s">
        <v>891</v>
      </c>
      <c r="Q314" s="107" t="s">
        <v>893</v>
      </c>
    </row>
    <row r="315" ht="39.75" customHeight="1">
      <c r="A315" s="73" t="s">
        <v>906</v>
      </c>
      <c r="B315" s="75" t="s">
        <v>66</v>
      </c>
      <c r="C315" s="73" t="s">
        <v>309</v>
      </c>
      <c r="D315" s="77">
        <v>1.0</v>
      </c>
      <c r="E315" s="77" t="s">
        <v>146</v>
      </c>
      <c r="F315" s="77" t="s">
        <v>148</v>
      </c>
      <c r="G315" s="77" t="s">
        <v>149</v>
      </c>
      <c r="H315" s="77" t="s">
        <v>151</v>
      </c>
      <c r="I315" s="75"/>
      <c r="J315" s="81" t="s">
        <v>313</v>
      </c>
      <c r="K315" s="45" t="s">
        <v>314</v>
      </c>
      <c r="L315" s="88" t="s">
        <v>63</v>
      </c>
      <c r="M315" s="50" t="s">
        <v>64</v>
      </c>
      <c r="N315" s="43" t="s">
        <v>55</v>
      </c>
      <c r="O315" s="59" t="s">
        <v>68</v>
      </c>
      <c r="P315" s="45" t="s">
        <v>891</v>
      </c>
      <c r="Q315" s="44" t="s">
        <v>893</v>
      </c>
    </row>
    <row r="316" ht="39.75" customHeight="1">
      <c r="A316" s="94" t="s">
        <v>934</v>
      </c>
      <c r="B316" s="96" t="s">
        <v>66</v>
      </c>
      <c r="C316" s="94" t="s">
        <v>309</v>
      </c>
      <c r="D316" s="97">
        <v>1.0</v>
      </c>
      <c r="E316" s="97" t="s">
        <v>146</v>
      </c>
      <c r="F316" s="97" t="s">
        <v>148</v>
      </c>
      <c r="G316" s="97" t="s">
        <v>149</v>
      </c>
      <c r="H316" s="97" t="s">
        <v>151</v>
      </c>
      <c r="I316" s="96"/>
      <c r="J316" s="100" t="s">
        <v>313</v>
      </c>
      <c r="K316" s="101" t="s">
        <v>314</v>
      </c>
      <c r="L316" s="126" t="s">
        <v>78</v>
      </c>
      <c r="M316" s="79" t="s">
        <v>150</v>
      </c>
      <c r="N316" s="43" t="s">
        <v>55</v>
      </c>
      <c r="O316" s="105" t="s">
        <v>68</v>
      </c>
      <c r="P316" s="101" t="s">
        <v>891</v>
      </c>
      <c r="Q316" s="107" t="s">
        <v>893</v>
      </c>
    </row>
    <row r="317" ht="39.75" customHeight="1">
      <c r="A317" s="73" t="s">
        <v>935</v>
      </c>
      <c r="B317" s="75" t="s">
        <v>66</v>
      </c>
      <c r="C317" s="73" t="s">
        <v>309</v>
      </c>
      <c r="D317" s="77">
        <v>1.0</v>
      </c>
      <c r="E317" s="77" t="s">
        <v>146</v>
      </c>
      <c r="F317" s="77" t="s">
        <v>148</v>
      </c>
      <c r="G317" s="77" t="s">
        <v>149</v>
      </c>
      <c r="H317" s="77" t="s">
        <v>151</v>
      </c>
      <c r="I317" s="75"/>
      <c r="J317" s="81" t="s">
        <v>313</v>
      </c>
      <c r="K317" s="45" t="s">
        <v>314</v>
      </c>
      <c r="L317" s="140" t="s">
        <v>52</v>
      </c>
      <c r="M317" s="49" t="s">
        <v>63</v>
      </c>
      <c r="N317" s="43" t="s">
        <v>55</v>
      </c>
      <c r="O317" s="59" t="s">
        <v>68</v>
      </c>
      <c r="P317" s="45" t="s">
        <v>891</v>
      </c>
      <c r="Q317" s="44" t="s">
        <v>893</v>
      </c>
    </row>
    <row r="318" ht="39.75" customHeight="1">
      <c r="A318" s="94" t="s">
        <v>940</v>
      </c>
      <c r="B318" s="96" t="s">
        <v>66</v>
      </c>
      <c r="C318" s="94" t="s">
        <v>309</v>
      </c>
      <c r="D318" s="97">
        <v>1.0</v>
      </c>
      <c r="E318" s="97" t="s">
        <v>146</v>
      </c>
      <c r="F318" s="97" t="s">
        <v>148</v>
      </c>
      <c r="G318" s="97" t="s">
        <v>149</v>
      </c>
      <c r="H318" s="97" t="s">
        <v>151</v>
      </c>
      <c r="I318" s="96"/>
      <c r="J318" s="100" t="s">
        <v>313</v>
      </c>
      <c r="K318" s="101" t="s">
        <v>314</v>
      </c>
      <c r="L318" s="88" t="s">
        <v>63</v>
      </c>
      <c r="M318" s="41" t="s">
        <v>52</v>
      </c>
      <c r="N318" s="43" t="s">
        <v>55</v>
      </c>
      <c r="O318" s="105" t="s">
        <v>68</v>
      </c>
      <c r="P318" s="101" t="s">
        <v>891</v>
      </c>
      <c r="Q318" s="107" t="s">
        <v>893</v>
      </c>
    </row>
    <row r="319" ht="39.75" customHeight="1">
      <c r="A319" s="73" t="s">
        <v>941</v>
      </c>
      <c r="B319" s="75" t="s">
        <v>66</v>
      </c>
      <c r="C319" s="73" t="s">
        <v>309</v>
      </c>
      <c r="D319" s="77">
        <v>1.0</v>
      </c>
      <c r="E319" s="77" t="s">
        <v>146</v>
      </c>
      <c r="F319" s="77" t="s">
        <v>148</v>
      </c>
      <c r="G319" s="77" t="s">
        <v>149</v>
      </c>
      <c r="H319" s="77" t="s">
        <v>151</v>
      </c>
      <c r="I319" s="75"/>
      <c r="J319" s="81" t="s">
        <v>313</v>
      </c>
      <c r="K319" s="45" t="s">
        <v>314</v>
      </c>
      <c r="L319" s="88" t="s">
        <v>63</v>
      </c>
      <c r="M319" s="50" t="s">
        <v>64</v>
      </c>
      <c r="N319" s="43" t="s">
        <v>55</v>
      </c>
      <c r="O319" s="59" t="s">
        <v>68</v>
      </c>
      <c r="P319" s="45" t="s">
        <v>891</v>
      </c>
      <c r="Q319" s="44" t="s">
        <v>893</v>
      </c>
    </row>
    <row r="320" ht="30.0" customHeight="1">
      <c r="A320" s="94" t="s">
        <v>942</v>
      </c>
      <c r="B320" s="96" t="s">
        <v>66</v>
      </c>
      <c r="C320" s="94" t="s">
        <v>309</v>
      </c>
      <c r="D320" s="97">
        <v>1.0</v>
      </c>
      <c r="E320" s="97" t="s">
        <v>146</v>
      </c>
      <c r="F320" s="97" t="s">
        <v>148</v>
      </c>
      <c r="G320" s="97" t="s">
        <v>149</v>
      </c>
      <c r="H320" s="97" t="s">
        <v>151</v>
      </c>
      <c r="I320" s="96"/>
      <c r="J320" s="100" t="s">
        <v>313</v>
      </c>
      <c r="K320" s="101" t="s">
        <v>314</v>
      </c>
      <c r="L320" s="153" t="s">
        <v>210</v>
      </c>
      <c r="M320" s="86" t="s">
        <v>164</v>
      </c>
      <c r="N320" s="43" t="s">
        <v>55</v>
      </c>
      <c r="O320" s="124" t="s">
        <v>56</v>
      </c>
      <c r="P320" s="101" t="s">
        <v>944</v>
      </c>
      <c r="Q320" s="107"/>
    </row>
    <row r="321" ht="39.75" customHeight="1">
      <c r="A321" s="73" t="s">
        <v>945</v>
      </c>
      <c r="B321" s="75" t="s">
        <v>66</v>
      </c>
      <c r="C321" s="73" t="s">
        <v>309</v>
      </c>
      <c r="D321" s="77">
        <v>1.0</v>
      </c>
      <c r="E321" s="77" t="s">
        <v>146</v>
      </c>
      <c r="F321" s="77" t="s">
        <v>148</v>
      </c>
      <c r="G321" s="77" t="s">
        <v>149</v>
      </c>
      <c r="H321" s="77" t="s">
        <v>151</v>
      </c>
      <c r="I321" s="75"/>
      <c r="J321" s="81" t="s">
        <v>313</v>
      </c>
      <c r="K321" s="45" t="s">
        <v>314</v>
      </c>
      <c r="L321" s="127" t="s">
        <v>64</v>
      </c>
      <c r="M321" s="62" t="s">
        <v>92</v>
      </c>
      <c r="N321" s="43" t="s">
        <v>55</v>
      </c>
      <c r="O321" s="59" t="s">
        <v>68</v>
      </c>
      <c r="P321" s="45" t="s">
        <v>891</v>
      </c>
      <c r="Q321" s="44" t="s">
        <v>946</v>
      </c>
    </row>
    <row r="322" ht="39.75" customHeight="1">
      <c r="A322" s="94" t="s">
        <v>947</v>
      </c>
      <c r="B322" s="96" t="s">
        <v>66</v>
      </c>
      <c r="C322" s="94" t="s">
        <v>309</v>
      </c>
      <c r="D322" s="97">
        <v>1.0</v>
      </c>
      <c r="E322" s="97" t="s">
        <v>146</v>
      </c>
      <c r="F322" s="97" t="s">
        <v>148</v>
      </c>
      <c r="G322" s="97" t="s">
        <v>149</v>
      </c>
      <c r="H322" s="97" t="s">
        <v>151</v>
      </c>
      <c r="I322" s="96"/>
      <c r="J322" s="100" t="s">
        <v>313</v>
      </c>
      <c r="K322" s="101" t="s">
        <v>314</v>
      </c>
      <c r="L322" s="127" t="s">
        <v>64</v>
      </c>
      <c r="M322" s="57" t="s">
        <v>78</v>
      </c>
      <c r="N322" s="43" t="s">
        <v>55</v>
      </c>
      <c r="O322" s="105" t="s">
        <v>68</v>
      </c>
      <c r="P322" s="101" t="s">
        <v>891</v>
      </c>
      <c r="Q322" s="107" t="s">
        <v>893</v>
      </c>
    </row>
    <row r="323" ht="39.75" customHeight="1">
      <c r="A323" s="73" t="s">
        <v>949</v>
      </c>
      <c r="B323" s="75" t="s">
        <v>66</v>
      </c>
      <c r="C323" s="73" t="s">
        <v>309</v>
      </c>
      <c r="D323" s="77">
        <v>1.0</v>
      </c>
      <c r="E323" s="77" t="s">
        <v>146</v>
      </c>
      <c r="F323" s="77" t="s">
        <v>148</v>
      </c>
      <c r="G323" s="77" t="s">
        <v>149</v>
      </c>
      <c r="H323" s="77" t="s">
        <v>151</v>
      </c>
      <c r="I323" s="142" t="s">
        <v>1006</v>
      </c>
      <c r="J323" s="81" t="s">
        <v>313</v>
      </c>
      <c r="K323" s="45" t="s">
        <v>314</v>
      </c>
      <c r="L323" s="88" t="s">
        <v>63</v>
      </c>
      <c r="M323" s="50" t="s">
        <v>64</v>
      </c>
      <c r="N323" s="43" t="s">
        <v>55</v>
      </c>
      <c r="O323" s="59" t="s">
        <v>68</v>
      </c>
      <c r="P323" s="45" t="s">
        <v>891</v>
      </c>
      <c r="Q323" s="44" t="s">
        <v>893</v>
      </c>
    </row>
    <row r="324" ht="30.0" customHeight="1">
      <c r="A324" s="94" t="s">
        <v>953</v>
      </c>
      <c r="B324" s="96" t="s">
        <v>66</v>
      </c>
      <c r="C324" s="94" t="s">
        <v>309</v>
      </c>
      <c r="D324" s="97">
        <v>1.0</v>
      </c>
      <c r="E324" s="97" t="s">
        <v>146</v>
      </c>
      <c r="F324" s="97" t="s">
        <v>148</v>
      </c>
      <c r="G324" s="97" t="s">
        <v>149</v>
      </c>
      <c r="H324" s="97" t="s">
        <v>151</v>
      </c>
      <c r="I324" s="96"/>
      <c r="J324" s="100" t="s">
        <v>313</v>
      </c>
      <c r="K324" s="101" t="s">
        <v>314</v>
      </c>
      <c r="L324" s="88" t="s">
        <v>63</v>
      </c>
      <c r="M324" s="86" t="s">
        <v>164</v>
      </c>
      <c r="N324" s="43" t="s">
        <v>55</v>
      </c>
      <c r="O324" s="124" t="s">
        <v>173</v>
      </c>
      <c r="P324" s="101" t="s">
        <v>955</v>
      </c>
      <c r="Q324" s="107"/>
    </row>
    <row r="325" ht="30.0" customHeight="1">
      <c r="A325" s="73" t="s">
        <v>962</v>
      </c>
      <c r="B325" s="75" t="s">
        <v>66</v>
      </c>
      <c r="C325" s="73" t="s">
        <v>309</v>
      </c>
      <c r="D325" s="77">
        <v>1.0</v>
      </c>
      <c r="E325" s="77" t="s">
        <v>146</v>
      </c>
      <c r="F325" s="77" t="s">
        <v>148</v>
      </c>
      <c r="G325" s="77" t="s">
        <v>149</v>
      </c>
      <c r="H325" s="77" t="s">
        <v>151</v>
      </c>
      <c r="I325" s="75"/>
      <c r="J325" s="81" t="s">
        <v>313</v>
      </c>
      <c r="K325" s="45" t="s">
        <v>314</v>
      </c>
      <c r="L325" s="143" t="s">
        <v>150</v>
      </c>
      <c r="M325" s="57" t="s">
        <v>78</v>
      </c>
      <c r="N325" s="43" t="s">
        <v>55</v>
      </c>
      <c r="O325" s="115" t="s">
        <v>56</v>
      </c>
      <c r="P325" s="45" t="s">
        <v>964</v>
      </c>
      <c r="Q325" s="44" t="s">
        <v>965</v>
      </c>
    </row>
    <row r="326" ht="39.75" customHeight="1">
      <c r="A326" s="94" t="s">
        <v>966</v>
      </c>
      <c r="B326" s="96" t="s">
        <v>66</v>
      </c>
      <c r="C326" s="94" t="s">
        <v>309</v>
      </c>
      <c r="D326" s="97">
        <v>1.0</v>
      </c>
      <c r="E326" s="97" t="s">
        <v>146</v>
      </c>
      <c r="F326" s="97" t="s">
        <v>148</v>
      </c>
      <c r="G326" s="97" t="s">
        <v>149</v>
      </c>
      <c r="H326" s="97" t="s">
        <v>151</v>
      </c>
      <c r="I326" s="96"/>
      <c r="J326" s="100" t="s">
        <v>313</v>
      </c>
      <c r="K326" s="101" t="s">
        <v>314</v>
      </c>
      <c r="L326" s="125" t="s">
        <v>92</v>
      </c>
      <c r="M326" s="49" t="s">
        <v>63</v>
      </c>
      <c r="N326" s="43" t="s">
        <v>55</v>
      </c>
      <c r="O326" s="105" t="s">
        <v>68</v>
      </c>
      <c r="P326" s="101" t="s">
        <v>891</v>
      </c>
      <c r="Q326" s="107" t="s">
        <v>967</v>
      </c>
    </row>
    <row r="327" ht="30.0" customHeight="1">
      <c r="A327" s="73" t="s">
        <v>976</v>
      </c>
      <c r="B327" s="75" t="s">
        <v>66</v>
      </c>
      <c r="C327" s="73" t="s">
        <v>309</v>
      </c>
      <c r="D327" s="77">
        <v>1.0</v>
      </c>
      <c r="E327" s="77" t="s">
        <v>146</v>
      </c>
      <c r="F327" s="77" t="s">
        <v>148</v>
      </c>
      <c r="G327" s="77" t="s">
        <v>149</v>
      </c>
      <c r="H327" s="77" t="s">
        <v>151</v>
      </c>
      <c r="I327" s="75"/>
      <c r="J327" s="81" t="s">
        <v>313</v>
      </c>
      <c r="K327" s="45" t="s">
        <v>314</v>
      </c>
      <c r="L327" s="88" t="s">
        <v>63</v>
      </c>
      <c r="M327" s="86" t="s">
        <v>164</v>
      </c>
      <c r="N327" s="43" t="s">
        <v>55</v>
      </c>
      <c r="O327" s="115" t="s">
        <v>56</v>
      </c>
      <c r="P327" s="45" t="s">
        <v>978</v>
      </c>
      <c r="Q327" s="44"/>
    </row>
    <row r="328" ht="39.75" customHeight="1">
      <c r="A328" s="94" t="s">
        <v>983</v>
      </c>
      <c r="B328" s="96" t="s">
        <v>66</v>
      </c>
      <c r="C328" s="94" t="s">
        <v>309</v>
      </c>
      <c r="D328" s="97">
        <v>1.0</v>
      </c>
      <c r="E328" s="97" t="s">
        <v>146</v>
      </c>
      <c r="F328" s="97" t="s">
        <v>148</v>
      </c>
      <c r="G328" s="97" t="s">
        <v>149</v>
      </c>
      <c r="H328" s="97" t="s">
        <v>151</v>
      </c>
      <c r="I328" s="96"/>
      <c r="J328" s="100" t="s">
        <v>313</v>
      </c>
      <c r="K328" s="101" t="s">
        <v>314</v>
      </c>
      <c r="L328" s="125" t="s">
        <v>92</v>
      </c>
      <c r="M328" s="50" t="s">
        <v>64</v>
      </c>
      <c r="N328" s="43" t="s">
        <v>55</v>
      </c>
      <c r="O328" s="105" t="s">
        <v>68</v>
      </c>
      <c r="P328" s="101" t="s">
        <v>891</v>
      </c>
      <c r="Q328" s="107" t="s">
        <v>893</v>
      </c>
    </row>
    <row r="329" ht="39.75" customHeight="1">
      <c r="A329" s="73" t="s">
        <v>988</v>
      </c>
      <c r="B329" s="75" t="s">
        <v>66</v>
      </c>
      <c r="C329" s="73" t="s">
        <v>309</v>
      </c>
      <c r="D329" s="77">
        <v>1.0</v>
      </c>
      <c r="E329" s="77" t="s">
        <v>146</v>
      </c>
      <c r="F329" s="77" t="s">
        <v>148</v>
      </c>
      <c r="G329" s="77" t="s">
        <v>149</v>
      </c>
      <c r="H329" s="77" t="s">
        <v>151</v>
      </c>
      <c r="I329" s="75"/>
      <c r="J329" s="81" t="s">
        <v>313</v>
      </c>
      <c r="K329" s="45" t="s">
        <v>314</v>
      </c>
      <c r="L329" s="156" t="s">
        <v>218</v>
      </c>
      <c r="M329" s="50" t="s">
        <v>64</v>
      </c>
      <c r="N329" s="43" t="s">
        <v>55</v>
      </c>
      <c r="O329" s="59" t="s">
        <v>68</v>
      </c>
      <c r="P329" s="45" t="s">
        <v>891</v>
      </c>
      <c r="Q329" s="44" t="s">
        <v>893</v>
      </c>
    </row>
    <row r="330" ht="39.75" customHeight="1">
      <c r="A330" s="94" t="s">
        <v>989</v>
      </c>
      <c r="B330" s="96" t="s">
        <v>66</v>
      </c>
      <c r="C330" s="94" t="s">
        <v>309</v>
      </c>
      <c r="D330" s="97">
        <v>1.0</v>
      </c>
      <c r="E330" s="97" t="s">
        <v>146</v>
      </c>
      <c r="F330" s="97" t="s">
        <v>148</v>
      </c>
      <c r="G330" s="97" t="s">
        <v>149</v>
      </c>
      <c r="H330" s="97" t="s">
        <v>151</v>
      </c>
      <c r="I330" s="96"/>
      <c r="J330" s="100" t="s">
        <v>313</v>
      </c>
      <c r="K330" s="101" t="s">
        <v>314</v>
      </c>
      <c r="L330" s="125" t="s">
        <v>92</v>
      </c>
      <c r="M330" s="50" t="s">
        <v>64</v>
      </c>
      <c r="N330" s="43" t="s">
        <v>55</v>
      </c>
      <c r="O330" s="105" t="s">
        <v>68</v>
      </c>
      <c r="P330" s="101" t="s">
        <v>891</v>
      </c>
      <c r="Q330" s="107" t="s">
        <v>893</v>
      </c>
    </row>
    <row r="331" ht="39.75" hidden="1" customHeight="1">
      <c r="A331" s="73" t="s">
        <v>894</v>
      </c>
      <c r="B331" s="75" t="s">
        <v>66</v>
      </c>
      <c r="C331" s="73" t="s">
        <v>316</v>
      </c>
      <c r="D331" s="77">
        <v>2.0</v>
      </c>
      <c r="E331" s="77" t="s">
        <v>146</v>
      </c>
      <c r="F331" s="77" t="s">
        <v>148</v>
      </c>
      <c r="G331" s="77" t="s">
        <v>149</v>
      </c>
      <c r="H331" s="77" t="s">
        <v>151</v>
      </c>
      <c r="I331" s="75"/>
      <c r="J331" s="81" t="s">
        <v>318</v>
      </c>
      <c r="K331" s="45" t="s">
        <v>319</v>
      </c>
      <c r="L331" s="88" t="s">
        <v>63</v>
      </c>
      <c r="M331" s="50" t="s">
        <v>64</v>
      </c>
      <c r="N331" s="43" t="s">
        <v>55</v>
      </c>
      <c r="O331" s="59" t="s">
        <v>68</v>
      </c>
      <c r="P331" s="45" t="s">
        <v>891</v>
      </c>
      <c r="Q331" s="44" t="s">
        <v>893</v>
      </c>
    </row>
    <row r="332" ht="30.0" hidden="1" customHeight="1">
      <c r="A332" s="94" t="s">
        <v>900</v>
      </c>
      <c r="B332" s="96" t="s">
        <v>66</v>
      </c>
      <c r="C332" s="94" t="s">
        <v>316</v>
      </c>
      <c r="D332" s="97">
        <v>2.0</v>
      </c>
      <c r="E332" s="97" t="s">
        <v>146</v>
      </c>
      <c r="F332" s="97" t="s">
        <v>148</v>
      </c>
      <c r="G332" s="97" t="s">
        <v>149</v>
      </c>
      <c r="H332" s="97" t="s">
        <v>151</v>
      </c>
      <c r="I332" s="96"/>
      <c r="J332" s="100" t="s">
        <v>318</v>
      </c>
      <c r="K332" s="101" t="s">
        <v>319</v>
      </c>
      <c r="L332" s="88" t="s">
        <v>63</v>
      </c>
      <c r="M332" s="86" t="s">
        <v>164</v>
      </c>
      <c r="N332" s="43" t="s">
        <v>55</v>
      </c>
      <c r="O332" s="124" t="s">
        <v>56</v>
      </c>
      <c r="P332" s="101" t="s">
        <v>902</v>
      </c>
      <c r="Q332" s="107"/>
    </row>
    <row r="333" ht="30.0" hidden="1" customHeight="1">
      <c r="A333" s="73" t="s">
        <v>911</v>
      </c>
      <c r="B333" s="75" t="s">
        <v>66</v>
      </c>
      <c r="C333" s="73" t="s">
        <v>316</v>
      </c>
      <c r="D333" s="77">
        <v>2.0</v>
      </c>
      <c r="E333" s="77" t="s">
        <v>146</v>
      </c>
      <c r="F333" s="77" t="s">
        <v>148</v>
      </c>
      <c r="G333" s="77" t="s">
        <v>149</v>
      </c>
      <c r="H333" s="77" t="s">
        <v>151</v>
      </c>
      <c r="I333" s="75"/>
      <c r="J333" s="81" t="s">
        <v>318</v>
      </c>
      <c r="K333" s="45" t="s">
        <v>319</v>
      </c>
      <c r="L333" s="88" t="s">
        <v>63</v>
      </c>
      <c r="M333" s="62" t="s">
        <v>92</v>
      </c>
      <c r="N333" s="43" t="s">
        <v>55</v>
      </c>
      <c r="O333" s="115" t="s">
        <v>56</v>
      </c>
      <c r="P333" s="45" t="s">
        <v>913</v>
      </c>
      <c r="Q333" s="44"/>
    </row>
    <row r="334" ht="30.0" hidden="1" customHeight="1">
      <c r="A334" s="94" t="s">
        <v>917</v>
      </c>
      <c r="B334" s="96" t="s">
        <v>66</v>
      </c>
      <c r="C334" s="94" t="s">
        <v>316</v>
      </c>
      <c r="D334" s="97">
        <v>2.0</v>
      </c>
      <c r="E334" s="97" t="s">
        <v>146</v>
      </c>
      <c r="F334" s="97" t="s">
        <v>148</v>
      </c>
      <c r="G334" s="97" t="s">
        <v>149</v>
      </c>
      <c r="H334" s="97" t="s">
        <v>151</v>
      </c>
      <c r="I334" s="96"/>
      <c r="J334" s="100" t="s">
        <v>318</v>
      </c>
      <c r="K334" s="101" t="s">
        <v>319</v>
      </c>
      <c r="L334" s="88" t="s">
        <v>63</v>
      </c>
      <c r="M334" s="86" t="s">
        <v>164</v>
      </c>
      <c r="N334" s="43" t="s">
        <v>55</v>
      </c>
      <c r="O334" s="124" t="s">
        <v>56</v>
      </c>
      <c r="P334" s="101" t="s">
        <v>919</v>
      </c>
      <c r="Q334" s="107" t="s">
        <v>920</v>
      </c>
    </row>
    <row r="335" ht="39.75" hidden="1" customHeight="1">
      <c r="A335" s="73" t="s">
        <v>921</v>
      </c>
      <c r="B335" s="75" t="s">
        <v>66</v>
      </c>
      <c r="C335" s="73" t="s">
        <v>316</v>
      </c>
      <c r="D335" s="77">
        <v>2.0</v>
      </c>
      <c r="E335" s="77" t="s">
        <v>146</v>
      </c>
      <c r="F335" s="77" t="s">
        <v>148</v>
      </c>
      <c r="G335" s="77" t="s">
        <v>149</v>
      </c>
      <c r="H335" s="77" t="s">
        <v>151</v>
      </c>
      <c r="I335" s="75"/>
      <c r="J335" s="81" t="s">
        <v>318</v>
      </c>
      <c r="K335" s="45" t="s">
        <v>319</v>
      </c>
      <c r="L335" s="125" t="s">
        <v>92</v>
      </c>
      <c r="M335" s="50" t="s">
        <v>64</v>
      </c>
      <c r="N335" s="43" t="s">
        <v>55</v>
      </c>
      <c r="O335" s="59" t="s">
        <v>68</v>
      </c>
      <c r="P335" s="45" t="s">
        <v>891</v>
      </c>
      <c r="Q335" s="44" t="s">
        <v>893</v>
      </c>
    </row>
    <row r="336" ht="30.0" hidden="1" customHeight="1">
      <c r="A336" s="94" t="s">
        <v>925</v>
      </c>
      <c r="B336" s="96" t="s">
        <v>66</v>
      </c>
      <c r="C336" s="94" t="s">
        <v>316</v>
      </c>
      <c r="D336" s="97">
        <v>2.0</v>
      </c>
      <c r="E336" s="97" t="s">
        <v>146</v>
      </c>
      <c r="F336" s="97" t="s">
        <v>148</v>
      </c>
      <c r="G336" s="97" t="s">
        <v>149</v>
      </c>
      <c r="H336" s="97" t="s">
        <v>151</v>
      </c>
      <c r="I336" s="96"/>
      <c r="J336" s="100" t="s">
        <v>318</v>
      </c>
      <c r="K336" s="101" t="s">
        <v>319</v>
      </c>
      <c r="L336" s="125" t="s">
        <v>92</v>
      </c>
      <c r="M336" s="50" t="s">
        <v>64</v>
      </c>
      <c r="N336" s="43" t="s">
        <v>55</v>
      </c>
      <c r="O336" s="124" t="s">
        <v>56</v>
      </c>
      <c r="P336" s="101" t="s">
        <v>927</v>
      </c>
      <c r="Q336" s="107"/>
    </row>
    <row r="337" ht="39.75" hidden="1" customHeight="1">
      <c r="A337" s="73" t="s">
        <v>928</v>
      </c>
      <c r="B337" s="75" t="s">
        <v>66</v>
      </c>
      <c r="C337" s="73" t="s">
        <v>316</v>
      </c>
      <c r="D337" s="77">
        <v>2.0</v>
      </c>
      <c r="E337" s="77" t="s">
        <v>146</v>
      </c>
      <c r="F337" s="77" t="s">
        <v>148</v>
      </c>
      <c r="G337" s="77" t="s">
        <v>149</v>
      </c>
      <c r="H337" s="77" t="s">
        <v>151</v>
      </c>
      <c r="I337" s="75"/>
      <c r="J337" s="81" t="s">
        <v>318</v>
      </c>
      <c r="K337" s="45" t="s">
        <v>319</v>
      </c>
      <c r="L337" s="88" t="s">
        <v>63</v>
      </c>
      <c r="M337" s="86" t="s">
        <v>164</v>
      </c>
      <c r="N337" s="43" t="s">
        <v>55</v>
      </c>
      <c r="O337" s="59" t="s">
        <v>68</v>
      </c>
      <c r="P337" s="45" t="s">
        <v>891</v>
      </c>
      <c r="Q337" s="44" t="s">
        <v>893</v>
      </c>
    </row>
    <row r="338" ht="39.75" hidden="1" customHeight="1">
      <c r="A338" s="94" t="s">
        <v>933</v>
      </c>
      <c r="B338" s="96" t="s">
        <v>66</v>
      </c>
      <c r="C338" s="94" t="s">
        <v>316</v>
      </c>
      <c r="D338" s="97">
        <v>2.0</v>
      </c>
      <c r="E338" s="97" t="s">
        <v>146</v>
      </c>
      <c r="F338" s="97" t="s">
        <v>148</v>
      </c>
      <c r="G338" s="97" t="s">
        <v>149</v>
      </c>
      <c r="H338" s="97" t="s">
        <v>151</v>
      </c>
      <c r="I338" s="96"/>
      <c r="J338" s="100" t="s">
        <v>318</v>
      </c>
      <c r="K338" s="101" t="s">
        <v>319</v>
      </c>
      <c r="L338" s="153" t="s">
        <v>210</v>
      </c>
      <c r="M338" s="86" t="s">
        <v>164</v>
      </c>
      <c r="N338" s="43" t="s">
        <v>55</v>
      </c>
      <c r="O338" s="105" t="s">
        <v>68</v>
      </c>
      <c r="P338" s="101" t="s">
        <v>891</v>
      </c>
      <c r="Q338" s="107" t="s">
        <v>893</v>
      </c>
    </row>
    <row r="339" ht="39.75" hidden="1" customHeight="1">
      <c r="A339" s="73" t="s">
        <v>948</v>
      </c>
      <c r="B339" s="75" t="s">
        <v>66</v>
      </c>
      <c r="C339" s="73" t="s">
        <v>316</v>
      </c>
      <c r="D339" s="77">
        <v>2.0</v>
      </c>
      <c r="E339" s="77" t="s">
        <v>146</v>
      </c>
      <c r="F339" s="77" t="s">
        <v>148</v>
      </c>
      <c r="G339" s="77" t="s">
        <v>149</v>
      </c>
      <c r="H339" s="77" t="s">
        <v>151</v>
      </c>
      <c r="I339" s="75"/>
      <c r="J339" s="81" t="s">
        <v>318</v>
      </c>
      <c r="K339" s="45" t="s">
        <v>319</v>
      </c>
      <c r="L339" s="103" t="s">
        <v>76</v>
      </c>
      <c r="M339" s="50" t="s">
        <v>64</v>
      </c>
      <c r="N339" s="43" t="s">
        <v>55</v>
      </c>
      <c r="O339" s="59" t="s">
        <v>68</v>
      </c>
      <c r="P339" s="45" t="s">
        <v>891</v>
      </c>
      <c r="Q339" s="44" t="s">
        <v>893</v>
      </c>
    </row>
    <row r="340" ht="39.75" hidden="1" customHeight="1">
      <c r="A340" s="94" t="s">
        <v>950</v>
      </c>
      <c r="B340" s="96" t="s">
        <v>66</v>
      </c>
      <c r="C340" s="94" t="s">
        <v>316</v>
      </c>
      <c r="D340" s="97">
        <v>2.0</v>
      </c>
      <c r="E340" s="97" t="s">
        <v>146</v>
      </c>
      <c r="F340" s="97" t="s">
        <v>148</v>
      </c>
      <c r="G340" s="97" t="s">
        <v>149</v>
      </c>
      <c r="H340" s="97" t="s">
        <v>151</v>
      </c>
      <c r="I340" s="96"/>
      <c r="J340" s="100" t="s">
        <v>318</v>
      </c>
      <c r="K340" s="101" t="s">
        <v>319</v>
      </c>
      <c r="L340" s="125" t="s">
        <v>92</v>
      </c>
      <c r="M340" s="136" t="s">
        <v>210</v>
      </c>
      <c r="N340" s="43" t="s">
        <v>55</v>
      </c>
      <c r="O340" s="105" t="s">
        <v>68</v>
      </c>
      <c r="P340" s="101" t="s">
        <v>891</v>
      </c>
      <c r="Q340" s="107" t="s">
        <v>893</v>
      </c>
    </row>
    <row r="341" ht="39.75" hidden="1" customHeight="1">
      <c r="A341" s="73" t="s">
        <v>951</v>
      </c>
      <c r="B341" s="75" t="s">
        <v>66</v>
      </c>
      <c r="C341" s="73" t="s">
        <v>316</v>
      </c>
      <c r="D341" s="77">
        <v>2.0</v>
      </c>
      <c r="E341" s="77" t="s">
        <v>146</v>
      </c>
      <c r="F341" s="77" t="s">
        <v>148</v>
      </c>
      <c r="G341" s="77" t="s">
        <v>149</v>
      </c>
      <c r="H341" s="77" t="s">
        <v>151</v>
      </c>
      <c r="I341" s="75"/>
      <c r="J341" s="81" t="s">
        <v>318</v>
      </c>
      <c r="K341" s="45" t="s">
        <v>319</v>
      </c>
      <c r="L341" s="88" t="s">
        <v>63</v>
      </c>
      <c r="M341" s="50" t="s">
        <v>64</v>
      </c>
      <c r="N341" s="43" t="s">
        <v>55</v>
      </c>
      <c r="O341" s="59" t="s">
        <v>68</v>
      </c>
      <c r="P341" s="45" t="s">
        <v>891</v>
      </c>
      <c r="Q341" s="44" t="s">
        <v>893</v>
      </c>
    </row>
    <row r="342" ht="39.75" hidden="1" customHeight="1">
      <c r="A342" s="94" t="s">
        <v>952</v>
      </c>
      <c r="B342" s="96" t="s">
        <v>66</v>
      </c>
      <c r="C342" s="94" t="s">
        <v>316</v>
      </c>
      <c r="D342" s="97">
        <v>2.0</v>
      </c>
      <c r="E342" s="97" t="s">
        <v>146</v>
      </c>
      <c r="F342" s="97" t="s">
        <v>148</v>
      </c>
      <c r="G342" s="97" t="s">
        <v>149</v>
      </c>
      <c r="H342" s="97" t="s">
        <v>151</v>
      </c>
      <c r="I342" s="96"/>
      <c r="J342" s="100" t="s">
        <v>318</v>
      </c>
      <c r="K342" s="101" t="s">
        <v>319</v>
      </c>
      <c r="L342" s="140" t="s">
        <v>52</v>
      </c>
      <c r="M342" s="138" t="s">
        <v>199</v>
      </c>
      <c r="N342" s="43" t="s">
        <v>55</v>
      </c>
      <c r="O342" s="105" t="s">
        <v>68</v>
      </c>
      <c r="P342" s="101" t="s">
        <v>891</v>
      </c>
      <c r="Q342" s="107" t="s">
        <v>893</v>
      </c>
    </row>
    <row r="343" ht="30.0" hidden="1" customHeight="1">
      <c r="A343" s="73" t="s">
        <v>968</v>
      </c>
      <c r="B343" s="75" t="s">
        <v>66</v>
      </c>
      <c r="C343" s="73" t="s">
        <v>316</v>
      </c>
      <c r="D343" s="77">
        <v>2.0</v>
      </c>
      <c r="E343" s="77" t="s">
        <v>146</v>
      </c>
      <c r="F343" s="77" t="s">
        <v>148</v>
      </c>
      <c r="G343" s="77" t="s">
        <v>149</v>
      </c>
      <c r="H343" s="77" t="s">
        <v>151</v>
      </c>
      <c r="I343" s="75"/>
      <c r="J343" s="81" t="s">
        <v>318</v>
      </c>
      <c r="K343" s="45" t="s">
        <v>319</v>
      </c>
      <c r="L343" s="140" t="s">
        <v>52</v>
      </c>
      <c r="M343" s="62" t="s">
        <v>92</v>
      </c>
      <c r="N343" s="43" t="s">
        <v>55</v>
      </c>
      <c r="O343" s="115" t="s">
        <v>56</v>
      </c>
      <c r="P343" s="45" t="s">
        <v>970</v>
      </c>
      <c r="Q343" s="44"/>
    </row>
    <row r="344" ht="39.75" hidden="1" customHeight="1">
      <c r="A344" s="94" t="s">
        <v>974</v>
      </c>
      <c r="B344" s="96" t="s">
        <v>66</v>
      </c>
      <c r="C344" s="94" t="s">
        <v>316</v>
      </c>
      <c r="D344" s="97">
        <v>2.0</v>
      </c>
      <c r="E344" s="97" t="s">
        <v>146</v>
      </c>
      <c r="F344" s="97" t="s">
        <v>148</v>
      </c>
      <c r="G344" s="97" t="s">
        <v>149</v>
      </c>
      <c r="H344" s="97" t="s">
        <v>151</v>
      </c>
      <c r="I344" s="96"/>
      <c r="J344" s="100" t="s">
        <v>318</v>
      </c>
      <c r="K344" s="101" t="s">
        <v>319</v>
      </c>
      <c r="L344" s="148" t="s">
        <v>199</v>
      </c>
      <c r="M344" s="50" t="s">
        <v>64</v>
      </c>
      <c r="N344" s="43" t="s">
        <v>55</v>
      </c>
      <c r="O344" s="105" t="s">
        <v>68</v>
      </c>
      <c r="P344" s="101" t="s">
        <v>891</v>
      </c>
      <c r="Q344" s="107" t="s">
        <v>893</v>
      </c>
    </row>
    <row r="345" ht="39.75" hidden="1" customHeight="1">
      <c r="A345" s="73" t="s">
        <v>975</v>
      </c>
      <c r="B345" s="75" t="s">
        <v>66</v>
      </c>
      <c r="C345" s="73" t="s">
        <v>316</v>
      </c>
      <c r="D345" s="77">
        <v>2.0</v>
      </c>
      <c r="E345" s="77" t="s">
        <v>146</v>
      </c>
      <c r="F345" s="77" t="s">
        <v>148</v>
      </c>
      <c r="G345" s="77" t="s">
        <v>149</v>
      </c>
      <c r="H345" s="77" t="s">
        <v>151</v>
      </c>
      <c r="I345" s="75"/>
      <c r="J345" s="81" t="s">
        <v>318</v>
      </c>
      <c r="K345" s="45" t="s">
        <v>319</v>
      </c>
      <c r="L345" s="88" t="s">
        <v>63</v>
      </c>
      <c r="M345" s="50" t="s">
        <v>64</v>
      </c>
      <c r="N345" s="43" t="s">
        <v>55</v>
      </c>
      <c r="O345" s="59" t="s">
        <v>68</v>
      </c>
      <c r="P345" s="45" t="s">
        <v>891</v>
      </c>
      <c r="Q345" s="44" t="s">
        <v>893</v>
      </c>
    </row>
    <row r="346" ht="39.75" hidden="1" customHeight="1">
      <c r="A346" s="94" t="s">
        <v>979</v>
      </c>
      <c r="B346" s="96" t="s">
        <v>66</v>
      </c>
      <c r="C346" s="94" t="s">
        <v>316</v>
      </c>
      <c r="D346" s="97">
        <v>2.0</v>
      </c>
      <c r="E346" s="97" t="s">
        <v>146</v>
      </c>
      <c r="F346" s="97" t="s">
        <v>148</v>
      </c>
      <c r="G346" s="97" t="s">
        <v>149</v>
      </c>
      <c r="H346" s="97" t="s">
        <v>151</v>
      </c>
      <c r="I346" s="96"/>
      <c r="J346" s="100" t="s">
        <v>318</v>
      </c>
      <c r="K346" s="101" t="s">
        <v>319</v>
      </c>
      <c r="L346" s="88" t="s">
        <v>63</v>
      </c>
      <c r="M346" s="41" t="s">
        <v>52</v>
      </c>
      <c r="N346" s="43" t="s">
        <v>55</v>
      </c>
      <c r="O346" s="105" t="s">
        <v>68</v>
      </c>
      <c r="P346" s="101" t="s">
        <v>891</v>
      </c>
      <c r="Q346" s="107" t="s">
        <v>893</v>
      </c>
    </row>
    <row r="347" ht="39.75" hidden="1" customHeight="1">
      <c r="A347" s="73" t="s">
        <v>981</v>
      </c>
      <c r="B347" s="75" t="s">
        <v>66</v>
      </c>
      <c r="C347" s="73" t="s">
        <v>316</v>
      </c>
      <c r="D347" s="77">
        <v>2.0</v>
      </c>
      <c r="E347" s="77" t="s">
        <v>146</v>
      </c>
      <c r="F347" s="77" t="s">
        <v>148</v>
      </c>
      <c r="G347" s="77" t="s">
        <v>149</v>
      </c>
      <c r="H347" s="77" t="s">
        <v>151</v>
      </c>
      <c r="I347" s="75"/>
      <c r="J347" s="81" t="s">
        <v>318</v>
      </c>
      <c r="K347" s="45" t="s">
        <v>319</v>
      </c>
      <c r="L347" s="148" t="s">
        <v>199</v>
      </c>
      <c r="M347" s="50" t="s">
        <v>64</v>
      </c>
      <c r="N347" s="43" t="s">
        <v>55</v>
      </c>
      <c r="O347" s="59" t="s">
        <v>68</v>
      </c>
      <c r="P347" s="45" t="s">
        <v>891</v>
      </c>
      <c r="Q347" s="44" t="s">
        <v>893</v>
      </c>
    </row>
    <row r="348" ht="39.75" hidden="1" customHeight="1">
      <c r="A348" s="94" t="s">
        <v>982</v>
      </c>
      <c r="B348" s="96" t="s">
        <v>66</v>
      </c>
      <c r="C348" s="94" t="s">
        <v>316</v>
      </c>
      <c r="D348" s="97">
        <v>2.0</v>
      </c>
      <c r="E348" s="97" t="s">
        <v>146</v>
      </c>
      <c r="F348" s="97" t="s">
        <v>148</v>
      </c>
      <c r="G348" s="97" t="s">
        <v>149</v>
      </c>
      <c r="H348" s="97" t="s">
        <v>151</v>
      </c>
      <c r="I348" s="96"/>
      <c r="J348" s="100" t="s">
        <v>318</v>
      </c>
      <c r="K348" s="101" t="s">
        <v>319</v>
      </c>
      <c r="L348" s="140" t="s">
        <v>52</v>
      </c>
      <c r="M348" s="62" t="s">
        <v>92</v>
      </c>
      <c r="N348" s="43" t="s">
        <v>55</v>
      </c>
      <c r="O348" s="105" t="s">
        <v>68</v>
      </c>
      <c r="P348" s="101" t="s">
        <v>891</v>
      </c>
      <c r="Q348" s="107" t="s">
        <v>893</v>
      </c>
    </row>
    <row r="349" ht="30.0" hidden="1" customHeight="1">
      <c r="A349" s="73" t="s">
        <v>886</v>
      </c>
      <c r="B349" s="75" t="s">
        <v>66</v>
      </c>
      <c r="C349" s="73" t="s">
        <v>320</v>
      </c>
      <c r="D349" s="77">
        <v>3.0</v>
      </c>
      <c r="E349" s="77" t="s">
        <v>146</v>
      </c>
      <c r="F349" s="77" t="s">
        <v>148</v>
      </c>
      <c r="G349" s="77" t="s">
        <v>149</v>
      </c>
      <c r="H349" s="77" t="s">
        <v>151</v>
      </c>
      <c r="I349" s="75"/>
      <c r="J349" s="81" t="s">
        <v>323</v>
      </c>
      <c r="K349" s="45" t="s">
        <v>324</v>
      </c>
      <c r="L349" s="127" t="s">
        <v>64</v>
      </c>
      <c r="M349" s="86" t="s">
        <v>164</v>
      </c>
      <c r="N349" s="43" t="s">
        <v>55</v>
      </c>
      <c r="O349" s="115" t="s">
        <v>56</v>
      </c>
      <c r="P349" s="45" t="s">
        <v>888</v>
      </c>
      <c r="Q349" s="44"/>
    </row>
    <row r="350" ht="30.0" hidden="1" customHeight="1">
      <c r="A350" s="94" t="s">
        <v>895</v>
      </c>
      <c r="B350" s="96" t="s">
        <v>66</v>
      </c>
      <c r="C350" s="94" t="s">
        <v>320</v>
      </c>
      <c r="D350" s="97">
        <v>3.0</v>
      </c>
      <c r="E350" s="97" t="s">
        <v>146</v>
      </c>
      <c r="F350" s="97" t="s">
        <v>148</v>
      </c>
      <c r="G350" s="97" t="s">
        <v>149</v>
      </c>
      <c r="H350" s="97" t="s">
        <v>151</v>
      </c>
      <c r="I350" s="96"/>
      <c r="J350" s="100" t="s">
        <v>323</v>
      </c>
      <c r="K350" s="101" t="s">
        <v>324</v>
      </c>
      <c r="L350" s="143" t="s">
        <v>150</v>
      </c>
      <c r="M350" s="41" t="s">
        <v>52</v>
      </c>
      <c r="N350" s="43" t="s">
        <v>55</v>
      </c>
      <c r="O350" s="124" t="s">
        <v>56</v>
      </c>
      <c r="P350" s="101" t="s">
        <v>897</v>
      </c>
      <c r="Q350" s="107"/>
    </row>
    <row r="351" ht="39.75" hidden="1" customHeight="1">
      <c r="A351" s="73" t="s">
        <v>899</v>
      </c>
      <c r="B351" s="75" t="s">
        <v>66</v>
      </c>
      <c r="C351" s="73" t="s">
        <v>320</v>
      </c>
      <c r="D351" s="77">
        <v>3.0</v>
      </c>
      <c r="E351" s="77" t="s">
        <v>146</v>
      </c>
      <c r="F351" s="77" t="s">
        <v>148</v>
      </c>
      <c r="G351" s="77" t="s">
        <v>149</v>
      </c>
      <c r="H351" s="77" t="s">
        <v>151</v>
      </c>
      <c r="I351" s="75"/>
      <c r="J351" s="81" t="s">
        <v>323</v>
      </c>
      <c r="K351" s="45" t="s">
        <v>324</v>
      </c>
      <c r="L351" s="125" t="s">
        <v>92</v>
      </c>
      <c r="M351" s="50" t="s">
        <v>64</v>
      </c>
      <c r="N351" s="43" t="s">
        <v>55</v>
      </c>
      <c r="O351" s="59" t="s">
        <v>68</v>
      </c>
      <c r="P351" s="45" t="s">
        <v>891</v>
      </c>
      <c r="Q351" s="44" t="s">
        <v>893</v>
      </c>
    </row>
    <row r="352" ht="30.0" hidden="1" customHeight="1">
      <c r="A352" s="94" t="s">
        <v>903</v>
      </c>
      <c r="B352" s="96" t="s">
        <v>66</v>
      </c>
      <c r="C352" s="94" t="s">
        <v>320</v>
      </c>
      <c r="D352" s="97">
        <v>3.0</v>
      </c>
      <c r="E352" s="97" t="s">
        <v>146</v>
      </c>
      <c r="F352" s="97" t="s">
        <v>148</v>
      </c>
      <c r="G352" s="97" t="s">
        <v>149</v>
      </c>
      <c r="H352" s="97" t="s">
        <v>151</v>
      </c>
      <c r="I352" s="96"/>
      <c r="J352" s="100" t="s">
        <v>323</v>
      </c>
      <c r="K352" s="101" t="s">
        <v>324</v>
      </c>
      <c r="L352" s="125" t="s">
        <v>92</v>
      </c>
      <c r="M352" s="50" t="s">
        <v>64</v>
      </c>
      <c r="N352" s="43" t="s">
        <v>55</v>
      </c>
      <c r="O352" s="124" t="s">
        <v>56</v>
      </c>
      <c r="P352" s="101" t="s">
        <v>905</v>
      </c>
      <c r="Q352" s="107"/>
    </row>
    <row r="353" ht="39.75" hidden="1" customHeight="1">
      <c r="A353" s="73" t="s">
        <v>907</v>
      </c>
      <c r="B353" s="75" t="s">
        <v>66</v>
      </c>
      <c r="C353" s="73" t="s">
        <v>320</v>
      </c>
      <c r="D353" s="77">
        <v>3.0</v>
      </c>
      <c r="E353" s="77" t="s">
        <v>146</v>
      </c>
      <c r="F353" s="77" t="s">
        <v>148</v>
      </c>
      <c r="G353" s="77" t="s">
        <v>149</v>
      </c>
      <c r="H353" s="77" t="s">
        <v>151</v>
      </c>
      <c r="I353" s="75"/>
      <c r="J353" s="81" t="s">
        <v>323</v>
      </c>
      <c r="K353" s="45" t="s">
        <v>324</v>
      </c>
      <c r="L353" s="125" t="s">
        <v>92</v>
      </c>
      <c r="M353" s="49" t="s">
        <v>63</v>
      </c>
      <c r="N353" s="43" t="s">
        <v>55</v>
      </c>
      <c r="O353" s="59" t="s">
        <v>68</v>
      </c>
      <c r="P353" s="45" t="s">
        <v>891</v>
      </c>
      <c r="Q353" s="44" t="s">
        <v>893</v>
      </c>
    </row>
    <row r="354" ht="30.0" hidden="1" customHeight="1">
      <c r="A354" s="94" t="s">
        <v>908</v>
      </c>
      <c r="B354" s="96" t="s">
        <v>66</v>
      </c>
      <c r="C354" s="94" t="s">
        <v>320</v>
      </c>
      <c r="D354" s="97">
        <v>3.0</v>
      </c>
      <c r="E354" s="97" t="s">
        <v>146</v>
      </c>
      <c r="F354" s="97" t="s">
        <v>148</v>
      </c>
      <c r="G354" s="97" t="s">
        <v>149</v>
      </c>
      <c r="H354" s="97" t="s">
        <v>151</v>
      </c>
      <c r="I354" s="96"/>
      <c r="J354" s="100" t="s">
        <v>323</v>
      </c>
      <c r="K354" s="101" t="s">
        <v>324</v>
      </c>
      <c r="L354" s="88" t="s">
        <v>63</v>
      </c>
      <c r="M354" s="50" t="s">
        <v>64</v>
      </c>
      <c r="N354" s="43" t="s">
        <v>55</v>
      </c>
      <c r="O354" s="124" t="s">
        <v>56</v>
      </c>
      <c r="P354" s="101" t="s">
        <v>910</v>
      </c>
      <c r="Q354" s="107"/>
    </row>
    <row r="355" ht="30.0" hidden="1" customHeight="1">
      <c r="A355" s="73" t="s">
        <v>914</v>
      </c>
      <c r="B355" s="75" t="s">
        <v>66</v>
      </c>
      <c r="C355" s="73" t="s">
        <v>320</v>
      </c>
      <c r="D355" s="77">
        <v>3.0</v>
      </c>
      <c r="E355" s="77" t="s">
        <v>146</v>
      </c>
      <c r="F355" s="77" t="s">
        <v>148</v>
      </c>
      <c r="G355" s="77" t="s">
        <v>149</v>
      </c>
      <c r="H355" s="77" t="s">
        <v>151</v>
      </c>
      <c r="I355" s="75"/>
      <c r="J355" s="81" t="s">
        <v>323</v>
      </c>
      <c r="K355" s="45" t="s">
        <v>324</v>
      </c>
      <c r="L355" s="125" t="s">
        <v>92</v>
      </c>
      <c r="M355" s="50" t="s">
        <v>64</v>
      </c>
      <c r="N355" s="43" t="s">
        <v>55</v>
      </c>
      <c r="O355" s="115" t="s">
        <v>56</v>
      </c>
      <c r="P355" s="45" t="s">
        <v>916</v>
      </c>
      <c r="Q355" s="44" t="s">
        <v>881</v>
      </c>
    </row>
    <row r="356" ht="30.0" hidden="1" customHeight="1">
      <c r="A356" s="94" t="s">
        <v>922</v>
      </c>
      <c r="B356" s="96" t="s">
        <v>66</v>
      </c>
      <c r="C356" s="94" t="s">
        <v>320</v>
      </c>
      <c r="D356" s="97">
        <v>3.0</v>
      </c>
      <c r="E356" s="97" t="s">
        <v>146</v>
      </c>
      <c r="F356" s="97" t="s">
        <v>148</v>
      </c>
      <c r="G356" s="97" t="s">
        <v>149</v>
      </c>
      <c r="H356" s="97" t="s">
        <v>151</v>
      </c>
      <c r="I356" s="96"/>
      <c r="J356" s="100" t="s">
        <v>323</v>
      </c>
      <c r="K356" s="101" t="s">
        <v>324</v>
      </c>
      <c r="L356" s="88" t="s">
        <v>63</v>
      </c>
      <c r="M356" s="86" t="s">
        <v>164</v>
      </c>
      <c r="N356" s="43" t="s">
        <v>55</v>
      </c>
      <c r="O356" s="124" t="s">
        <v>56</v>
      </c>
      <c r="P356" s="101" t="s">
        <v>924</v>
      </c>
      <c r="Q356" s="107" t="s">
        <v>269</v>
      </c>
    </row>
    <row r="357" ht="30.0" hidden="1" customHeight="1">
      <c r="A357" s="73" t="s">
        <v>929</v>
      </c>
      <c r="B357" s="75" t="s">
        <v>66</v>
      </c>
      <c r="C357" s="73" t="s">
        <v>320</v>
      </c>
      <c r="D357" s="77">
        <v>3.0</v>
      </c>
      <c r="E357" s="77" t="s">
        <v>146</v>
      </c>
      <c r="F357" s="77" t="s">
        <v>148</v>
      </c>
      <c r="G357" s="77" t="s">
        <v>149</v>
      </c>
      <c r="H357" s="77" t="s">
        <v>151</v>
      </c>
      <c r="I357" s="75"/>
      <c r="J357" s="81" t="s">
        <v>323</v>
      </c>
      <c r="K357" s="45" t="s">
        <v>324</v>
      </c>
      <c r="L357" s="88" t="s">
        <v>63</v>
      </c>
      <c r="M357" s="50" t="s">
        <v>64</v>
      </c>
      <c r="N357" s="43" t="s">
        <v>55</v>
      </c>
      <c r="O357" s="115" t="s">
        <v>56</v>
      </c>
      <c r="P357" s="45" t="s">
        <v>931</v>
      </c>
      <c r="Q357" s="44" t="s">
        <v>932</v>
      </c>
    </row>
    <row r="358" ht="30.0" hidden="1" customHeight="1">
      <c r="A358" s="94" t="s">
        <v>936</v>
      </c>
      <c r="B358" s="96" t="s">
        <v>66</v>
      </c>
      <c r="C358" s="94" t="s">
        <v>320</v>
      </c>
      <c r="D358" s="97">
        <v>3.0</v>
      </c>
      <c r="E358" s="97" t="s">
        <v>146</v>
      </c>
      <c r="F358" s="97" t="s">
        <v>148</v>
      </c>
      <c r="G358" s="97" t="s">
        <v>149</v>
      </c>
      <c r="H358" s="97" t="s">
        <v>151</v>
      </c>
      <c r="I358" s="96"/>
      <c r="J358" s="100" t="s">
        <v>323</v>
      </c>
      <c r="K358" s="101" t="s">
        <v>324</v>
      </c>
      <c r="L358" s="126" t="s">
        <v>78</v>
      </c>
      <c r="M358" s="50" t="s">
        <v>64</v>
      </c>
      <c r="N358" s="43" t="s">
        <v>55</v>
      </c>
      <c r="O358" s="124" t="s">
        <v>56</v>
      </c>
      <c r="P358" s="101" t="s">
        <v>938</v>
      </c>
      <c r="Q358" s="107"/>
    </row>
    <row r="359" ht="39.75" hidden="1" customHeight="1">
      <c r="A359" s="73" t="s">
        <v>957</v>
      </c>
      <c r="B359" s="75" t="s">
        <v>66</v>
      </c>
      <c r="C359" s="73" t="s">
        <v>320</v>
      </c>
      <c r="D359" s="77">
        <v>3.0</v>
      </c>
      <c r="E359" s="77" t="s">
        <v>146</v>
      </c>
      <c r="F359" s="77" t="s">
        <v>148</v>
      </c>
      <c r="G359" s="77" t="s">
        <v>149</v>
      </c>
      <c r="H359" s="77" t="s">
        <v>151</v>
      </c>
      <c r="I359" s="75"/>
      <c r="J359" s="81" t="s">
        <v>323</v>
      </c>
      <c r="K359" s="45" t="s">
        <v>324</v>
      </c>
      <c r="L359" s="140" t="s">
        <v>52</v>
      </c>
      <c r="M359" s="49" t="s">
        <v>63</v>
      </c>
      <c r="N359" s="43" t="s">
        <v>55</v>
      </c>
      <c r="O359" s="59" t="s">
        <v>68</v>
      </c>
      <c r="P359" s="45" t="s">
        <v>891</v>
      </c>
      <c r="Q359" s="44" t="s">
        <v>893</v>
      </c>
    </row>
    <row r="360" ht="30.0" hidden="1" customHeight="1">
      <c r="A360" s="94" t="s">
        <v>958</v>
      </c>
      <c r="B360" s="96" t="s">
        <v>66</v>
      </c>
      <c r="C360" s="94" t="s">
        <v>320</v>
      </c>
      <c r="D360" s="97">
        <v>3.0</v>
      </c>
      <c r="E360" s="97" t="s">
        <v>146</v>
      </c>
      <c r="F360" s="97" t="s">
        <v>148</v>
      </c>
      <c r="G360" s="97" t="s">
        <v>149</v>
      </c>
      <c r="H360" s="97" t="s">
        <v>151</v>
      </c>
      <c r="I360" s="96"/>
      <c r="J360" s="100" t="s">
        <v>323</v>
      </c>
      <c r="K360" s="101" t="s">
        <v>324</v>
      </c>
      <c r="L360" s="148" t="s">
        <v>199</v>
      </c>
      <c r="M360" s="86" t="s">
        <v>164</v>
      </c>
      <c r="N360" s="43" t="s">
        <v>55</v>
      </c>
      <c r="O360" s="124" t="s">
        <v>56</v>
      </c>
      <c r="P360" s="101" t="s">
        <v>961</v>
      </c>
      <c r="Q360" s="107"/>
    </row>
    <row r="361" ht="30.0" hidden="1" customHeight="1">
      <c r="A361" s="73" t="s">
        <v>971</v>
      </c>
      <c r="B361" s="75" t="s">
        <v>66</v>
      </c>
      <c r="C361" s="73" t="s">
        <v>320</v>
      </c>
      <c r="D361" s="77">
        <v>3.0</v>
      </c>
      <c r="E361" s="77" t="s">
        <v>146</v>
      </c>
      <c r="F361" s="77" t="s">
        <v>148</v>
      </c>
      <c r="G361" s="77" t="s">
        <v>149</v>
      </c>
      <c r="H361" s="77" t="s">
        <v>151</v>
      </c>
      <c r="I361" s="75"/>
      <c r="J361" s="81" t="s">
        <v>323</v>
      </c>
      <c r="K361" s="45" t="s">
        <v>324</v>
      </c>
      <c r="L361" s="140" t="s">
        <v>52</v>
      </c>
      <c r="M361" s="49" t="s">
        <v>63</v>
      </c>
      <c r="N361" s="43" t="s">
        <v>55</v>
      </c>
      <c r="O361" s="115" t="s">
        <v>56</v>
      </c>
      <c r="P361" s="45" t="s">
        <v>973</v>
      </c>
      <c r="Q361" s="44"/>
    </row>
    <row r="362" ht="39.75" hidden="1" customHeight="1">
      <c r="A362" s="94" t="s">
        <v>980</v>
      </c>
      <c r="B362" s="96" t="s">
        <v>66</v>
      </c>
      <c r="C362" s="94" t="s">
        <v>320</v>
      </c>
      <c r="D362" s="97">
        <v>3.0</v>
      </c>
      <c r="E362" s="97" t="s">
        <v>146</v>
      </c>
      <c r="F362" s="97" t="s">
        <v>148</v>
      </c>
      <c r="G362" s="97" t="s">
        <v>149</v>
      </c>
      <c r="H362" s="97" t="s">
        <v>151</v>
      </c>
      <c r="I362" s="96"/>
      <c r="J362" s="100" t="s">
        <v>323</v>
      </c>
      <c r="K362" s="101" t="s">
        <v>324</v>
      </c>
      <c r="L362" s="88" t="s">
        <v>63</v>
      </c>
      <c r="M362" s="50" t="s">
        <v>64</v>
      </c>
      <c r="N362" s="43" t="s">
        <v>55</v>
      </c>
      <c r="O362" s="105" t="s">
        <v>68</v>
      </c>
      <c r="P362" s="101" t="s">
        <v>891</v>
      </c>
      <c r="Q362" s="107" t="s">
        <v>893</v>
      </c>
    </row>
    <row r="363" ht="30.0" hidden="1" customHeight="1">
      <c r="A363" s="73" t="s">
        <v>984</v>
      </c>
      <c r="B363" s="75" t="s">
        <v>66</v>
      </c>
      <c r="C363" s="73" t="s">
        <v>320</v>
      </c>
      <c r="D363" s="77">
        <v>3.0</v>
      </c>
      <c r="E363" s="77" t="s">
        <v>146</v>
      </c>
      <c r="F363" s="77" t="s">
        <v>148</v>
      </c>
      <c r="G363" s="77" t="s">
        <v>149</v>
      </c>
      <c r="H363" s="77" t="s">
        <v>151</v>
      </c>
      <c r="I363" s="75"/>
      <c r="J363" s="81" t="s">
        <v>323</v>
      </c>
      <c r="K363" s="45" t="s">
        <v>324</v>
      </c>
      <c r="L363" s="167" t="s">
        <v>201</v>
      </c>
      <c r="M363" s="57" t="s">
        <v>78</v>
      </c>
      <c r="N363" s="43" t="s">
        <v>55</v>
      </c>
      <c r="O363" s="115" t="s">
        <v>56</v>
      </c>
      <c r="P363" s="45" t="s">
        <v>986</v>
      </c>
      <c r="Q363" s="44" t="s">
        <v>987</v>
      </c>
    </row>
    <row r="364" ht="39.75" hidden="1" customHeight="1">
      <c r="A364" s="94" t="s">
        <v>990</v>
      </c>
      <c r="B364" s="96" t="s">
        <v>66</v>
      </c>
      <c r="C364" s="94" t="s">
        <v>320</v>
      </c>
      <c r="D364" s="97">
        <v>3.0</v>
      </c>
      <c r="E364" s="97" t="s">
        <v>146</v>
      </c>
      <c r="F364" s="97" t="s">
        <v>148</v>
      </c>
      <c r="G364" s="97" t="s">
        <v>149</v>
      </c>
      <c r="H364" s="97" t="s">
        <v>151</v>
      </c>
      <c r="I364" s="96"/>
      <c r="J364" s="100" t="s">
        <v>323</v>
      </c>
      <c r="K364" s="101" t="s">
        <v>324</v>
      </c>
      <c r="L364" s="88" t="s">
        <v>63</v>
      </c>
      <c r="M364" s="50" t="s">
        <v>64</v>
      </c>
      <c r="N364" s="43" t="s">
        <v>55</v>
      </c>
      <c r="O364" s="105" t="s">
        <v>68</v>
      </c>
      <c r="P364" s="101" t="s">
        <v>891</v>
      </c>
      <c r="Q364" s="107" t="s">
        <v>893</v>
      </c>
    </row>
    <row r="365" ht="30.0" hidden="1" customHeight="1">
      <c r="A365" s="73" t="s">
        <v>991</v>
      </c>
      <c r="B365" s="75" t="s">
        <v>66</v>
      </c>
      <c r="C365" s="73" t="s">
        <v>320</v>
      </c>
      <c r="D365" s="77">
        <v>3.0</v>
      </c>
      <c r="E365" s="77" t="s">
        <v>146</v>
      </c>
      <c r="F365" s="77" t="s">
        <v>148</v>
      </c>
      <c r="G365" s="77" t="s">
        <v>149</v>
      </c>
      <c r="H365" s="77" t="s">
        <v>151</v>
      </c>
      <c r="I365" s="75"/>
      <c r="J365" s="81" t="s">
        <v>323</v>
      </c>
      <c r="K365" s="45" t="s">
        <v>324</v>
      </c>
      <c r="L365" s="146" t="s">
        <v>50</v>
      </c>
      <c r="M365" s="50" t="s">
        <v>64</v>
      </c>
      <c r="N365" s="43" t="s">
        <v>55</v>
      </c>
      <c r="O365" s="115" t="s">
        <v>56</v>
      </c>
      <c r="P365" s="45" t="s">
        <v>993</v>
      </c>
      <c r="Q365" s="44"/>
    </row>
    <row r="366" ht="30.0" hidden="1" customHeight="1">
      <c r="A366" s="94" t="s">
        <v>994</v>
      </c>
      <c r="B366" s="96" t="s">
        <v>66</v>
      </c>
      <c r="C366" s="94" t="s">
        <v>320</v>
      </c>
      <c r="D366" s="97">
        <v>3.0</v>
      </c>
      <c r="E366" s="97" t="s">
        <v>146</v>
      </c>
      <c r="F366" s="97" t="s">
        <v>148</v>
      </c>
      <c r="G366" s="97" t="s">
        <v>149</v>
      </c>
      <c r="H366" s="97" t="s">
        <v>151</v>
      </c>
      <c r="I366" s="96"/>
      <c r="J366" s="100" t="s">
        <v>323</v>
      </c>
      <c r="K366" s="101" t="s">
        <v>324</v>
      </c>
      <c r="L366" s="143" t="s">
        <v>150</v>
      </c>
      <c r="M366" s="149" t="s">
        <v>503</v>
      </c>
      <c r="N366" s="150" t="s">
        <v>35</v>
      </c>
      <c r="O366" s="124" t="s">
        <v>56</v>
      </c>
      <c r="P366" s="101" t="s">
        <v>996</v>
      </c>
      <c r="Q366" s="107" t="s">
        <v>997</v>
      </c>
    </row>
    <row r="367" ht="30.0" customHeight="1">
      <c r="A367" s="73" t="s">
        <v>1025</v>
      </c>
      <c r="B367" s="75" t="s">
        <v>71</v>
      </c>
      <c r="C367" s="73" t="s">
        <v>327</v>
      </c>
      <c r="D367" s="77">
        <v>1.0</v>
      </c>
      <c r="E367" s="77" t="s">
        <v>146</v>
      </c>
      <c r="F367" s="77" t="s">
        <v>148</v>
      </c>
      <c r="G367" s="77" t="s">
        <v>149</v>
      </c>
      <c r="H367" s="77" t="s">
        <v>151</v>
      </c>
      <c r="I367" s="75"/>
      <c r="J367" s="81" t="s">
        <v>328</v>
      </c>
      <c r="K367" s="45" t="s">
        <v>329</v>
      </c>
      <c r="L367" s="163" t="s">
        <v>176</v>
      </c>
      <c r="M367" s="50" t="s">
        <v>64</v>
      </c>
      <c r="N367" s="43" t="s">
        <v>55</v>
      </c>
      <c r="O367" s="115" t="s">
        <v>163</v>
      </c>
      <c r="P367" s="45" t="s">
        <v>1027</v>
      </c>
      <c r="Q367" s="44"/>
    </row>
    <row r="368" ht="30.0" customHeight="1">
      <c r="A368" s="94" t="s">
        <v>1037</v>
      </c>
      <c r="B368" s="96" t="s">
        <v>71</v>
      </c>
      <c r="C368" s="94" t="s">
        <v>327</v>
      </c>
      <c r="D368" s="97">
        <v>1.0</v>
      </c>
      <c r="E368" s="97" t="s">
        <v>146</v>
      </c>
      <c r="F368" s="97" t="s">
        <v>148</v>
      </c>
      <c r="G368" s="97" t="s">
        <v>149</v>
      </c>
      <c r="H368" s="97" t="s">
        <v>151</v>
      </c>
      <c r="I368" s="96"/>
      <c r="J368" s="100" t="s">
        <v>328</v>
      </c>
      <c r="K368" s="101" t="s">
        <v>329</v>
      </c>
      <c r="L368" s="127" t="s">
        <v>64</v>
      </c>
      <c r="M368" s="62" t="s">
        <v>92</v>
      </c>
      <c r="N368" s="43" t="s">
        <v>55</v>
      </c>
      <c r="O368" s="124" t="s">
        <v>163</v>
      </c>
      <c r="P368" s="101" t="s">
        <v>1039</v>
      </c>
      <c r="Q368" s="107"/>
    </row>
    <row r="369" ht="30.0" customHeight="1">
      <c r="A369" s="73" t="s">
        <v>1061</v>
      </c>
      <c r="B369" s="75" t="s">
        <v>71</v>
      </c>
      <c r="C369" s="73" t="s">
        <v>327</v>
      </c>
      <c r="D369" s="77">
        <v>1.0</v>
      </c>
      <c r="E369" s="77" t="s">
        <v>146</v>
      </c>
      <c r="F369" s="77" t="s">
        <v>148</v>
      </c>
      <c r="G369" s="77" t="s">
        <v>149</v>
      </c>
      <c r="H369" s="77" t="s">
        <v>151</v>
      </c>
      <c r="I369" s="75"/>
      <c r="J369" s="81" t="s">
        <v>328</v>
      </c>
      <c r="K369" s="45" t="s">
        <v>329</v>
      </c>
      <c r="L369" s="88" t="s">
        <v>63</v>
      </c>
      <c r="M369" s="86" t="s">
        <v>164</v>
      </c>
      <c r="N369" s="43" t="s">
        <v>55</v>
      </c>
      <c r="O369" s="115" t="s">
        <v>163</v>
      </c>
      <c r="P369" s="45" t="s">
        <v>1063</v>
      </c>
      <c r="Q369" s="44"/>
    </row>
    <row r="370" ht="30.0" customHeight="1">
      <c r="A370" s="94" t="s">
        <v>1086</v>
      </c>
      <c r="B370" s="96" t="s">
        <v>71</v>
      </c>
      <c r="C370" s="94" t="s">
        <v>327</v>
      </c>
      <c r="D370" s="97">
        <v>1.0</v>
      </c>
      <c r="E370" s="97" t="s">
        <v>146</v>
      </c>
      <c r="F370" s="97" t="s">
        <v>148</v>
      </c>
      <c r="G370" s="97" t="s">
        <v>149</v>
      </c>
      <c r="H370" s="97" t="s">
        <v>151</v>
      </c>
      <c r="I370" s="96"/>
      <c r="J370" s="100" t="s">
        <v>328</v>
      </c>
      <c r="K370" s="101" t="s">
        <v>329</v>
      </c>
      <c r="L370" s="127" t="s">
        <v>64</v>
      </c>
      <c r="M370" s="49" t="s">
        <v>63</v>
      </c>
      <c r="N370" s="43" t="s">
        <v>55</v>
      </c>
      <c r="O370" s="124" t="s">
        <v>56</v>
      </c>
      <c r="P370" s="101" t="s">
        <v>1088</v>
      </c>
      <c r="Q370" s="107"/>
    </row>
    <row r="371" ht="30.0" customHeight="1">
      <c r="A371" s="73" t="s">
        <v>1095</v>
      </c>
      <c r="B371" s="75" t="s">
        <v>71</v>
      </c>
      <c r="C371" s="73" t="s">
        <v>327</v>
      </c>
      <c r="D371" s="77">
        <v>1.0</v>
      </c>
      <c r="E371" s="77" t="s">
        <v>146</v>
      </c>
      <c r="F371" s="77" t="s">
        <v>148</v>
      </c>
      <c r="G371" s="77" t="s">
        <v>149</v>
      </c>
      <c r="H371" s="77" t="s">
        <v>151</v>
      </c>
      <c r="I371" s="75"/>
      <c r="J371" s="81" t="s">
        <v>328</v>
      </c>
      <c r="K371" s="45" t="s">
        <v>329</v>
      </c>
      <c r="L371" s="127" t="s">
        <v>64</v>
      </c>
      <c r="M371" s="62" t="s">
        <v>92</v>
      </c>
      <c r="N371" s="43" t="s">
        <v>55</v>
      </c>
      <c r="O371" s="115" t="s">
        <v>163</v>
      </c>
      <c r="P371" s="45" t="s">
        <v>1097</v>
      </c>
      <c r="Q371" s="44"/>
    </row>
    <row r="372" ht="30.0" customHeight="1">
      <c r="A372" s="94" t="s">
        <v>1098</v>
      </c>
      <c r="B372" s="96" t="s">
        <v>71</v>
      </c>
      <c r="C372" s="94" t="s">
        <v>327</v>
      </c>
      <c r="D372" s="97">
        <v>1.0</v>
      </c>
      <c r="E372" s="97" t="s">
        <v>146</v>
      </c>
      <c r="F372" s="97" t="s">
        <v>148</v>
      </c>
      <c r="G372" s="97" t="s">
        <v>149</v>
      </c>
      <c r="H372" s="97" t="s">
        <v>151</v>
      </c>
      <c r="I372" s="96"/>
      <c r="J372" s="100" t="s">
        <v>328</v>
      </c>
      <c r="K372" s="101" t="s">
        <v>329</v>
      </c>
      <c r="L372" s="127" t="s">
        <v>64</v>
      </c>
      <c r="M372" s="152" t="s">
        <v>218</v>
      </c>
      <c r="N372" s="43" t="s">
        <v>55</v>
      </c>
      <c r="O372" s="124" t="s">
        <v>56</v>
      </c>
      <c r="P372" s="101" t="s">
        <v>1100</v>
      </c>
      <c r="Q372" s="107"/>
    </row>
    <row r="373" ht="30.0" customHeight="1">
      <c r="A373" s="73" t="s">
        <v>1106</v>
      </c>
      <c r="B373" s="75" t="s">
        <v>71</v>
      </c>
      <c r="C373" s="73" t="s">
        <v>327</v>
      </c>
      <c r="D373" s="77">
        <v>1.0</v>
      </c>
      <c r="E373" s="77" t="s">
        <v>146</v>
      </c>
      <c r="F373" s="77" t="s">
        <v>148</v>
      </c>
      <c r="G373" s="77" t="s">
        <v>149</v>
      </c>
      <c r="H373" s="77" t="s">
        <v>151</v>
      </c>
      <c r="I373" s="75"/>
      <c r="J373" s="81" t="s">
        <v>328</v>
      </c>
      <c r="K373" s="45" t="s">
        <v>329</v>
      </c>
      <c r="L373" s="88" t="s">
        <v>63</v>
      </c>
      <c r="M373" s="50" t="s">
        <v>64</v>
      </c>
      <c r="N373" s="43" t="s">
        <v>55</v>
      </c>
      <c r="O373" s="115" t="s">
        <v>56</v>
      </c>
      <c r="P373" s="45" t="s">
        <v>1108</v>
      </c>
      <c r="Q373" s="44" t="s">
        <v>1109</v>
      </c>
    </row>
    <row r="374" ht="39.75" customHeight="1">
      <c r="A374" s="94" t="s">
        <v>1112</v>
      </c>
      <c r="B374" s="96" t="s">
        <v>71</v>
      </c>
      <c r="C374" s="94" t="s">
        <v>327</v>
      </c>
      <c r="D374" s="97">
        <v>1.0</v>
      </c>
      <c r="E374" s="97" t="s">
        <v>146</v>
      </c>
      <c r="F374" s="97" t="s">
        <v>148</v>
      </c>
      <c r="G374" s="97" t="s">
        <v>149</v>
      </c>
      <c r="H374" s="97" t="s">
        <v>151</v>
      </c>
      <c r="I374" s="96"/>
      <c r="J374" s="100" t="s">
        <v>328</v>
      </c>
      <c r="K374" s="101" t="s">
        <v>329</v>
      </c>
      <c r="L374" s="127" t="s">
        <v>64</v>
      </c>
      <c r="M374" s="169" t="s">
        <v>176</v>
      </c>
      <c r="N374" s="43" t="s">
        <v>55</v>
      </c>
      <c r="O374" s="124" t="s">
        <v>163</v>
      </c>
      <c r="P374" s="101" t="s">
        <v>1114</v>
      </c>
      <c r="Q374" s="107" t="s">
        <v>1115</v>
      </c>
    </row>
    <row r="375" ht="30.0" customHeight="1">
      <c r="A375" s="73" t="s">
        <v>1118</v>
      </c>
      <c r="B375" s="75" t="s">
        <v>71</v>
      </c>
      <c r="C375" s="73" t="s">
        <v>327</v>
      </c>
      <c r="D375" s="77">
        <v>1.0</v>
      </c>
      <c r="E375" s="77" t="s">
        <v>146</v>
      </c>
      <c r="F375" s="77" t="s">
        <v>148</v>
      </c>
      <c r="G375" s="77" t="s">
        <v>149</v>
      </c>
      <c r="H375" s="77" t="s">
        <v>151</v>
      </c>
      <c r="I375" s="75"/>
      <c r="J375" s="81" t="s">
        <v>328</v>
      </c>
      <c r="K375" s="45" t="s">
        <v>329</v>
      </c>
      <c r="L375" s="88" t="s">
        <v>63</v>
      </c>
      <c r="M375" s="62" t="s">
        <v>92</v>
      </c>
      <c r="N375" s="43" t="s">
        <v>55</v>
      </c>
      <c r="O375" s="115" t="s">
        <v>163</v>
      </c>
      <c r="P375" s="45" t="s">
        <v>1120</v>
      </c>
      <c r="Q375" s="44"/>
    </row>
    <row r="376" ht="30.0" customHeight="1">
      <c r="A376" s="94" t="s">
        <v>1130</v>
      </c>
      <c r="B376" s="96" t="s">
        <v>71</v>
      </c>
      <c r="C376" s="94" t="s">
        <v>327</v>
      </c>
      <c r="D376" s="97">
        <v>1.0</v>
      </c>
      <c r="E376" s="97" t="s">
        <v>146</v>
      </c>
      <c r="F376" s="97" t="s">
        <v>148</v>
      </c>
      <c r="G376" s="97" t="s">
        <v>149</v>
      </c>
      <c r="H376" s="97" t="s">
        <v>151</v>
      </c>
      <c r="I376" s="96"/>
      <c r="J376" s="100" t="s">
        <v>328</v>
      </c>
      <c r="K376" s="101" t="s">
        <v>329</v>
      </c>
      <c r="L376" s="88" t="s">
        <v>63</v>
      </c>
      <c r="M376" s="50" t="s">
        <v>64</v>
      </c>
      <c r="N376" s="43" t="s">
        <v>55</v>
      </c>
      <c r="O376" s="124" t="s">
        <v>163</v>
      </c>
      <c r="P376" s="101" t="s">
        <v>1134</v>
      </c>
      <c r="Q376" s="107" t="s">
        <v>1135</v>
      </c>
    </row>
    <row r="377" ht="30.0" customHeight="1">
      <c r="A377" s="73" t="s">
        <v>1136</v>
      </c>
      <c r="B377" s="75" t="s">
        <v>71</v>
      </c>
      <c r="C377" s="73" t="s">
        <v>327</v>
      </c>
      <c r="D377" s="77">
        <v>1.0</v>
      </c>
      <c r="E377" s="77" t="s">
        <v>146</v>
      </c>
      <c r="F377" s="77" t="s">
        <v>148</v>
      </c>
      <c r="G377" s="77" t="s">
        <v>149</v>
      </c>
      <c r="H377" s="77" t="s">
        <v>151</v>
      </c>
      <c r="I377" s="75"/>
      <c r="J377" s="81" t="s">
        <v>328</v>
      </c>
      <c r="K377" s="45" t="s">
        <v>329</v>
      </c>
      <c r="L377" s="140" t="s">
        <v>52</v>
      </c>
      <c r="M377" s="79" t="s">
        <v>150</v>
      </c>
      <c r="N377" s="43" t="s">
        <v>55</v>
      </c>
      <c r="O377" s="115" t="s">
        <v>56</v>
      </c>
      <c r="P377" s="45" t="s">
        <v>1140</v>
      </c>
      <c r="Q377" s="44"/>
    </row>
    <row r="378" ht="30.0" customHeight="1">
      <c r="A378" s="94" t="s">
        <v>1141</v>
      </c>
      <c r="B378" s="96" t="s">
        <v>71</v>
      </c>
      <c r="C378" s="94" t="s">
        <v>327</v>
      </c>
      <c r="D378" s="97">
        <v>1.0</v>
      </c>
      <c r="E378" s="97" t="s">
        <v>146</v>
      </c>
      <c r="F378" s="97" t="s">
        <v>148</v>
      </c>
      <c r="G378" s="97" t="s">
        <v>149</v>
      </c>
      <c r="H378" s="97" t="s">
        <v>151</v>
      </c>
      <c r="I378" s="96"/>
      <c r="J378" s="100" t="s">
        <v>328</v>
      </c>
      <c r="K378" s="101" t="s">
        <v>329</v>
      </c>
      <c r="L378" s="103" t="s">
        <v>76</v>
      </c>
      <c r="M378" s="50" t="s">
        <v>64</v>
      </c>
      <c r="N378" s="43" t="s">
        <v>55</v>
      </c>
      <c r="O378" s="124" t="s">
        <v>56</v>
      </c>
      <c r="P378" s="101" t="s">
        <v>1144</v>
      </c>
      <c r="Q378" s="107"/>
    </row>
    <row r="379" ht="30.0" customHeight="1">
      <c r="A379" s="73" t="s">
        <v>1147</v>
      </c>
      <c r="B379" s="75" t="s">
        <v>71</v>
      </c>
      <c r="C379" s="73" t="s">
        <v>327</v>
      </c>
      <c r="D379" s="77">
        <v>1.0</v>
      </c>
      <c r="E379" s="77" t="s">
        <v>146</v>
      </c>
      <c r="F379" s="77" t="s">
        <v>148</v>
      </c>
      <c r="G379" s="77" t="s">
        <v>149</v>
      </c>
      <c r="H379" s="77" t="s">
        <v>151</v>
      </c>
      <c r="I379" s="75"/>
      <c r="J379" s="81" t="s">
        <v>328</v>
      </c>
      <c r="K379" s="45" t="s">
        <v>329</v>
      </c>
      <c r="L379" s="88" t="s">
        <v>63</v>
      </c>
      <c r="M379" s="50" t="s">
        <v>64</v>
      </c>
      <c r="N379" s="43" t="s">
        <v>55</v>
      </c>
      <c r="O379" s="115" t="s">
        <v>163</v>
      </c>
      <c r="P379" s="45" t="s">
        <v>1149</v>
      </c>
      <c r="Q379" s="44"/>
    </row>
    <row r="380" ht="30.0" customHeight="1">
      <c r="A380" s="94" t="s">
        <v>1151</v>
      </c>
      <c r="B380" s="96" t="s">
        <v>71</v>
      </c>
      <c r="C380" s="94" t="s">
        <v>327</v>
      </c>
      <c r="D380" s="97">
        <v>1.0</v>
      </c>
      <c r="E380" s="97" t="s">
        <v>146</v>
      </c>
      <c r="F380" s="97" t="s">
        <v>148</v>
      </c>
      <c r="G380" s="97" t="s">
        <v>149</v>
      </c>
      <c r="H380" s="97" t="s">
        <v>151</v>
      </c>
      <c r="I380" s="96"/>
      <c r="J380" s="100" t="s">
        <v>328</v>
      </c>
      <c r="K380" s="101" t="s">
        <v>329</v>
      </c>
      <c r="L380" s="127" t="s">
        <v>64</v>
      </c>
      <c r="M380" s="86" t="s">
        <v>164</v>
      </c>
      <c r="N380" s="43" t="s">
        <v>55</v>
      </c>
      <c r="O380" s="124" t="s">
        <v>56</v>
      </c>
      <c r="P380" s="101" t="s">
        <v>1153</v>
      </c>
      <c r="Q380" s="107"/>
    </row>
    <row r="381" ht="30.0" customHeight="1">
      <c r="A381" s="73" t="s">
        <v>1155</v>
      </c>
      <c r="B381" s="75" t="s">
        <v>71</v>
      </c>
      <c r="C381" s="73" t="s">
        <v>327</v>
      </c>
      <c r="D381" s="77">
        <v>1.0</v>
      </c>
      <c r="E381" s="77" t="s">
        <v>146</v>
      </c>
      <c r="F381" s="77" t="s">
        <v>148</v>
      </c>
      <c r="G381" s="77" t="s">
        <v>149</v>
      </c>
      <c r="H381" s="77" t="s">
        <v>151</v>
      </c>
      <c r="I381" s="75"/>
      <c r="J381" s="81" t="s">
        <v>328</v>
      </c>
      <c r="K381" s="45" t="s">
        <v>329</v>
      </c>
      <c r="L381" s="127" t="s">
        <v>64</v>
      </c>
      <c r="M381" s="62" t="s">
        <v>92</v>
      </c>
      <c r="N381" s="43" t="s">
        <v>55</v>
      </c>
      <c r="O381" s="115" t="s">
        <v>163</v>
      </c>
      <c r="P381" s="45" t="s">
        <v>1157</v>
      </c>
      <c r="Q381" s="44"/>
    </row>
    <row r="382" ht="30.0" customHeight="1">
      <c r="A382" s="94" t="s">
        <v>1159</v>
      </c>
      <c r="B382" s="96" t="s">
        <v>71</v>
      </c>
      <c r="C382" s="94" t="s">
        <v>327</v>
      </c>
      <c r="D382" s="97">
        <v>1.0</v>
      </c>
      <c r="E382" s="97" t="s">
        <v>146</v>
      </c>
      <c r="F382" s="97" t="s">
        <v>148</v>
      </c>
      <c r="G382" s="97" t="s">
        <v>149</v>
      </c>
      <c r="H382" s="97" t="s">
        <v>151</v>
      </c>
      <c r="I382" s="96"/>
      <c r="J382" s="100" t="s">
        <v>328</v>
      </c>
      <c r="K382" s="101" t="s">
        <v>329</v>
      </c>
      <c r="L382" s="127" t="s">
        <v>64</v>
      </c>
      <c r="M382" s="49" t="s">
        <v>63</v>
      </c>
      <c r="N382" s="43" t="s">
        <v>55</v>
      </c>
      <c r="O382" s="124" t="s">
        <v>56</v>
      </c>
      <c r="P382" s="101" t="s">
        <v>1163</v>
      </c>
      <c r="Q382" s="107"/>
    </row>
    <row r="383" ht="39.75" hidden="1" customHeight="1">
      <c r="A383" s="73" t="s">
        <v>1015</v>
      </c>
      <c r="B383" s="75" t="s">
        <v>71</v>
      </c>
      <c r="C383" s="73" t="s">
        <v>331</v>
      </c>
      <c r="D383" s="77">
        <v>2.0</v>
      </c>
      <c r="E383" s="77" t="s">
        <v>146</v>
      </c>
      <c r="F383" s="77" t="s">
        <v>148</v>
      </c>
      <c r="G383" s="77" t="s">
        <v>149</v>
      </c>
      <c r="H383" s="77" t="s">
        <v>151</v>
      </c>
      <c r="I383" s="75"/>
      <c r="J383" s="81" t="s">
        <v>332</v>
      </c>
      <c r="K383" s="45" t="s">
        <v>333</v>
      </c>
      <c r="L383" s="149"/>
      <c r="M383" s="149"/>
      <c r="N383" s="157" t="s">
        <v>447</v>
      </c>
      <c r="O383" s="115" t="s">
        <v>198</v>
      </c>
      <c r="P383" s="151"/>
      <c r="Q383" s="44" t="s">
        <v>448</v>
      </c>
    </row>
    <row r="384" ht="39.75" hidden="1" customHeight="1">
      <c r="A384" s="94" t="s">
        <v>1023</v>
      </c>
      <c r="B384" s="96" t="s">
        <v>71</v>
      </c>
      <c r="C384" s="94" t="s">
        <v>331</v>
      </c>
      <c r="D384" s="97">
        <v>2.0</v>
      </c>
      <c r="E384" s="97" t="s">
        <v>146</v>
      </c>
      <c r="F384" s="97" t="s">
        <v>148</v>
      </c>
      <c r="G384" s="97" t="s">
        <v>149</v>
      </c>
      <c r="H384" s="97" t="s">
        <v>151</v>
      </c>
      <c r="I384" s="96"/>
      <c r="J384" s="100" t="s">
        <v>332</v>
      </c>
      <c r="K384" s="101" t="s">
        <v>333</v>
      </c>
      <c r="L384" s="149"/>
      <c r="M384" s="149"/>
      <c r="N384" s="157" t="s">
        <v>447</v>
      </c>
      <c r="O384" s="124" t="s">
        <v>198</v>
      </c>
      <c r="P384" s="159"/>
      <c r="Q384" s="107" t="s">
        <v>448</v>
      </c>
    </row>
    <row r="385" ht="31.5" hidden="1" customHeight="1">
      <c r="A385" s="73" t="s">
        <v>1028</v>
      </c>
      <c r="B385" s="75" t="s">
        <v>71</v>
      </c>
      <c r="C385" s="73" t="s">
        <v>331</v>
      </c>
      <c r="D385" s="77">
        <v>2.0</v>
      </c>
      <c r="E385" s="77" t="s">
        <v>146</v>
      </c>
      <c r="F385" s="77" t="s">
        <v>148</v>
      </c>
      <c r="G385" s="77" t="s">
        <v>149</v>
      </c>
      <c r="H385" s="77" t="s">
        <v>151</v>
      </c>
      <c r="I385" s="75"/>
      <c r="J385" s="81" t="s">
        <v>332</v>
      </c>
      <c r="K385" s="45" t="s">
        <v>333</v>
      </c>
      <c r="L385" s="88" t="s">
        <v>63</v>
      </c>
      <c r="M385" s="62" t="s">
        <v>92</v>
      </c>
      <c r="N385" s="43" t="s">
        <v>55</v>
      </c>
      <c r="O385" s="115" t="s">
        <v>163</v>
      </c>
      <c r="P385" s="45" t="s">
        <v>1030</v>
      </c>
      <c r="Q385" s="44"/>
    </row>
    <row r="386" ht="31.5" hidden="1" customHeight="1">
      <c r="A386" s="94" t="s">
        <v>1032</v>
      </c>
      <c r="B386" s="96" t="s">
        <v>71</v>
      </c>
      <c r="C386" s="94" t="s">
        <v>331</v>
      </c>
      <c r="D386" s="97">
        <v>2.0</v>
      </c>
      <c r="E386" s="97" t="s">
        <v>146</v>
      </c>
      <c r="F386" s="97" t="s">
        <v>148</v>
      </c>
      <c r="G386" s="97" t="s">
        <v>149</v>
      </c>
      <c r="H386" s="97" t="s">
        <v>151</v>
      </c>
      <c r="I386" s="96"/>
      <c r="J386" s="100" t="s">
        <v>332</v>
      </c>
      <c r="K386" s="101" t="s">
        <v>333</v>
      </c>
      <c r="L386" s="148" t="s">
        <v>199</v>
      </c>
      <c r="M386" s="149" t="s">
        <v>503</v>
      </c>
      <c r="N386" s="150" t="s">
        <v>35</v>
      </c>
      <c r="O386" s="124" t="s">
        <v>163</v>
      </c>
      <c r="P386" s="101" t="s">
        <v>1034</v>
      </c>
      <c r="Q386" s="107" t="s">
        <v>1035</v>
      </c>
    </row>
    <row r="387" ht="31.5" hidden="1" customHeight="1">
      <c r="A387" s="73" t="s">
        <v>1041</v>
      </c>
      <c r="B387" s="75" t="s">
        <v>71</v>
      </c>
      <c r="C387" s="73" t="s">
        <v>331</v>
      </c>
      <c r="D387" s="77">
        <v>2.0</v>
      </c>
      <c r="E387" s="77" t="s">
        <v>146</v>
      </c>
      <c r="F387" s="77" t="s">
        <v>148</v>
      </c>
      <c r="G387" s="77" t="s">
        <v>149</v>
      </c>
      <c r="H387" s="77" t="s">
        <v>151</v>
      </c>
      <c r="I387" s="75"/>
      <c r="J387" s="81" t="s">
        <v>332</v>
      </c>
      <c r="K387" s="45" t="s">
        <v>333</v>
      </c>
      <c r="L387" s="140" t="s">
        <v>52</v>
      </c>
      <c r="M387" s="62" t="s">
        <v>92</v>
      </c>
      <c r="N387" s="43" t="s">
        <v>55</v>
      </c>
      <c r="O387" s="115" t="s">
        <v>163</v>
      </c>
      <c r="P387" s="45" t="s">
        <v>1043</v>
      </c>
      <c r="Q387" s="44"/>
    </row>
    <row r="388" ht="31.5" hidden="1" customHeight="1">
      <c r="A388" s="94" t="s">
        <v>1046</v>
      </c>
      <c r="B388" s="96" t="s">
        <v>71</v>
      </c>
      <c r="C388" s="94" t="s">
        <v>331</v>
      </c>
      <c r="D388" s="97">
        <v>2.0</v>
      </c>
      <c r="E388" s="97" t="s">
        <v>146</v>
      </c>
      <c r="F388" s="97" t="s">
        <v>148</v>
      </c>
      <c r="G388" s="97" t="s">
        <v>149</v>
      </c>
      <c r="H388" s="97" t="s">
        <v>151</v>
      </c>
      <c r="I388" s="139" t="s">
        <v>1176</v>
      </c>
      <c r="J388" s="100" t="s">
        <v>332</v>
      </c>
      <c r="K388" s="101" t="s">
        <v>333</v>
      </c>
      <c r="L388" s="127" t="s">
        <v>64</v>
      </c>
      <c r="M388" s="49" t="s">
        <v>63</v>
      </c>
      <c r="N388" s="43" t="s">
        <v>55</v>
      </c>
      <c r="O388" s="124" t="s">
        <v>163</v>
      </c>
      <c r="P388" s="101" t="s">
        <v>1048</v>
      </c>
      <c r="Q388" s="107" t="s">
        <v>1049</v>
      </c>
    </row>
    <row r="389" ht="31.5" hidden="1" customHeight="1">
      <c r="A389" s="73" t="s">
        <v>1054</v>
      </c>
      <c r="B389" s="75" t="s">
        <v>71</v>
      </c>
      <c r="C389" s="73" t="s">
        <v>331</v>
      </c>
      <c r="D389" s="77">
        <v>2.0</v>
      </c>
      <c r="E389" s="77" t="s">
        <v>146</v>
      </c>
      <c r="F389" s="77" t="s">
        <v>148</v>
      </c>
      <c r="G389" s="77" t="s">
        <v>149</v>
      </c>
      <c r="H389" s="77" t="s">
        <v>151</v>
      </c>
      <c r="I389" s="75"/>
      <c r="J389" s="81" t="s">
        <v>332</v>
      </c>
      <c r="K389" s="45" t="s">
        <v>333</v>
      </c>
      <c r="L389" s="88" t="s">
        <v>63</v>
      </c>
      <c r="M389" s="149" t="s">
        <v>503</v>
      </c>
      <c r="N389" s="150" t="s">
        <v>35</v>
      </c>
      <c r="O389" s="115" t="s">
        <v>163</v>
      </c>
      <c r="P389" s="45" t="s">
        <v>1056</v>
      </c>
      <c r="Q389" s="44" t="s">
        <v>1057</v>
      </c>
    </row>
    <row r="390" ht="31.5" hidden="1" customHeight="1">
      <c r="A390" s="94" t="s">
        <v>1058</v>
      </c>
      <c r="B390" s="96" t="s">
        <v>71</v>
      </c>
      <c r="C390" s="94" t="s">
        <v>331</v>
      </c>
      <c r="D390" s="97">
        <v>2.0</v>
      </c>
      <c r="E390" s="97" t="s">
        <v>146</v>
      </c>
      <c r="F390" s="97" t="s">
        <v>148</v>
      </c>
      <c r="G390" s="97" t="s">
        <v>149</v>
      </c>
      <c r="H390" s="97" t="s">
        <v>151</v>
      </c>
      <c r="I390" s="96"/>
      <c r="J390" s="100" t="s">
        <v>332</v>
      </c>
      <c r="K390" s="101" t="s">
        <v>333</v>
      </c>
      <c r="L390" s="127" t="s">
        <v>64</v>
      </c>
      <c r="M390" s="138" t="s">
        <v>199</v>
      </c>
      <c r="N390" s="43" t="s">
        <v>55</v>
      </c>
      <c r="O390" s="124" t="s">
        <v>163</v>
      </c>
      <c r="P390" s="101" t="s">
        <v>1060</v>
      </c>
      <c r="Q390" s="107"/>
    </row>
    <row r="391" ht="39.75" hidden="1" customHeight="1">
      <c r="A391" s="73" t="s">
        <v>1064</v>
      </c>
      <c r="B391" s="75" t="s">
        <v>71</v>
      </c>
      <c r="C391" s="73" t="s">
        <v>331</v>
      </c>
      <c r="D391" s="77">
        <v>2.0</v>
      </c>
      <c r="E391" s="77" t="s">
        <v>146</v>
      </c>
      <c r="F391" s="77" t="s">
        <v>148</v>
      </c>
      <c r="G391" s="77" t="s">
        <v>149</v>
      </c>
      <c r="H391" s="77" t="s">
        <v>151</v>
      </c>
      <c r="I391" s="75"/>
      <c r="J391" s="81" t="s">
        <v>332</v>
      </c>
      <c r="K391" s="45" t="s">
        <v>333</v>
      </c>
      <c r="L391" s="149"/>
      <c r="M391" s="149"/>
      <c r="N391" s="157" t="s">
        <v>447</v>
      </c>
      <c r="O391" s="115" t="s">
        <v>198</v>
      </c>
      <c r="P391" s="151"/>
      <c r="Q391" s="44" t="s">
        <v>448</v>
      </c>
    </row>
    <row r="392" ht="31.5" hidden="1" customHeight="1">
      <c r="A392" s="94" t="s">
        <v>1069</v>
      </c>
      <c r="B392" s="96" t="s">
        <v>71</v>
      </c>
      <c r="C392" s="94" t="s">
        <v>331</v>
      </c>
      <c r="D392" s="97">
        <v>2.0</v>
      </c>
      <c r="E392" s="97" t="s">
        <v>146</v>
      </c>
      <c r="F392" s="97" t="s">
        <v>148</v>
      </c>
      <c r="G392" s="97" t="s">
        <v>149</v>
      </c>
      <c r="H392" s="97" t="s">
        <v>151</v>
      </c>
      <c r="I392" s="96"/>
      <c r="J392" s="100" t="s">
        <v>332</v>
      </c>
      <c r="K392" s="101" t="s">
        <v>333</v>
      </c>
      <c r="L392" s="88" t="s">
        <v>63</v>
      </c>
      <c r="M392" s="86" t="s">
        <v>164</v>
      </c>
      <c r="N392" s="43" t="s">
        <v>55</v>
      </c>
      <c r="O392" s="124" t="s">
        <v>163</v>
      </c>
      <c r="P392" s="101" t="s">
        <v>1071</v>
      </c>
      <c r="Q392" s="107"/>
    </row>
    <row r="393" ht="31.5" hidden="1" customHeight="1">
      <c r="A393" s="73" t="s">
        <v>1074</v>
      </c>
      <c r="B393" s="75" t="s">
        <v>71</v>
      </c>
      <c r="C393" s="73" t="s">
        <v>331</v>
      </c>
      <c r="D393" s="77">
        <v>2.0</v>
      </c>
      <c r="E393" s="77" t="s">
        <v>146</v>
      </c>
      <c r="F393" s="77" t="s">
        <v>148</v>
      </c>
      <c r="G393" s="77" t="s">
        <v>149</v>
      </c>
      <c r="H393" s="77" t="s">
        <v>151</v>
      </c>
      <c r="I393" s="75"/>
      <c r="J393" s="81" t="s">
        <v>332</v>
      </c>
      <c r="K393" s="45" t="s">
        <v>333</v>
      </c>
      <c r="L393" s="127" t="s">
        <v>64</v>
      </c>
      <c r="M393" s="62" t="s">
        <v>92</v>
      </c>
      <c r="N393" s="43" t="s">
        <v>55</v>
      </c>
      <c r="O393" s="115" t="s">
        <v>163</v>
      </c>
      <c r="P393" s="45" t="s">
        <v>1076</v>
      </c>
      <c r="Q393" s="44"/>
    </row>
    <row r="394" ht="39.75" hidden="1" customHeight="1">
      <c r="A394" s="94" t="s">
        <v>1101</v>
      </c>
      <c r="B394" s="96" t="s">
        <v>71</v>
      </c>
      <c r="C394" s="94" t="s">
        <v>331</v>
      </c>
      <c r="D394" s="97">
        <v>2.0</v>
      </c>
      <c r="E394" s="97" t="s">
        <v>146</v>
      </c>
      <c r="F394" s="97" t="s">
        <v>148</v>
      </c>
      <c r="G394" s="97" t="s">
        <v>149</v>
      </c>
      <c r="H394" s="97" t="s">
        <v>151</v>
      </c>
      <c r="I394" s="96"/>
      <c r="J394" s="100" t="s">
        <v>332</v>
      </c>
      <c r="K394" s="101" t="s">
        <v>333</v>
      </c>
      <c r="L394" s="149"/>
      <c r="M394" s="149"/>
      <c r="N394" s="157" t="s">
        <v>447</v>
      </c>
      <c r="O394" s="124" t="s">
        <v>198</v>
      </c>
      <c r="P394" s="159"/>
      <c r="Q394" s="107" t="s">
        <v>448</v>
      </c>
    </row>
    <row r="395" ht="31.5" hidden="1" customHeight="1">
      <c r="A395" s="73" t="s">
        <v>1103</v>
      </c>
      <c r="B395" s="75" t="s">
        <v>71</v>
      </c>
      <c r="C395" s="73" t="s">
        <v>331</v>
      </c>
      <c r="D395" s="77">
        <v>2.0</v>
      </c>
      <c r="E395" s="77" t="s">
        <v>146</v>
      </c>
      <c r="F395" s="77" t="s">
        <v>148</v>
      </c>
      <c r="G395" s="77" t="s">
        <v>149</v>
      </c>
      <c r="H395" s="77" t="s">
        <v>151</v>
      </c>
      <c r="I395" s="75"/>
      <c r="J395" s="81" t="s">
        <v>332</v>
      </c>
      <c r="K395" s="45" t="s">
        <v>333</v>
      </c>
      <c r="L395" s="88" t="s">
        <v>63</v>
      </c>
      <c r="M395" s="62" t="s">
        <v>92</v>
      </c>
      <c r="N395" s="43" t="s">
        <v>55</v>
      </c>
      <c r="O395" s="115" t="s">
        <v>163</v>
      </c>
      <c r="P395" s="45" t="s">
        <v>1105</v>
      </c>
      <c r="Q395" s="44"/>
    </row>
    <row r="396" ht="39.75" hidden="1" customHeight="1">
      <c r="A396" s="94" t="s">
        <v>1125</v>
      </c>
      <c r="B396" s="96" t="s">
        <v>71</v>
      </c>
      <c r="C396" s="94" t="s">
        <v>331</v>
      </c>
      <c r="D396" s="97">
        <v>2.0</v>
      </c>
      <c r="E396" s="97" t="s">
        <v>146</v>
      </c>
      <c r="F396" s="97" t="s">
        <v>148</v>
      </c>
      <c r="G396" s="97" t="s">
        <v>149</v>
      </c>
      <c r="H396" s="97" t="s">
        <v>151</v>
      </c>
      <c r="I396" s="96"/>
      <c r="J396" s="100" t="s">
        <v>332</v>
      </c>
      <c r="K396" s="101" t="s">
        <v>333</v>
      </c>
      <c r="L396" s="149"/>
      <c r="M396" s="149"/>
      <c r="N396" s="157" t="s">
        <v>447</v>
      </c>
      <c r="O396" s="124" t="s">
        <v>198</v>
      </c>
      <c r="P396" s="159"/>
      <c r="Q396" s="107" t="s">
        <v>448</v>
      </c>
    </row>
    <row r="397" ht="39.75" hidden="1" customHeight="1">
      <c r="A397" s="73" t="s">
        <v>1127</v>
      </c>
      <c r="B397" s="75" t="s">
        <v>71</v>
      </c>
      <c r="C397" s="73" t="s">
        <v>331</v>
      </c>
      <c r="D397" s="77">
        <v>2.0</v>
      </c>
      <c r="E397" s="77" t="s">
        <v>146</v>
      </c>
      <c r="F397" s="77" t="s">
        <v>148</v>
      </c>
      <c r="G397" s="77" t="s">
        <v>149</v>
      </c>
      <c r="H397" s="77" t="s">
        <v>151</v>
      </c>
      <c r="I397" s="75"/>
      <c r="J397" s="81" t="s">
        <v>332</v>
      </c>
      <c r="K397" s="45" t="s">
        <v>333</v>
      </c>
      <c r="L397" s="88" t="s">
        <v>63</v>
      </c>
      <c r="M397" s="86" t="s">
        <v>164</v>
      </c>
      <c r="N397" s="43" t="s">
        <v>55</v>
      </c>
      <c r="O397" s="115" t="s">
        <v>163</v>
      </c>
      <c r="P397" s="45" t="s">
        <v>1129</v>
      </c>
      <c r="Q397" s="44" t="s">
        <v>1131</v>
      </c>
    </row>
    <row r="398" ht="39.75" hidden="1" customHeight="1">
      <c r="A398" s="94" t="s">
        <v>1150</v>
      </c>
      <c r="B398" s="96" t="s">
        <v>71</v>
      </c>
      <c r="C398" s="94" t="s">
        <v>331</v>
      </c>
      <c r="D398" s="97">
        <v>2.0</v>
      </c>
      <c r="E398" s="97" t="s">
        <v>146</v>
      </c>
      <c r="F398" s="97" t="s">
        <v>148</v>
      </c>
      <c r="G398" s="97" t="s">
        <v>149</v>
      </c>
      <c r="H398" s="97" t="s">
        <v>151</v>
      </c>
      <c r="I398" s="96"/>
      <c r="J398" s="100" t="s">
        <v>332</v>
      </c>
      <c r="K398" s="101" t="s">
        <v>333</v>
      </c>
      <c r="L398" s="149"/>
      <c r="M398" s="149"/>
      <c r="N398" s="157" t="s">
        <v>447</v>
      </c>
      <c r="O398" s="124" t="s">
        <v>198</v>
      </c>
      <c r="P398" s="159"/>
      <c r="Q398" s="107" t="s">
        <v>448</v>
      </c>
    </row>
    <row r="399" ht="39.75" hidden="1" customHeight="1">
      <c r="A399" s="73" t="s">
        <v>1152</v>
      </c>
      <c r="B399" s="75" t="s">
        <v>71</v>
      </c>
      <c r="C399" s="73" t="s">
        <v>331</v>
      </c>
      <c r="D399" s="77">
        <v>2.0</v>
      </c>
      <c r="E399" s="77" t="s">
        <v>146</v>
      </c>
      <c r="F399" s="77" t="s">
        <v>148</v>
      </c>
      <c r="G399" s="77" t="s">
        <v>149</v>
      </c>
      <c r="H399" s="77" t="s">
        <v>151</v>
      </c>
      <c r="I399" s="75"/>
      <c r="J399" s="81" t="s">
        <v>332</v>
      </c>
      <c r="K399" s="45" t="s">
        <v>333</v>
      </c>
      <c r="L399" s="149"/>
      <c r="M399" s="149"/>
      <c r="N399" s="157" t="s">
        <v>447</v>
      </c>
      <c r="O399" s="115" t="s">
        <v>198</v>
      </c>
      <c r="P399" s="151"/>
      <c r="Q399" s="44" t="s">
        <v>448</v>
      </c>
    </row>
    <row r="400" ht="31.5" hidden="1" customHeight="1">
      <c r="A400" s="94" t="s">
        <v>1175</v>
      </c>
      <c r="B400" s="96" t="s">
        <v>71</v>
      </c>
      <c r="C400" s="94" t="s">
        <v>331</v>
      </c>
      <c r="D400" s="97">
        <v>2.0</v>
      </c>
      <c r="E400" s="97" t="s">
        <v>146</v>
      </c>
      <c r="F400" s="97" t="s">
        <v>148</v>
      </c>
      <c r="G400" s="97" t="s">
        <v>149</v>
      </c>
      <c r="H400" s="97" t="s">
        <v>151</v>
      </c>
      <c r="I400" s="96"/>
      <c r="J400" s="100" t="s">
        <v>332</v>
      </c>
      <c r="K400" s="101" t="s">
        <v>333</v>
      </c>
      <c r="L400" s="127" t="s">
        <v>64</v>
      </c>
      <c r="M400" s="152" t="s">
        <v>218</v>
      </c>
      <c r="N400" s="43" t="s">
        <v>55</v>
      </c>
      <c r="O400" s="124" t="s">
        <v>163</v>
      </c>
      <c r="P400" s="101" t="s">
        <v>1178</v>
      </c>
      <c r="Q400" s="107"/>
    </row>
    <row r="401" ht="31.5" hidden="1" customHeight="1">
      <c r="A401" s="73" t="s">
        <v>1194</v>
      </c>
      <c r="B401" s="75" t="s">
        <v>71</v>
      </c>
      <c r="C401" s="73" t="s">
        <v>331</v>
      </c>
      <c r="D401" s="77">
        <v>2.0</v>
      </c>
      <c r="E401" s="77" t="s">
        <v>146</v>
      </c>
      <c r="F401" s="77" t="s">
        <v>148</v>
      </c>
      <c r="G401" s="77" t="s">
        <v>149</v>
      </c>
      <c r="H401" s="77" t="s">
        <v>151</v>
      </c>
      <c r="I401" s="75"/>
      <c r="J401" s="81" t="s">
        <v>332</v>
      </c>
      <c r="K401" s="45" t="s">
        <v>333</v>
      </c>
      <c r="L401" s="127" t="s">
        <v>64</v>
      </c>
      <c r="M401" s="49" t="s">
        <v>63</v>
      </c>
      <c r="N401" s="43" t="s">
        <v>55</v>
      </c>
      <c r="O401" s="115" t="s">
        <v>163</v>
      </c>
      <c r="P401" s="45" t="s">
        <v>1197</v>
      </c>
      <c r="Q401" s="44"/>
    </row>
    <row r="402" ht="39.75" hidden="1" customHeight="1">
      <c r="A402" s="94" t="s">
        <v>1198</v>
      </c>
      <c r="B402" s="96" t="s">
        <v>71</v>
      </c>
      <c r="C402" s="94" t="s">
        <v>331</v>
      </c>
      <c r="D402" s="97">
        <v>2.0</v>
      </c>
      <c r="E402" s="97" t="s">
        <v>146</v>
      </c>
      <c r="F402" s="97" t="s">
        <v>148</v>
      </c>
      <c r="G402" s="97" t="s">
        <v>149</v>
      </c>
      <c r="H402" s="97" t="s">
        <v>151</v>
      </c>
      <c r="I402" s="96"/>
      <c r="J402" s="100" t="s">
        <v>332</v>
      </c>
      <c r="K402" s="101" t="s">
        <v>333</v>
      </c>
      <c r="L402" s="149"/>
      <c r="M402" s="149"/>
      <c r="N402" s="157" t="s">
        <v>447</v>
      </c>
      <c r="O402" s="124" t="s">
        <v>198</v>
      </c>
      <c r="P402" s="159"/>
      <c r="Q402" s="107" t="s">
        <v>448</v>
      </c>
    </row>
    <row r="403" ht="31.5" hidden="1" customHeight="1">
      <c r="A403" s="73" t="s">
        <v>1206</v>
      </c>
      <c r="B403" s="75" t="s">
        <v>71</v>
      </c>
      <c r="C403" s="73" t="s">
        <v>331</v>
      </c>
      <c r="D403" s="77">
        <v>2.0</v>
      </c>
      <c r="E403" s="77" t="s">
        <v>146</v>
      </c>
      <c r="F403" s="77" t="s">
        <v>148</v>
      </c>
      <c r="G403" s="77" t="s">
        <v>149</v>
      </c>
      <c r="H403" s="77" t="s">
        <v>151</v>
      </c>
      <c r="I403" s="142" t="s">
        <v>1268</v>
      </c>
      <c r="J403" s="81" t="s">
        <v>332</v>
      </c>
      <c r="K403" s="45" t="s">
        <v>333</v>
      </c>
      <c r="L403" s="88" t="s">
        <v>63</v>
      </c>
      <c r="M403" s="62" t="s">
        <v>92</v>
      </c>
      <c r="N403" s="43" t="s">
        <v>55</v>
      </c>
      <c r="O403" s="115" t="s">
        <v>163</v>
      </c>
      <c r="P403" s="45" t="s">
        <v>1209</v>
      </c>
      <c r="Q403" s="44"/>
    </row>
    <row r="404" ht="31.5" hidden="1" customHeight="1">
      <c r="A404" s="94" t="s">
        <v>1229</v>
      </c>
      <c r="B404" s="96" t="s">
        <v>71</v>
      </c>
      <c r="C404" s="94" t="s">
        <v>331</v>
      </c>
      <c r="D404" s="97">
        <v>2.0</v>
      </c>
      <c r="E404" s="97" t="s">
        <v>146</v>
      </c>
      <c r="F404" s="97" t="s">
        <v>148</v>
      </c>
      <c r="G404" s="97" t="s">
        <v>149</v>
      </c>
      <c r="H404" s="97" t="s">
        <v>151</v>
      </c>
      <c r="I404" s="96"/>
      <c r="J404" s="100" t="s">
        <v>332</v>
      </c>
      <c r="K404" s="101" t="s">
        <v>333</v>
      </c>
      <c r="L404" s="140" t="s">
        <v>52</v>
      </c>
      <c r="M404" s="62" t="s">
        <v>92</v>
      </c>
      <c r="N404" s="43" t="s">
        <v>55</v>
      </c>
      <c r="O404" s="124" t="s">
        <v>163</v>
      </c>
      <c r="P404" s="101" t="s">
        <v>1232</v>
      </c>
      <c r="Q404" s="107"/>
    </row>
    <row r="405" ht="39.75" hidden="1" customHeight="1">
      <c r="A405" s="73" t="s">
        <v>1004</v>
      </c>
      <c r="B405" s="75" t="s">
        <v>71</v>
      </c>
      <c r="C405" s="73" t="s">
        <v>334</v>
      </c>
      <c r="D405" s="77">
        <v>3.0</v>
      </c>
      <c r="E405" s="77" t="s">
        <v>1275</v>
      </c>
      <c r="F405" s="77" t="s">
        <v>148</v>
      </c>
      <c r="G405" s="77" t="s">
        <v>149</v>
      </c>
      <c r="H405" s="77" t="s">
        <v>151</v>
      </c>
      <c r="I405" s="75"/>
      <c r="J405" s="81" t="s">
        <v>1278</v>
      </c>
      <c r="K405" s="45" t="s">
        <v>1279</v>
      </c>
      <c r="L405" s="149"/>
      <c r="M405" s="149"/>
      <c r="N405" s="157" t="s">
        <v>447</v>
      </c>
      <c r="O405" s="115" t="s">
        <v>198</v>
      </c>
      <c r="P405" s="151"/>
      <c r="Q405" s="44" t="s">
        <v>448</v>
      </c>
    </row>
    <row r="406" ht="30.0" hidden="1" customHeight="1">
      <c r="A406" s="94" t="s">
        <v>1010</v>
      </c>
      <c r="B406" s="96" t="s">
        <v>71</v>
      </c>
      <c r="C406" s="94" t="s">
        <v>334</v>
      </c>
      <c r="D406" s="97">
        <v>3.0</v>
      </c>
      <c r="E406" s="97" t="s">
        <v>1275</v>
      </c>
      <c r="F406" s="97" t="s">
        <v>148</v>
      </c>
      <c r="G406" s="97" t="s">
        <v>149</v>
      </c>
      <c r="H406" s="97" t="s">
        <v>151</v>
      </c>
      <c r="I406" s="96"/>
      <c r="J406" s="100" t="s">
        <v>1278</v>
      </c>
      <c r="K406" s="101" t="s">
        <v>1279</v>
      </c>
      <c r="L406" s="140" t="s">
        <v>52</v>
      </c>
      <c r="M406" s="62" t="s">
        <v>92</v>
      </c>
      <c r="N406" s="43" t="s">
        <v>55</v>
      </c>
      <c r="O406" s="124" t="s">
        <v>163</v>
      </c>
      <c r="P406" s="101" t="s">
        <v>1012</v>
      </c>
      <c r="Q406" s="107"/>
    </row>
    <row r="407" ht="39.75" hidden="1" customHeight="1">
      <c r="A407" s="73" t="s">
        <v>1013</v>
      </c>
      <c r="B407" s="75" t="s">
        <v>71</v>
      </c>
      <c r="C407" s="73" t="s">
        <v>334</v>
      </c>
      <c r="D407" s="77">
        <v>3.0</v>
      </c>
      <c r="E407" s="77" t="s">
        <v>1275</v>
      </c>
      <c r="F407" s="77" t="s">
        <v>148</v>
      </c>
      <c r="G407" s="77" t="s">
        <v>149</v>
      </c>
      <c r="H407" s="77" t="s">
        <v>151</v>
      </c>
      <c r="I407" s="75"/>
      <c r="J407" s="81" t="s">
        <v>1278</v>
      </c>
      <c r="K407" s="45" t="s">
        <v>1279</v>
      </c>
      <c r="L407" s="149"/>
      <c r="M407" s="149"/>
      <c r="N407" s="157" t="s">
        <v>447</v>
      </c>
      <c r="O407" s="115" t="s">
        <v>198</v>
      </c>
      <c r="P407" s="151"/>
      <c r="Q407" s="44" t="s">
        <v>448</v>
      </c>
    </row>
    <row r="408" ht="39.75" hidden="1" customHeight="1">
      <c r="A408" s="94" t="s">
        <v>1018</v>
      </c>
      <c r="B408" s="96" t="s">
        <v>71</v>
      </c>
      <c r="C408" s="94" t="s">
        <v>334</v>
      </c>
      <c r="D408" s="97">
        <v>3.0</v>
      </c>
      <c r="E408" s="97" t="s">
        <v>1275</v>
      </c>
      <c r="F408" s="97" t="s">
        <v>148</v>
      </c>
      <c r="G408" s="97" t="s">
        <v>149</v>
      </c>
      <c r="H408" s="97" t="s">
        <v>151</v>
      </c>
      <c r="I408" s="96"/>
      <c r="J408" s="100" t="s">
        <v>1278</v>
      </c>
      <c r="K408" s="101" t="s">
        <v>1279</v>
      </c>
      <c r="L408" s="149"/>
      <c r="M408" s="149"/>
      <c r="N408" s="157" t="s">
        <v>447</v>
      </c>
      <c r="O408" s="124" t="s">
        <v>198</v>
      </c>
      <c r="P408" s="159"/>
      <c r="Q408" s="107" t="s">
        <v>448</v>
      </c>
    </row>
    <row r="409" ht="30.0" hidden="1" customHeight="1">
      <c r="A409" s="73" t="s">
        <v>1020</v>
      </c>
      <c r="B409" s="75" t="s">
        <v>71</v>
      </c>
      <c r="C409" s="73" t="s">
        <v>334</v>
      </c>
      <c r="D409" s="77">
        <v>3.0</v>
      </c>
      <c r="E409" s="77" t="s">
        <v>1275</v>
      </c>
      <c r="F409" s="77" t="s">
        <v>148</v>
      </c>
      <c r="G409" s="77" t="s">
        <v>149</v>
      </c>
      <c r="H409" s="77" t="s">
        <v>151</v>
      </c>
      <c r="I409" s="75"/>
      <c r="J409" s="81" t="s">
        <v>1278</v>
      </c>
      <c r="K409" s="45" t="s">
        <v>1279</v>
      </c>
      <c r="L409" s="140" t="s">
        <v>52</v>
      </c>
      <c r="M409" s="86" t="s">
        <v>164</v>
      </c>
      <c r="N409" s="43" t="s">
        <v>55</v>
      </c>
      <c r="O409" s="115" t="s">
        <v>163</v>
      </c>
      <c r="P409" s="45" t="s">
        <v>1022</v>
      </c>
      <c r="Q409" s="44"/>
    </row>
    <row r="410" ht="39.75" hidden="1" customHeight="1">
      <c r="A410" s="94" t="s">
        <v>1051</v>
      </c>
      <c r="B410" s="96" t="s">
        <v>71</v>
      </c>
      <c r="C410" s="94" t="s">
        <v>334</v>
      </c>
      <c r="D410" s="97">
        <v>3.0</v>
      </c>
      <c r="E410" s="97" t="s">
        <v>1275</v>
      </c>
      <c r="F410" s="97" t="s">
        <v>148</v>
      </c>
      <c r="G410" s="97" t="s">
        <v>149</v>
      </c>
      <c r="H410" s="97" t="s">
        <v>151</v>
      </c>
      <c r="I410" s="96"/>
      <c r="J410" s="100" t="s">
        <v>1278</v>
      </c>
      <c r="K410" s="101" t="s">
        <v>1279</v>
      </c>
      <c r="L410" s="149"/>
      <c r="M410" s="149"/>
      <c r="N410" s="157" t="s">
        <v>447</v>
      </c>
      <c r="O410" s="124" t="s">
        <v>198</v>
      </c>
      <c r="P410" s="159"/>
      <c r="Q410" s="107" t="s">
        <v>448</v>
      </c>
    </row>
    <row r="411" ht="39.75" hidden="1" customHeight="1">
      <c r="A411" s="73" t="s">
        <v>1065</v>
      </c>
      <c r="B411" s="75" t="s">
        <v>71</v>
      </c>
      <c r="C411" s="73" t="s">
        <v>334</v>
      </c>
      <c r="D411" s="77">
        <v>3.0</v>
      </c>
      <c r="E411" s="77" t="s">
        <v>1275</v>
      </c>
      <c r="F411" s="77" t="s">
        <v>148</v>
      </c>
      <c r="G411" s="77" t="s">
        <v>149</v>
      </c>
      <c r="H411" s="77" t="s">
        <v>151</v>
      </c>
      <c r="I411" s="75"/>
      <c r="J411" s="81" t="s">
        <v>1278</v>
      </c>
      <c r="K411" s="45" t="s">
        <v>1279</v>
      </c>
      <c r="L411" s="149"/>
      <c r="M411" s="149"/>
      <c r="N411" s="157" t="s">
        <v>447</v>
      </c>
      <c r="O411" s="115" t="s">
        <v>198</v>
      </c>
      <c r="P411" s="151"/>
      <c r="Q411" s="44" t="s">
        <v>448</v>
      </c>
    </row>
    <row r="412" ht="39.75" hidden="1" customHeight="1">
      <c r="A412" s="94" t="s">
        <v>1068</v>
      </c>
      <c r="B412" s="96" t="s">
        <v>71</v>
      </c>
      <c r="C412" s="94" t="s">
        <v>334</v>
      </c>
      <c r="D412" s="97">
        <v>3.0</v>
      </c>
      <c r="E412" s="97" t="s">
        <v>1275</v>
      </c>
      <c r="F412" s="97" t="s">
        <v>148</v>
      </c>
      <c r="G412" s="97" t="s">
        <v>149</v>
      </c>
      <c r="H412" s="97" t="s">
        <v>151</v>
      </c>
      <c r="I412" s="96"/>
      <c r="J412" s="100" t="s">
        <v>1278</v>
      </c>
      <c r="K412" s="101" t="s">
        <v>1279</v>
      </c>
      <c r="L412" s="149"/>
      <c r="M412" s="149"/>
      <c r="N412" s="157" t="s">
        <v>447</v>
      </c>
      <c r="O412" s="124" t="s">
        <v>198</v>
      </c>
      <c r="P412" s="159"/>
      <c r="Q412" s="107" t="s">
        <v>448</v>
      </c>
    </row>
    <row r="413" ht="39.75" hidden="1" customHeight="1">
      <c r="A413" s="73" t="s">
        <v>1081</v>
      </c>
      <c r="B413" s="75" t="s">
        <v>71</v>
      </c>
      <c r="C413" s="73" t="s">
        <v>334</v>
      </c>
      <c r="D413" s="77">
        <v>3.0</v>
      </c>
      <c r="E413" s="77" t="s">
        <v>1275</v>
      </c>
      <c r="F413" s="77" t="s">
        <v>148</v>
      </c>
      <c r="G413" s="77" t="s">
        <v>149</v>
      </c>
      <c r="H413" s="77" t="s">
        <v>151</v>
      </c>
      <c r="I413" s="75"/>
      <c r="J413" s="81" t="s">
        <v>1278</v>
      </c>
      <c r="K413" s="45" t="s">
        <v>1279</v>
      </c>
      <c r="L413" s="149"/>
      <c r="M413" s="149"/>
      <c r="N413" s="157" t="s">
        <v>447</v>
      </c>
      <c r="O413" s="115" t="s">
        <v>198</v>
      </c>
      <c r="P413" s="151"/>
      <c r="Q413" s="44" t="s">
        <v>448</v>
      </c>
    </row>
    <row r="414" ht="39.75" hidden="1" customHeight="1">
      <c r="A414" s="94" t="s">
        <v>1102</v>
      </c>
      <c r="B414" s="96" t="s">
        <v>71</v>
      </c>
      <c r="C414" s="94" t="s">
        <v>334</v>
      </c>
      <c r="D414" s="97">
        <v>3.0</v>
      </c>
      <c r="E414" s="97" t="s">
        <v>1275</v>
      </c>
      <c r="F414" s="97" t="s">
        <v>148</v>
      </c>
      <c r="G414" s="97" t="s">
        <v>149</v>
      </c>
      <c r="H414" s="154" t="s">
        <v>466</v>
      </c>
      <c r="I414" s="96"/>
      <c r="J414" s="100" t="s">
        <v>1278</v>
      </c>
      <c r="K414" s="101" t="s">
        <v>1279</v>
      </c>
      <c r="L414" s="149"/>
      <c r="M414" s="149"/>
      <c r="N414" s="157" t="s">
        <v>447</v>
      </c>
      <c r="O414" s="124" t="s">
        <v>198</v>
      </c>
      <c r="P414" s="159"/>
      <c r="Q414" s="107" t="s">
        <v>448</v>
      </c>
    </row>
    <row r="415" ht="30.0" hidden="1" customHeight="1">
      <c r="A415" s="73" t="s">
        <v>1143</v>
      </c>
      <c r="B415" s="75" t="s">
        <v>71</v>
      </c>
      <c r="C415" s="73" t="s">
        <v>334</v>
      </c>
      <c r="D415" s="77">
        <v>3.0</v>
      </c>
      <c r="E415" s="77" t="s">
        <v>1275</v>
      </c>
      <c r="F415" s="77" t="s">
        <v>148</v>
      </c>
      <c r="G415" s="77" t="s">
        <v>149</v>
      </c>
      <c r="H415" s="77" t="s">
        <v>151</v>
      </c>
      <c r="I415" s="75"/>
      <c r="J415" s="81" t="s">
        <v>1278</v>
      </c>
      <c r="K415" s="45" t="s">
        <v>1279</v>
      </c>
      <c r="L415" s="127" t="s">
        <v>64</v>
      </c>
      <c r="M415" s="62" t="s">
        <v>92</v>
      </c>
      <c r="N415" s="43" t="s">
        <v>55</v>
      </c>
      <c r="O415" s="115" t="s">
        <v>163</v>
      </c>
      <c r="P415" s="45" t="s">
        <v>1146</v>
      </c>
      <c r="Q415" s="44"/>
    </row>
    <row r="416" ht="39.75" hidden="1" customHeight="1">
      <c r="A416" s="94" t="s">
        <v>1248</v>
      </c>
      <c r="B416" s="96" t="s">
        <v>71</v>
      </c>
      <c r="C416" s="94" t="s">
        <v>334</v>
      </c>
      <c r="D416" s="97">
        <v>3.0</v>
      </c>
      <c r="E416" s="97" t="s">
        <v>1275</v>
      </c>
      <c r="F416" s="97" t="s">
        <v>148</v>
      </c>
      <c r="G416" s="97" t="s">
        <v>149</v>
      </c>
      <c r="H416" s="97" t="s">
        <v>151</v>
      </c>
      <c r="I416" s="96"/>
      <c r="J416" s="100" t="s">
        <v>1278</v>
      </c>
      <c r="K416" s="101" t="s">
        <v>1279</v>
      </c>
      <c r="L416" s="149"/>
      <c r="M416" s="149"/>
      <c r="N416" s="157" t="s">
        <v>447</v>
      </c>
      <c r="O416" s="124" t="s">
        <v>198</v>
      </c>
      <c r="P416" s="159"/>
      <c r="Q416" s="107" t="s">
        <v>448</v>
      </c>
    </row>
    <row r="417" ht="30.0" hidden="1" customHeight="1">
      <c r="A417" s="73" t="s">
        <v>1001</v>
      </c>
      <c r="B417" s="75" t="s">
        <v>71</v>
      </c>
      <c r="C417" s="73" t="s">
        <v>334</v>
      </c>
      <c r="D417" s="77">
        <v>3.0</v>
      </c>
      <c r="E417" s="77" t="s">
        <v>1307</v>
      </c>
      <c r="F417" s="77" t="s">
        <v>148</v>
      </c>
      <c r="G417" s="77" t="s">
        <v>149</v>
      </c>
      <c r="H417" s="77" t="s">
        <v>151</v>
      </c>
      <c r="I417" s="75"/>
      <c r="J417" s="81" t="s">
        <v>1278</v>
      </c>
      <c r="K417" s="45" t="s">
        <v>1279</v>
      </c>
      <c r="L417" s="127" t="s">
        <v>64</v>
      </c>
      <c r="M417" s="86" t="s">
        <v>164</v>
      </c>
      <c r="N417" s="43" t="s">
        <v>55</v>
      </c>
      <c r="O417" s="115" t="s">
        <v>163</v>
      </c>
      <c r="P417" s="45" t="s">
        <v>1003</v>
      </c>
      <c r="Q417" s="44"/>
    </row>
    <row r="418" ht="39.75" hidden="1" customHeight="1">
      <c r="A418" s="94" t="s">
        <v>1019</v>
      </c>
      <c r="B418" s="96" t="s">
        <v>71</v>
      </c>
      <c r="C418" s="94" t="s">
        <v>334</v>
      </c>
      <c r="D418" s="97">
        <v>3.0</v>
      </c>
      <c r="E418" s="97" t="s">
        <v>1307</v>
      </c>
      <c r="F418" s="97" t="s">
        <v>148</v>
      </c>
      <c r="G418" s="97" t="s">
        <v>149</v>
      </c>
      <c r="H418" s="97" t="s">
        <v>151</v>
      </c>
      <c r="I418" s="96"/>
      <c r="J418" s="100" t="s">
        <v>1278</v>
      </c>
      <c r="K418" s="101" t="s">
        <v>1279</v>
      </c>
      <c r="L418" s="149"/>
      <c r="M418" s="149"/>
      <c r="N418" s="157" t="s">
        <v>447</v>
      </c>
      <c r="O418" s="124" t="s">
        <v>198</v>
      </c>
      <c r="P418" s="159"/>
      <c r="Q418" s="107" t="s">
        <v>448</v>
      </c>
    </row>
    <row r="419" ht="39.75" hidden="1" customHeight="1">
      <c r="A419" s="73" t="s">
        <v>1036</v>
      </c>
      <c r="B419" s="75" t="s">
        <v>71</v>
      </c>
      <c r="C419" s="73" t="s">
        <v>334</v>
      </c>
      <c r="D419" s="77">
        <v>3.0</v>
      </c>
      <c r="E419" s="77" t="s">
        <v>1307</v>
      </c>
      <c r="F419" s="77" t="s">
        <v>148</v>
      </c>
      <c r="G419" s="77" t="s">
        <v>149</v>
      </c>
      <c r="H419" s="77" t="s">
        <v>151</v>
      </c>
      <c r="I419" s="75"/>
      <c r="J419" s="81" t="s">
        <v>1278</v>
      </c>
      <c r="K419" s="45" t="s">
        <v>1279</v>
      </c>
      <c r="L419" s="149"/>
      <c r="M419" s="149"/>
      <c r="N419" s="157" t="s">
        <v>447</v>
      </c>
      <c r="O419" s="115" t="s">
        <v>198</v>
      </c>
      <c r="P419" s="151"/>
      <c r="Q419" s="44" t="s">
        <v>448</v>
      </c>
    </row>
    <row r="420" ht="30.0" hidden="1" customHeight="1">
      <c r="A420" s="94" t="s">
        <v>1077</v>
      </c>
      <c r="B420" s="96" t="s">
        <v>71</v>
      </c>
      <c r="C420" s="94" t="s">
        <v>334</v>
      </c>
      <c r="D420" s="97">
        <v>3.0</v>
      </c>
      <c r="E420" s="97" t="s">
        <v>1307</v>
      </c>
      <c r="F420" s="97" t="s">
        <v>148</v>
      </c>
      <c r="G420" s="97" t="s">
        <v>149</v>
      </c>
      <c r="H420" s="97" t="s">
        <v>151</v>
      </c>
      <c r="I420" s="96"/>
      <c r="J420" s="100" t="s">
        <v>1278</v>
      </c>
      <c r="K420" s="101" t="s">
        <v>1279</v>
      </c>
      <c r="L420" s="88" t="s">
        <v>63</v>
      </c>
      <c r="M420" s="86" t="s">
        <v>164</v>
      </c>
      <c r="N420" s="43" t="s">
        <v>55</v>
      </c>
      <c r="O420" s="124" t="s">
        <v>163</v>
      </c>
      <c r="P420" s="101" t="s">
        <v>1079</v>
      </c>
      <c r="Q420" s="107"/>
    </row>
    <row r="421" ht="39.75" hidden="1" customHeight="1">
      <c r="A421" s="73" t="s">
        <v>1082</v>
      </c>
      <c r="B421" s="75" t="s">
        <v>71</v>
      </c>
      <c r="C421" s="73" t="s">
        <v>334</v>
      </c>
      <c r="D421" s="77">
        <v>3.0</v>
      </c>
      <c r="E421" s="77" t="s">
        <v>1307</v>
      </c>
      <c r="F421" s="77" t="s">
        <v>148</v>
      </c>
      <c r="G421" s="77" t="s">
        <v>149</v>
      </c>
      <c r="H421" s="77" t="s">
        <v>151</v>
      </c>
      <c r="I421" s="75"/>
      <c r="J421" s="81" t="s">
        <v>1278</v>
      </c>
      <c r="K421" s="45" t="s">
        <v>1279</v>
      </c>
      <c r="L421" s="149"/>
      <c r="M421" s="149"/>
      <c r="N421" s="157" t="s">
        <v>447</v>
      </c>
      <c r="O421" s="115" t="s">
        <v>198</v>
      </c>
      <c r="P421" s="151"/>
      <c r="Q421" s="44" t="s">
        <v>448</v>
      </c>
    </row>
    <row r="422" ht="39.75" hidden="1" customHeight="1">
      <c r="A422" s="94" t="s">
        <v>1133</v>
      </c>
      <c r="B422" s="96" t="s">
        <v>71</v>
      </c>
      <c r="C422" s="94" t="s">
        <v>334</v>
      </c>
      <c r="D422" s="97">
        <v>3.0</v>
      </c>
      <c r="E422" s="97" t="s">
        <v>1307</v>
      </c>
      <c r="F422" s="97" t="s">
        <v>148</v>
      </c>
      <c r="G422" s="97" t="s">
        <v>149</v>
      </c>
      <c r="H422" s="97" t="s">
        <v>151</v>
      </c>
      <c r="I422" s="96"/>
      <c r="J422" s="100" t="s">
        <v>1278</v>
      </c>
      <c r="K422" s="101" t="s">
        <v>1279</v>
      </c>
      <c r="L422" s="149"/>
      <c r="M422" s="149"/>
      <c r="N422" s="157" t="s">
        <v>447</v>
      </c>
      <c r="O422" s="124" t="s">
        <v>198</v>
      </c>
      <c r="P422" s="159"/>
      <c r="Q422" s="107" t="s">
        <v>448</v>
      </c>
    </row>
    <row r="423" ht="39.75" hidden="1" customHeight="1">
      <c r="A423" s="73" t="s">
        <v>1142</v>
      </c>
      <c r="B423" s="75" t="s">
        <v>71</v>
      </c>
      <c r="C423" s="73" t="s">
        <v>334</v>
      </c>
      <c r="D423" s="77">
        <v>3.0</v>
      </c>
      <c r="E423" s="77" t="s">
        <v>1307</v>
      </c>
      <c r="F423" s="77" t="s">
        <v>148</v>
      </c>
      <c r="G423" s="77" t="s">
        <v>149</v>
      </c>
      <c r="H423" s="77" t="s">
        <v>151</v>
      </c>
      <c r="I423" s="75"/>
      <c r="J423" s="81" t="s">
        <v>1278</v>
      </c>
      <c r="K423" s="45" t="s">
        <v>1279</v>
      </c>
      <c r="L423" s="149"/>
      <c r="M423" s="149"/>
      <c r="N423" s="157" t="s">
        <v>447</v>
      </c>
      <c r="O423" s="115" t="s">
        <v>198</v>
      </c>
      <c r="P423" s="151"/>
      <c r="Q423" s="44" t="s">
        <v>448</v>
      </c>
    </row>
    <row r="424" ht="39.75" hidden="1" customHeight="1">
      <c r="A424" s="94" t="s">
        <v>1162</v>
      </c>
      <c r="B424" s="96" t="s">
        <v>71</v>
      </c>
      <c r="C424" s="94" t="s">
        <v>334</v>
      </c>
      <c r="D424" s="97">
        <v>3.0</v>
      </c>
      <c r="E424" s="97" t="s">
        <v>1307</v>
      </c>
      <c r="F424" s="97" t="s">
        <v>148</v>
      </c>
      <c r="G424" s="97" t="s">
        <v>149</v>
      </c>
      <c r="H424" s="97" t="s">
        <v>151</v>
      </c>
      <c r="I424" s="96"/>
      <c r="J424" s="100" t="s">
        <v>1278</v>
      </c>
      <c r="K424" s="101" t="s">
        <v>1279</v>
      </c>
      <c r="L424" s="149"/>
      <c r="M424" s="149"/>
      <c r="N424" s="157" t="s">
        <v>447</v>
      </c>
      <c r="O424" s="124" t="s">
        <v>198</v>
      </c>
      <c r="P424" s="159"/>
      <c r="Q424" s="107" t="s">
        <v>448</v>
      </c>
    </row>
    <row r="425" ht="39.75" hidden="1" customHeight="1">
      <c r="A425" s="73" t="s">
        <v>1165</v>
      </c>
      <c r="B425" s="75" t="s">
        <v>71</v>
      </c>
      <c r="C425" s="73" t="s">
        <v>334</v>
      </c>
      <c r="D425" s="77">
        <v>3.0</v>
      </c>
      <c r="E425" s="77" t="s">
        <v>1307</v>
      </c>
      <c r="F425" s="77" t="s">
        <v>148</v>
      </c>
      <c r="G425" s="77" t="s">
        <v>149</v>
      </c>
      <c r="H425" s="77" t="s">
        <v>151</v>
      </c>
      <c r="I425" s="75"/>
      <c r="J425" s="81" t="s">
        <v>1278</v>
      </c>
      <c r="K425" s="45" t="s">
        <v>1279</v>
      </c>
      <c r="L425" s="149"/>
      <c r="M425" s="149"/>
      <c r="N425" s="157" t="s">
        <v>447</v>
      </c>
      <c r="O425" s="115" t="s">
        <v>198</v>
      </c>
      <c r="P425" s="151"/>
      <c r="Q425" s="44" t="s">
        <v>448</v>
      </c>
    </row>
    <row r="426" ht="30.0" hidden="1" customHeight="1">
      <c r="A426" s="94" t="s">
        <v>1202</v>
      </c>
      <c r="B426" s="96" t="s">
        <v>71</v>
      </c>
      <c r="C426" s="94" t="s">
        <v>334</v>
      </c>
      <c r="D426" s="97">
        <v>3.0</v>
      </c>
      <c r="E426" s="97" t="s">
        <v>1307</v>
      </c>
      <c r="F426" s="97" t="s">
        <v>148</v>
      </c>
      <c r="G426" s="97" t="s">
        <v>149</v>
      </c>
      <c r="H426" s="154" t="s">
        <v>466</v>
      </c>
      <c r="I426" s="96"/>
      <c r="J426" s="100" t="s">
        <v>1278</v>
      </c>
      <c r="K426" s="101" t="s">
        <v>1279</v>
      </c>
      <c r="L426" s="88" t="s">
        <v>63</v>
      </c>
      <c r="M426" s="50" t="s">
        <v>64</v>
      </c>
      <c r="N426" s="43" t="s">
        <v>55</v>
      </c>
      <c r="O426" s="105" t="s">
        <v>187</v>
      </c>
      <c r="P426" s="101" t="s">
        <v>1149</v>
      </c>
      <c r="Q426" s="107" t="s">
        <v>1204</v>
      </c>
    </row>
    <row r="427" ht="39.75" hidden="1" customHeight="1">
      <c r="A427" s="73" t="s">
        <v>1212</v>
      </c>
      <c r="B427" s="75" t="s">
        <v>71</v>
      </c>
      <c r="C427" s="73" t="s">
        <v>334</v>
      </c>
      <c r="D427" s="77">
        <v>3.0</v>
      </c>
      <c r="E427" s="77" t="s">
        <v>1307</v>
      </c>
      <c r="F427" s="77" t="s">
        <v>148</v>
      </c>
      <c r="G427" s="77" t="s">
        <v>149</v>
      </c>
      <c r="H427" s="77" t="s">
        <v>151</v>
      </c>
      <c r="I427" s="75"/>
      <c r="J427" s="81" t="s">
        <v>1278</v>
      </c>
      <c r="K427" s="45" t="s">
        <v>1279</v>
      </c>
      <c r="L427" s="149"/>
      <c r="M427" s="149"/>
      <c r="N427" s="157" t="s">
        <v>447</v>
      </c>
      <c r="O427" s="115" t="s">
        <v>198</v>
      </c>
      <c r="P427" s="151"/>
      <c r="Q427" s="44" t="s">
        <v>448</v>
      </c>
    </row>
    <row r="428" ht="39.75" hidden="1" customHeight="1">
      <c r="A428" s="94" t="s">
        <v>1217</v>
      </c>
      <c r="B428" s="96" t="s">
        <v>71</v>
      </c>
      <c r="C428" s="94" t="s">
        <v>334</v>
      </c>
      <c r="D428" s="97">
        <v>3.0</v>
      </c>
      <c r="E428" s="97" t="s">
        <v>1307</v>
      </c>
      <c r="F428" s="97" t="s">
        <v>148</v>
      </c>
      <c r="G428" s="97" t="s">
        <v>149</v>
      </c>
      <c r="H428" s="97" t="s">
        <v>151</v>
      </c>
      <c r="I428" s="96"/>
      <c r="J428" s="100" t="s">
        <v>1278</v>
      </c>
      <c r="K428" s="101" t="s">
        <v>1279</v>
      </c>
      <c r="L428" s="149"/>
      <c r="M428" s="149"/>
      <c r="N428" s="157" t="s">
        <v>447</v>
      </c>
      <c r="O428" s="124" t="s">
        <v>198</v>
      </c>
      <c r="P428" s="159"/>
      <c r="Q428" s="107" t="s">
        <v>448</v>
      </c>
    </row>
    <row r="429" ht="39.75" hidden="1" customHeight="1">
      <c r="A429" s="73" t="s">
        <v>1045</v>
      </c>
      <c r="B429" s="75" t="s">
        <v>71</v>
      </c>
      <c r="C429" s="73" t="s">
        <v>334</v>
      </c>
      <c r="D429" s="77">
        <v>3.0</v>
      </c>
      <c r="E429" s="77" t="s">
        <v>1348</v>
      </c>
      <c r="F429" s="77" t="s">
        <v>148</v>
      </c>
      <c r="G429" s="77" t="s">
        <v>149</v>
      </c>
      <c r="H429" s="77" t="s">
        <v>151</v>
      </c>
      <c r="I429" s="75"/>
      <c r="J429" s="81" t="s">
        <v>1278</v>
      </c>
      <c r="K429" s="45" t="s">
        <v>1279</v>
      </c>
      <c r="L429" s="149"/>
      <c r="M429" s="149"/>
      <c r="N429" s="157" t="s">
        <v>447</v>
      </c>
      <c r="O429" s="115" t="s">
        <v>198</v>
      </c>
      <c r="P429" s="151"/>
      <c r="Q429" s="44" t="s">
        <v>448</v>
      </c>
    </row>
    <row r="430" ht="39.75" hidden="1" customHeight="1">
      <c r="A430" s="94" t="s">
        <v>1052</v>
      </c>
      <c r="B430" s="96" t="s">
        <v>71</v>
      </c>
      <c r="C430" s="94" t="s">
        <v>334</v>
      </c>
      <c r="D430" s="97">
        <v>3.0</v>
      </c>
      <c r="E430" s="97" t="s">
        <v>1348</v>
      </c>
      <c r="F430" s="97" t="s">
        <v>148</v>
      </c>
      <c r="G430" s="97" t="s">
        <v>149</v>
      </c>
      <c r="H430" s="97" t="s">
        <v>151</v>
      </c>
      <c r="I430" s="96"/>
      <c r="J430" s="100" t="s">
        <v>1278</v>
      </c>
      <c r="K430" s="101" t="s">
        <v>1279</v>
      </c>
      <c r="L430" s="149"/>
      <c r="M430" s="149"/>
      <c r="N430" s="157" t="s">
        <v>447</v>
      </c>
      <c r="O430" s="124" t="s">
        <v>198</v>
      </c>
      <c r="P430" s="159"/>
      <c r="Q430" s="107" t="s">
        <v>448</v>
      </c>
    </row>
    <row r="431" ht="39.75" hidden="1" customHeight="1">
      <c r="A431" s="73" t="s">
        <v>1053</v>
      </c>
      <c r="B431" s="75" t="s">
        <v>71</v>
      </c>
      <c r="C431" s="73" t="s">
        <v>334</v>
      </c>
      <c r="D431" s="77">
        <v>3.0</v>
      </c>
      <c r="E431" s="77" t="s">
        <v>1348</v>
      </c>
      <c r="F431" s="77" t="s">
        <v>148</v>
      </c>
      <c r="G431" s="77" t="s">
        <v>149</v>
      </c>
      <c r="H431" s="77" t="s">
        <v>151</v>
      </c>
      <c r="I431" s="75"/>
      <c r="J431" s="81" t="s">
        <v>1278</v>
      </c>
      <c r="K431" s="45" t="s">
        <v>1279</v>
      </c>
      <c r="L431" s="149"/>
      <c r="M431" s="149"/>
      <c r="N431" s="157" t="s">
        <v>447</v>
      </c>
      <c r="O431" s="115" t="s">
        <v>198</v>
      </c>
      <c r="P431" s="151"/>
      <c r="Q431" s="44" t="s">
        <v>448</v>
      </c>
    </row>
    <row r="432" ht="39.75" hidden="1" customHeight="1">
      <c r="A432" s="94" t="s">
        <v>1072</v>
      </c>
      <c r="B432" s="96" t="s">
        <v>71</v>
      </c>
      <c r="C432" s="94" t="s">
        <v>334</v>
      </c>
      <c r="D432" s="97">
        <v>3.0</v>
      </c>
      <c r="E432" s="97" t="s">
        <v>1348</v>
      </c>
      <c r="F432" s="97" t="s">
        <v>148</v>
      </c>
      <c r="G432" s="97" t="s">
        <v>149</v>
      </c>
      <c r="H432" s="97" t="s">
        <v>151</v>
      </c>
      <c r="I432" s="96"/>
      <c r="J432" s="100" t="s">
        <v>1278</v>
      </c>
      <c r="K432" s="101" t="s">
        <v>1279</v>
      </c>
      <c r="L432" s="149"/>
      <c r="M432" s="149"/>
      <c r="N432" s="157" t="s">
        <v>447</v>
      </c>
      <c r="O432" s="124" t="s">
        <v>198</v>
      </c>
      <c r="P432" s="159"/>
      <c r="Q432" s="107" t="s">
        <v>448</v>
      </c>
    </row>
    <row r="433" ht="39.75" hidden="1" customHeight="1">
      <c r="A433" s="73" t="s">
        <v>1083</v>
      </c>
      <c r="B433" s="75" t="s">
        <v>71</v>
      </c>
      <c r="C433" s="73" t="s">
        <v>334</v>
      </c>
      <c r="D433" s="77">
        <v>3.0</v>
      </c>
      <c r="E433" s="77" t="s">
        <v>1348</v>
      </c>
      <c r="F433" s="77" t="s">
        <v>148</v>
      </c>
      <c r="G433" s="77" t="s">
        <v>149</v>
      </c>
      <c r="H433" s="77" t="s">
        <v>151</v>
      </c>
      <c r="I433" s="75"/>
      <c r="J433" s="81" t="s">
        <v>1278</v>
      </c>
      <c r="K433" s="45" t="s">
        <v>1279</v>
      </c>
      <c r="L433" s="149"/>
      <c r="M433" s="149"/>
      <c r="N433" s="157" t="s">
        <v>447</v>
      </c>
      <c r="O433" s="115" t="s">
        <v>198</v>
      </c>
      <c r="P433" s="151"/>
      <c r="Q433" s="44" t="s">
        <v>448</v>
      </c>
    </row>
    <row r="434" ht="39.75" hidden="1" customHeight="1">
      <c r="A434" s="94" t="s">
        <v>1110</v>
      </c>
      <c r="B434" s="96" t="s">
        <v>71</v>
      </c>
      <c r="C434" s="94" t="s">
        <v>334</v>
      </c>
      <c r="D434" s="97">
        <v>3.0</v>
      </c>
      <c r="E434" s="97" t="s">
        <v>1348</v>
      </c>
      <c r="F434" s="97" t="s">
        <v>148</v>
      </c>
      <c r="G434" s="97" t="s">
        <v>149</v>
      </c>
      <c r="H434" s="97" t="s">
        <v>151</v>
      </c>
      <c r="I434" s="96"/>
      <c r="J434" s="100" t="s">
        <v>1278</v>
      </c>
      <c r="K434" s="101" t="s">
        <v>1279</v>
      </c>
      <c r="L434" s="149"/>
      <c r="M434" s="149"/>
      <c r="N434" s="157" t="s">
        <v>447</v>
      </c>
      <c r="O434" s="124" t="s">
        <v>198</v>
      </c>
      <c r="P434" s="159"/>
      <c r="Q434" s="107" t="s">
        <v>448</v>
      </c>
    </row>
    <row r="435" ht="39.75" hidden="1" customHeight="1">
      <c r="A435" s="73" t="s">
        <v>1123</v>
      </c>
      <c r="B435" s="75" t="s">
        <v>71</v>
      </c>
      <c r="C435" s="73" t="s">
        <v>334</v>
      </c>
      <c r="D435" s="77">
        <v>3.0</v>
      </c>
      <c r="E435" s="77" t="s">
        <v>1348</v>
      </c>
      <c r="F435" s="77" t="s">
        <v>148</v>
      </c>
      <c r="G435" s="77" t="s">
        <v>149</v>
      </c>
      <c r="H435" s="77" t="s">
        <v>151</v>
      </c>
      <c r="I435" s="75"/>
      <c r="J435" s="81" t="s">
        <v>1278</v>
      </c>
      <c r="K435" s="45" t="s">
        <v>1279</v>
      </c>
      <c r="L435" s="149"/>
      <c r="M435" s="149"/>
      <c r="N435" s="157" t="s">
        <v>447</v>
      </c>
      <c r="O435" s="115" t="s">
        <v>198</v>
      </c>
      <c r="P435" s="151"/>
      <c r="Q435" s="44" t="s">
        <v>448</v>
      </c>
    </row>
    <row r="436" ht="39.75" hidden="1" customHeight="1">
      <c r="A436" s="94" t="s">
        <v>1172</v>
      </c>
      <c r="B436" s="96" t="s">
        <v>71</v>
      </c>
      <c r="C436" s="94" t="s">
        <v>334</v>
      </c>
      <c r="D436" s="97">
        <v>3.0</v>
      </c>
      <c r="E436" s="97" t="s">
        <v>1348</v>
      </c>
      <c r="F436" s="97" t="s">
        <v>148</v>
      </c>
      <c r="G436" s="97" t="s">
        <v>149</v>
      </c>
      <c r="H436" s="97" t="s">
        <v>151</v>
      </c>
      <c r="I436" s="96"/>
      <c r="J436" s="100" t="s">
        <v>1278</v>
      </c>
      <c r="K436" s="101" t="s">
        <v>1279</v>
      </c>
      <c r="L436" s="149"/>
      <c r="M436" s="149"/>
      <c r="N436" s="157" t="s">
        <v>447</v>
      </c>
      <c r="O436" s="124" t="s">
        <v>198</v>
      </c>
      <c r="P436" s="159"/>
      <c r="Q436" s="107" t="s">
        <v>448</v>
      </c>
    </row>
    <row r="437" ht="39.75" hidden="1" customHeight="1">
      <c r="A437" s="73" t="s">
        <v>1183</v>
      </c>
      <c r="B437" s="75" t="s">
        <v>71</v>
      </c>
      <c r="C437" s="73" t="s">
        <v>334</v>
      </c>
      <c r="D437" s="77">
        <v>3.0</v>
      </c>
      <c r="E437" s="77" t="s">
        <v>1348</v>
      </c>
      <c r="F437" s="77" t="s">
        <v>148</v>
      </c>
      <c r="G437" s="77" t="s">
        <v>149</v>
      </c>
      <c r="H437" s="77" t="s">
        <v>151</v>
      </c>
      <c r="I437" s="75"/>
      <c r="J437" s="81" t="s">
        <v>1278</v>
      </c>
      <c r="K437" s="45" t="s">
        <v>1279</v>
      </c>
      <c r="L437" s="149"/>
      <c r="M437" s="149"/>
      <c r="N437" s="157" t="s">
        <v>447</v>
      </c>
      <c r="O437" s="115" t="s">
        <v>198</v>
      </c>
      <c r="P437" s="151"/>
      <c r="Q437" s="44" t="s">
        <v>448</v>
      </c>
    </row>
    <row r="438" ht="39.75" hidden="1" customHeight="1">
      <c r="A438" s="94" t="s">
        <v>1241</v>
      </c>
      <c r="B438" s="96" t="s">
        <v>71</v>
      </c>
      <c r="C438" s="94" t="s">
        <v>334</v>
      </c>
      <c r="D438" s="97">
        <v>3.0</v>
      </c>
      <c r="E438" s="97" t="s">
        <v>1348</v>
      </c>
      <c r="F438" s="97" t="s">
        <v>148</v>
      </c>
      <c r="G438" s="97" t="s">
        <v>149</v>
      </c>
      <c r="H438" s="97" t="s">
        <v>151</v>
      </c>
      <c r="I438" s="96"/>
      <c r="J438" s="100" t="s">
        <v>1278</v>
      </c>
      <c r="K438" s="101" t="s">
        <v>1279</v>
      </c>
      <c r="L438" s="149"/>
      <c r="M438" s="149"/>
      <c r="N438" s="157" t="s">
        <v>447</v>
      </c>
      <c r="O438" s="124" t="s">
        <v>198</v>
      </c>
      <c r="P438" s="159"/>
      <c r="Q438" s="107" t="s">
        <v>448</v>
      </c>
    </row>
    <row r="439" ht="39.75" hidden="1" customHeight="1">
      <c r="A439" s="73" t="s">
        <v>1246</v>
      </c>
      <c r="B439" s="75" t="s">
        <v>71</v>
      </c>
      <c r="C439" s="73" t="s">
        <v>334</v>
      </c>
      <c r="D439" s="77">
        <v>3.0</v>
      </c>
      <c r="E439" s="77" t="s">
        <v>1348</v>
      </c>
      <c r="F439" s="77" t="s">
        <v>148</v>
      </c>
      <c r="G439" s="77" t="s">
        <v>149</v>
      </c>
      <c r="H439" s="77" t="s">
        <v>151</v>
      </c>
      <c r="I439" s="75"/>
      <c r="J439" s="81" t="s">
        <v>1278</v>
      </c>
      <c r="K439" s="45" t="s">
        <v>1279</v>
      </c>
      <c r="L439" s="149"/>
      <c r="M439" s="149"/>
      <c r="N439" s="157" t="s">
        <v>447</v>
      </c>
      <c r="O439" s="115" t="s">
        <v>198</v>
      </c>
      <c r="P439" s="151"/>
      <c r="Q439" s="44" t="s">
        <v>448</v>
      </c>
    </row>
    <row r="440" ht="39.75" hidden="1" customHeight="1">
      <c r="A440" s="94" t="s">
        <v>1249</v>
      </c>
      <c r="B440" s="96" t="s">
        <v>71</v>
      </c>
      <c r="C440" s="94" t="s">
        <v>334</v>
      </c>
      <c r="D440" s="97">
        <v>3.0</v>
      </c>
      <c r="E440" s="97" t="s">
        <v>1348</v>
      </c>
      <c r="F440" s="97" t="s">
        <v>148</v>
      </c>
      <c r="G440" s="97" t="s">
        <v>149</v>
      </c>
      <c r="H440" s="97" t="s">
        <v>151</v>
      </c>
      <c r="I440" s="96"/>
      <c r="J440" s="100" t="s">
        <v>1278</v>
      </c>
      <c r="K440" s="101" t="s">
        <v>1279</v>
      </c>
      <c r="L440" s="149"/>
      <c r="M440" s="149"/>
      <c r="N440" s="157" t="s">
        <v>447</v>
      </c>
      <c r="O440" s="124" t="s">
        <v>198</v>
      </c>
      <c r="P440" s="159"/>
      <c r="Q440" s="107" t="s">
        <v>448</v>
      </c>
    </row>
    <row r="441" ht="39.75" hidden="1" customHeight="1">
      <c r="A441" s="73" t="s">
        <v>1014</v>
      </c>
      <c r="B441" s="75" t="s">
        <v>71</v>
      </c>
      <c r="C441" s="73" t="s">
        <v>334</v>
      </c>
      <c r="D441" s="77">
        <v>3.0</v>
      </c>
      <c r="E441" s="77" t="s">
        <v>1372</v>
      </c>
      <c r="F441" s="77" t="s">
        <v>148</v>
      </c>
      <c r="G441" s="77" t="s">
        <v>149</v>
      </c>
      <c r="H441" s="77" t="s">
        <v>151</v>
      </c>
      <c r="I441" s="75"/>
      <c r="J441" s="81" t="s">
        <v>1278</v>
      </c>
      <c r="K441" s="45" t="s">
        <v>1279</v>
      </c>
      <c r="L441" s="149"/>
      <c r="M441" s="149"/>
      <c r="N441" s="157" t="s">
        <v>447</v>
      </c>
      <c r="O441" s="115" t="s">
        <v>198</v>
      </c>
      <c r="P441" s="151"/>
      <c r="Q441" s="44" t="s">
        <v>448</v>
      </c>
    </row>
    <row r="442" ht="39.75" hidden="1" customHeight="1">
      <c r="A442" s="94" t="s">
        <v>1016</v>
      </c>
      <c r="B442" s="96" t="s">
        <v>71</v>
      </c>
      <c r="C442" s="94" t="s">
        <v>334</v>
      </c>
      <c r="D442" s="97">
        <v>3.0</v>
      </c>
      <c r="E442" s="97" t="s">
        <v>1372</v>
      </c>
      <c r="F442" s="97" t="s">
        <v>148</v>
      </c>
      <c r="G442" s="97" t="s">
        <v>149</v>
      </c>
      <c r="H442" s="97" t="s">
        <v>151</v>
      </c>
      <c r="I442" s="96"/>
      <c r="J442" s="100" t="s">
        <v>1278</v>
      </c>
      <c r="K442" s="101" t="s">
        <v>1279</v>
      </c>
      <c r="L442" s="149"/>
      <c r="M442" s="149"/>
      <c r="N442" s="157" t="s">
        <v>447</v>
      </c>
      <c r="O442" s="124" t="s">
        <v>198</v>
      </c>
      <c r="P442" s="159"/>
      <c r="Q442" s="107" t="s">
        <v>448</v>
      </c>
    </row>
    <row r="443" ht="39.75" hidden="1" customHeight="1">
      <c r="A443" s="73" t="s">
        <v>1044</v>
      </c>
      <c r="B443" s="75" t="s">
        <v>71</v>
      </c>
      <c r="C443" s="73" t="s">
        <v>334</v>
      </c>
      <c r="D443" s="77">
        <v>3.0</v>
      </c>
      <c r="E443" s="77" t="s">
        <v>1372</v>
      </c>
      <c r="F443" s="77" t="s">
        <v>148</v>
      </c>
      <c r="G443" s="77" t="s">
        <v>149</v>
      </c>
      <c r="H443" s="77" t="s">
        <v>151</v>
      </c>
      <c r="I443" s="75"/>
      <c r="J443" s="81" t="s">
        <v>1278</v>
      </c>
      <c r="K443" s="45" t="s">
        <v>1279</v>
      </c>
      <c r="L443" s="149"/>
      <c r="M443" s="149"/>
      <c r="N443" s="157" t="s">
        <v>447</v>
      </c>
      <c r="O443" s="115" t="s">
        <v>198</v>
      </c>
      <c r="P443" s="151"/>
      <c r="Q443" s="44" t="s">
        <v>448</v>
      </c>
    </row>
    <row r="444" ht="30.0" hidden="1" customHeight="1">
      <c r="A444" s="94" t="s">
        <v>1091</v>
      </c>
      <c r="B444" s="96" t="s">
        <v>71</v>
      </c>
      <c r="C444" s="94" t="s">
        <v>334</v>
      </c>
      <c r="D444" s="97">
        <v>3.0</v>
      </c>
      <c r="E444" s="97" t="s">
        <v>1372</v>
      </c>
      <c r="F444" s="97" t="s">
        <v>148</v>
      </c>
      <c r="G444" s="97" t="s">
        <v>149</v>
      </c>
      <c r="H444" s="97" t="s">
        <v>151</v>
      </c>
      <c r="I444" s="96"/>
      <c r="J444" s="100" t="s">
        <v>1278</v>
      </c>
      <c r="K444" s="101" t="s">
        <v>1279</v>
      </c>
      <c r="L444" s="140" t="s">
        <v>52</v>
      </c>
      <c r="M444" s="62" t="s">
        <v>92</v>
      </c>
      <c r="N444" s="43" t="s">
        <v>55</v>
      </c>
      <c r="O444" s="124" t="s">
        <v>163</v>
      </c>
      <c r="P444" s="101" t="s">
        <v>1093</v>
      </c>
      <c r="Q444" s="107"/>
    </row>
    <row r="445" ht="39.75" hidden="1" customHeight="1">
      <c r="A445" s="73" t="s">
        <v>1126</v>
      </c>
      <c r="B445" s="75" t="s">
        <v>71</v>
      </c>
      <c r="C445" s="73" t="s">
        <v>334</v>
      </c>
      <c r="D445" s="77">
        <v>3.0</v>
      </c>
      <c r="E445" s="77" t="s">
        <v>1372</v>
      </c>
      <c r="F445" s="77" t="s">
        <v>148</v>
      </c>
      <c r="G445" s="77" t="s">
        <v>149</v>
      </c>
      <c r="H445" s="77" t="s">
        <v>151</v>
      </c>
      <c r="I445" s="75"/>
      <c r="J445" s="81" t="s">
        <v>1278</v>
      </c>
      <c r="K445" s="45" t="s">
        <v>1279</v>
      </c>
      <c r="L445" s="149"/>
      <c r="M445" s="149"/>
      <c r="N445" s="157" t="s">
        <v>447</v>
      </c>
      <c r="O445" s="115" t="s">
        <v>198</v>
      </c>
      <c r="P445" s="151"/>
      <c r="Q445" s="44" t="s">
        <v>448</v>
      </c>
    </row>
    <row r="446" ht="39.75" hidden="1" customHeight="1">
      <c r="A446" s="94" t="s">
        <v>1170</v>
      </c>
      <c r="B446" s="96" t="s">
        <v>71</v>
      </c>
      <c r="C446" s="94" t="s">
        <v>334</v>
      </c>
      <c r="D446" s="97">
        <v>3.0</v>
      </c>
      <c r="E446" s="97" t="s">
        <v>1372</v>
      </c>
      <c r="F446" s="97" t="s">
        <v>148</v>
      </c>
      <c r="G446" s="97" t="s">
        <v>149</v>
      </c>
      <c r="H446" s="154" t="s">
        <v>466</v>
      </c>
      <c r="I446" s="96"/>
      <c r="J446" s="100" t="s">
        <v>1278</v>
      </c>
      <c r="K446" s="101" t="s">
        <v>1279</v>
      </c>
      <c r="L446" s="88" t="s">
        <v>63</v>
      </c>
      <c r="M446" s="50" t="s">
        <v>64</v>
      </c>
      <c r="N446" s="43" t="s">
        <v>55</v>
      </c>
      <c r="O446" s="105" t="s">
        <v>187</v>
      </c>
      <c r="P446" s="101" t="s">
        <v>1134</v>
      </c>
      <c r="Q446" s="107" t="s">
        <v>1171</v>
      </c>
    </row>
    <row r="447" ht="39.75" hidden="1" customHeight="1">
      <c r="A447" s="73" t="s">
        <v>1182</v>
      </c>
      <c r="B447" s="75" t="s">
        <v>71</v>
      </c>
      <c r="C447" s="73" t="s">
        <v>334</v>
      </c>
      <c r="D447" s="77">
        <v>3.0</v>
      </c>
      <c r="E447" s="77" t="s">
        <v>1372</v>
      </c>
      <c r="F447" s="77" t="s">
        <v>148</v>
      </c>
      <c r="G447" s="77" t="s">
        <v>149</v>
      </c>
      <c r="H447" s="77" t="s">
        <v>151</v>
      </c>
      <c r="I447" s="75"/>
      <c r="J447" s="81" t="s">
        <v>1278</v>
      </c>
      <c r="K447" s="45" t="s">
        <v>1279</v>
      </c>
      <c r="L447" s="149"/>
      <c r="M447" s="149"/>
      <c r="N447" s="157" t="s">
        <v>447</v>
      </c>
      <c r="O447" s="115" t="s">
        <v>198</v>
      </c>
      <c r="P447" s="151"/>
      <c r="Q447" s="44" t="s">
        <v>448</v>
      </c>
    </row>
    <row r="448" ht="39.75" hidden="1" customHeight="1">
      <c r="A448" s="94" t="s">
        <v>1184</v>
      </c>
      <c r="B448" s="96" t="s">
        <v>71</v>
      </c>
      <c r="C448" s="94" t="s">
        <v>334</v>
      </c>
      <c r="D448" s="97">
        <v>3.0</v>
      </c>
      <c r="E448" s="97" t="s">
        <v>1372</v>
      </c>
      <c r="F448" s="97" t="s">
        <v>148</v>
      </c>
      <c r="G448" s="97" t="s">
        <v>149</v>
      </c>
      <c r="H448" s="97" t="s">
        <v>151</v>
      </c>
      <c r="I448" s="96"/>
      <c r="J448" s="100" t="s">
        <v>1278</v>
      </c>
      <c r="K448" s="101" t="s">
        <v>1279</v>
      </c>
      <c r="L448" s="149"/>
      <c r="M448" s="149"/>
      <c r="N448" s="157" t="s">
        <v>447</v>
      </c>
      <c r="O448" s="124" t="s">
        <v>198</v>
      </c>
      <c r="P448" s="159"/>
      <c r="Q448" s="107" t="s">
        <v>448</v>
      </c>
    </row>
    <row r="449" ht="39.75" hidden="1" customHeight="1">
      <c r="A449" s="73" t="s">
        <v>1193</v>
      </c>
      <c r="B449" s="75" t="s">
        <v>71</v>
      </c>
      <c r="C449" s="73" t="s">
        <v>334</v>
      </c>
      <c r="D449" s="77">
        <v>3.0</v>
      </c>
      <c r="E449" s="77" t="s">
        <v>1372</v>
      </c>
      <c r="F449" s="77" t="s">
        <v>148</v>
      </c>
      <c r="G449" s="77" t="s">
        <v>149</v>
      </c>
      <c r="H449" s="77" t="s">
        <v>151</v>
      </c>
      <c r="I449" s="75"/>
      <c r="J449" s="81" t="s">
        <v>1278</v>
      </c>
      <c r="K449" s="45" t="s">
        <v>1279</v>
      </c>
      <c r="L449" s="149"/>
      <c r="M449" s="149"/>
      <c r="N449" s="157" t="s">
        <v>447</v>
      </c>
      <c r="O449" s="115" t="s">
        <v>198</v>
      </c>
      <c r="P449" s="151"/>
      <c r="Q449" s="44" t="s">
        <v>448</v>
      </c>
    </row>
    <row r="450" ht="39.75" hidden="1" customHeight="1">
      <c r="A450" s="94" t="s">
        <v>1205</v>
      </c>
      <c r="B450" s="96" t="s">
        <v>71</v>
      </c>
      <c r="C450" s="94" t="s">
        <v>334</v>
      </c>
      <c r="D450" s="97">
        <v>3.0</v>
      </c>
      <c r="E450" s="97" t="s">
        <v>1372</v>
      </c>
      <c r="F450" s="97" t="s">
        <v>148</v>
      </c>
      <c r="G450" s="97" t="s">
        <v>149</v>
      </c>
      <c r="H450" s="97" t="s">
        <v>151</v>
      </c>
      <c r="I450" s="96"/>
      <c r="J450" s="100" t="s">
        <v>1278</v>
      </c>
      <c r="K450" s="101" t="s">
        <v>1279</v>
      </c>
      <c r="L450" s="149"/>
      <c r="M450" s="149"/>
      <c r="N450" s="157" t="s">
        <v>447</v>
      </c>
      <c r="O450" s="124" t="s">
        <v>198</v>
      </c>
      <c r="P450" s="159"/>
      <c r="Q450" s="107" t="s">
        <v>448</v>
      </c>
    </row>
    <row r="451" ht="39.75" hidden="1" customHeight="1">
      <c r="A451" s="73" t="s">
        <v>1224</v>
      </c>
      <c r="B451" s="75" t="s">
        <v>71</v>
      </c>
      <c r="C451" s="73" t="s">
        <v>334</v>
      </c>
      <c r="D451" s="77">
        <v>3.0</v>
      </c>
      <c r="E451" s="77" t="s">
        <v>1372</v>
      </c>
      <c r="F451" s="77" t="s">
        <v>148</v>
      </c>
      <c r="G451" s="77" t="s">
        <v>149</v>
      </c>
      <c r="H451" s="77" t="s">
        <v>151</v>
      </c>
      <c r="I451" s="75"/>
      <c r="J451" s="81" t="s">
        <v>1278</v>
      </c>
      <c r="K451" s="45" t="s">
        <v>1279</v>
      </c>
      <c r="L451" s="149"/>
      <c r="M451" s="149"/>
      <c r="N451" s="157" t="s">
        <v>447</v>
      </c>
      <c r="O451" s="115" t="s">
        <v>198</v>
      </c>
      <c r="P451" s="151"/>
      <c r="Q451" s="44" t="s">
        <v>448</v>
      </c>
    </row>
    <row r="452" ht="39.75" hidden="1" customHeight="1">
      <c r="A452" s="94" t="s">
        <v>1252</v>
      </c>
      <c r="B452" s="96" t="s">
        <v>71</v>
      </c>
      <c r="C452" s="94" t="s">
        <v>334</v>
      </c>
      <c r="D452" s="97">
        <v>3.0</v>
      </c>
      <c r="E452" s="97" t="s">
        <v>1372</v>
      </c>
      <c r="F452" s="97" t="s">
        <v>148</v>
      </c>
      <c r="G452" s="97" t="s">
        <v>149</v>
      </c>
      <c r="H452" s="97" t="s">
        <v>151</v>
      </c>
      <c r="I452" s="96"/>
      <c r="J452" s="100" t="s">
        <v>1278</v>
      </c>
      <c r="K452" s="101" t="s">
        <v>1279</v>
      </c>
      <c r="L452" s="149"/>
      <c r="M452" s="149"/>
      <c r="N452" s="157" t="s">
        <v>447</v>
      </c>
      <c r="O452" s="124" t="s">
        <v>198</v>
      </c>
      <c r="P452" s="159"/>
      <c r="Q452" s="107" t="s">
        <v>448</v>
      </c>
    </row>
    <row r="453" ht="39.75" hidden="1" customHeight="1">
      <c r="A453" s="73" t="s">
        <v>1000</v>
      </c>
      <c r="B453" s="75" t="s">
        <v>71</v>
      </c>
      <c r="C453" s="73" t="s">
        <v>334</v>
      </c>
      <c r="D453" s="77">
        <v>3.0</v>
      </c>
      <c r="E453" s="77" t="s">
        <v>1398</v>
      </c>
      <c r="F453" s="77" t="s">
        <v>148</v>
      </c>
      <c r="G453" s="77" t="s">
        <v>149</v>
      </c>
      <c r="H453" s="77" t="s">
        <v>151</v>
      </c>
      <c r="I453" s="75"/>
      <c r="J453" s="81" t="s">
        <v>1399</v>
      </c>
      <c r="K453" s="45" t="s">
        <v>1400</v>
      </c>
      <c r="L453" s="149"/>
      <c r="M453" s="149"/>
      <c r="N453" s="157" t="s">
        <v>447</v>
      </c>
      <c r="O453" s="115" t="s">
        <v>198</v>
      </c>
      <c r="P453" s="151"/>
      <c r="Q453" s="44" t="s">
        <v>448</v>
      </c>
    </row>
    <row r="454" ht="39.75" hidden="1" customHeight="1">
      <c r="A454" s="94" t="s">
        <v>1024</v>
      </c>
      <c r="B454" s="96" t="s">
        <v>71</v>
      </c>
      <c r="C454" s="94" t="s">
        <v>334</v>
      </c>
      <c r="D454" s="97">
        <v>3.0</v>
      </c>
      <c r="E454" s="97" t="s">
        <v>1398</v>
      </c>
      <c r="F454" s="97" t="s">
        <v>148</v>
      </c>
      <c r="G454" s="97" t="s">
        <v>149</v>
      </c>
      <c r="H454" s="97" t="s">
        <v>151</v>
      </c>
      <c r="I454" s="96"/>
      <c r="J454" s="100" t="s">
        <v>1399</v>
      </c>
      <c r="K454" s="101" t="s">
        <v>1400</v>
      </c>
      <c r="L454" s="149"/>
      <c r="M454" s="149"/>
      <c r="N454" s="157" t="s">
        <v>447</v>
      </c>
      <c r="O454" s="124" t="s">
        <v>198</v>
      </c>
      <c r="P454" s="159"/>
      <c r="Q454" s="107" t="s">
        <v>448</v>
      </c>
    </row>
    <row r="455" ht="39.75" hidden="1" customHeight="1">
      <c r="A455" s="73" t="s">
        <v>1066</v>
      </c>
      <c r="B455" s="75" t="s">
        <v>71</v>
      </c>
      <c r="C455" s="73" t="s">
        <v>334</v>
      </c>
      <c r="D455" s="77">
        <v>3.0</v>
      </c>
      <c r="E455" s="77" t="s">
        <v>1398</v>
      </c>
      <c r="F455" s="77" t="s">
        <v>148</v>
      </c>
      <c r="G455" s="77" t="s">
        <v>149</v>
      </c>
      <c r="H455" s="77" t="s">
        <v>151</v>
      </c>
      <c r="I455" s="75"/>
      <c r="J455" s="81" t="s">
        <v>1399</v>
      </c>
      <c r="K455" s="45" t="s">
        <v>1400</v>
      </c>
      <c r="L455" s="149"/>
      <c r="M455" s="149"/>
      <c r="N455" s="157" t="s">
        <v>447</v>
      </c>
      <c r="O455" s="115" t="s">
        <v>198</v>
      </c>
      <c r="P455" s="151"/>
      <c r="Q455" s="44" t="s">
        <v>448</v>
      </c>
    </row>
    <row r="456" ht="39.75" hidden="1" customHeight="1">
      <c r="A456" s="94" t="s">
        <v>1089</v>
      </c>
      <c r="B456" s="96" t="s">
        <v>71</v>
      </c>
      <c r="C456" s="94" t="s">
        <v>334</v>
      </c>
      <c r="D456" s="97">
        <v>3.0</v>
      </c>
      <c r="E456" s="97" t="s">
        <v>1398</v>
      </c>
      <c r="F456" s="97" t="s">
        <v>148</v>
      </c>
      <c r="G456" s="97" t="s">
        <v>149</v>
      </c>
      <c r="H456" s="154" t="s">
        <v>466</v>
      </c>
      <c r="I456" s="96"/>
      <c r="J456" s="100" t="s">
        <v>1399</v>
      </c>
      <c r="K456" s="101" t="s">
        <v>1400</v>
      </c>
      <c r="L456" s="127" t="s">
        <v>64</v>
      </c>
      <c r="M456" s="49" t="s">
        <v>63</v>
      </c>
      <c r="N456" s="43" t="s">
        <v>55</v>
      </c>
      <c r="O456" s="105" t="s">
        <v>187</v>
      </c>
      <c r="P456" s="101" t="s">
        <v>1088</v>
      </c>
      <c r="Q456" s="107" t="s">
        <v>1090</v>
      </c>
    </row>
    <row r="457" ht="39.75" hidden="1" customHeight="1">
      <c r="A457" s="73" t="s">
        <v>1094</v>
      </c>
      <c r="B457" s="75" t="s">
        <v>71</v>
      </c>
      <c r="C457" s="73" t="s">
        <v>334</v>
      </c>
      <c r="D457" s="77">
        <v>3.0</v>
      </c>
      <c r="E457" s="77" t="s">
        <v>1398</v>
      </c>
      <c r="F457" s="77" t="s">
        <v>148</v>
      </c>
      <c r="G457" s="77" t="s">
        <v>149</v>
      </c>
      <c r="H457" s="77" t="s">
        <v>151</v>
      </c>
      <c r="I457" s="75"/>
      <c r="J457" s="81" t="s">
        <v>1399</v>
      </c>
      <c r="K457" s="45" t="s">
        <v>1400</v>
      </c>
      <c r="L457" s="149"/>
      <c r="M457" s="149"/>
      <c r="N457" s="157" t="s">
        <v>447</v>
      </c>
      <c r="O457" s="115" t="s">
        <v>198</v>
      </c>
      <c r="P457" s="151"/>
      <c r="Q457" s="44" t="s">
        <v>448</v>
      </c>
    </row>
    <row r="458" ht="39.75" hidden="1" customHeight="1">
      <c r="A458" s="94" t="s">
        <v>1116</v>
      </c>
      <c r="B458" s="96" t="s">
        <v>71</v>
      </c>
      <c r="C458" s="94" t="s">
        <v>334</v>
      </c>
      <c r="D458" s="97">
        <v>3.0</v>
      </c>
      <c r="E458" s="97" t="s">
        <v>1398</v>
      </c>
      <c r="F458" s="97" t="s">
        <v>148</v>
      </c>
      <c r="G458" s="97" t="s">
        <v>149</v>
      </c>
      <c r="H458" s="154" t="s">
        <v>466</v>
      </c>
      <c r="I458" s="96"/>
      <c r="J458" s="100" t="s">
        <v>1399</v>
      </c>
      <c r="K458" s="101" t="s">
        <v>1400</v>
      </c>
      <c r="L458" s="127" t="s">
        <v>64</v>
      </c>
      <c r="M458" s="169" t="s">
        <v>176</v>
      </c>
      <c r="N458" s="43" t="s">
        <v>55</v>
      </c>
      <c r="O458" s="105" t="s">
        <v>187</v>
      </c>
      <c r="P458" s="101" t="s">
        <v>1114</v>
      </c>
      <c r="Q458" s="107" t="s">
        <v>1117</v>
      </c>
    </row>
    <row r="459" ht="31.5" hidden="1" customHeight="1">
      <c r="A459" s="73" t="s">
        <v>1121</v>
      </c>
      <c r="B459" s="75" t="s">
        <v>71</v>
      </c>
      <c r="C459" s="73" t="s">
        <v>334</v>
      </c>
      <c r="D459" s="77">
        <v>3.0</v>
      </c>
      <c r="E459" s="77" t="s">
        <v>1398</v>
      </c>
      <c r="F459" s="77" t="s">
        <v>148</v>
      </c>
      <c r="G459" s="77" t="s">
        <v>149</v>
      </c>
      <c r="H459" s="158" t="s">
        <v>466</v>
      </c>
      <c r="I459" s="75"/>
      <c r="J459" s="81" t="s">
        <v>1399</v>
      </c>
      <c r="K459" s="45" t="s">
        <v>1400</v>
      </c>
      <c r="L459" s="88" t="s">
        <v>63</v>
      </c>
      <c r="M459" s="62" t="s">
        <v>92</v>
      </c>
      <c r="N459" s="43" t="s">
        <v>55</v>
      </c>
      <c r="O459" s="59" t="s">
        <v>187</v>
      </c>
      <c r="P459" s="45" t="s">
        <v>1120</v>
      </c>
      <c r="Q459" s="44" t="s">
        <v>1122</v>
      </c>
    </row>
    <row r="460" ht="39.75" hidden="1" customHeight="1">
      <c r="A460" s="94" t="s">
        <v>1132</v>
      </c>
      <c r="B460" s="96" t="s">
        <v>71</v>
      </c>
      <c r="C460" s="94" t="s">
        <v>334</v>
      </c>
      <c r="D460" s="97">
        <v>3.0</v>
      </c>
      <c r="E460" s="97" t="s">
        <v>1398</v>
      </c>
      <c r="F460" s="97" t="s">
        <v>148</v>
      </c>
      <c r="G460" s="97" t="s">
        <v>149</v>
      </c>
      <c r="H460" s="97" t="s">
        <v>151</v>
      </c>
      <c r="I460" s="96"/>
      <c r="J460" s="100" t="s">
        <v>1399</v>
      </c>
      <c r="K460" s="101" t="s">
        <v>1400</v>
      </c>
      <c r="L460" s="149"/>
      <c r="M460" s="149"/>
      <c r="N460" s="157" t="s">
        <v>447</v>
      </c>
      <c r="O460" s="124" t="s">
        <v>198</v>
      </c>
      <c r="P460" s="159"/>
      <c r="Q460" s="107" t="s">
        <v>448</v>
      </c>
    </row>
    <row r="461" ht="39.75" hidden="1" customHeight="1">
      <c r="A461" s="73" t="s">
        <v>1167</v>
      </c>
      <c r="B461" s="75" t="s">
        <v>71</v>
      </c>
      <c r="C461" s="73" t="s">
        <v>334</v>
      </c>
      <c r="D461" s="77">
        <v>3.0</v>
      </c>
      <c r="E461" s="77" t="s">
        <v>1398</v>
      </c>
      <c r="F461" s="77" t="s">
        <v>148</v>
      </c>
      <c r="G461" s="77" t="s">
        <v>149</v>
      </c>
      <c r="H461" s="77" t="s">
        <v>151</v>
      </c>
      <c r="I461" s="75"/>
      <c r="J461" s="81" t="s">
        <v>1399</v>
      </c>
      <c r="K461" s="45" t="s">
        <v>1400</v>
      </c>
      <c r="L461" s="149"/>
      <c r="M461" s="149"/>
      <c r="N461" s="157" t="s">
        <v>447</v>
      </c>
      <c r="O461" s="115" t="s">
        <v>198</v>
      </c>
      <c r="P461" s="151"/>
      <c r="Q461" s="44" t="s">
        <v>448</v>
      </c>
    </row>
    <row r="462" ht="39.75" hidden="1" customHeight="1">
      <c r="A462" s="94" t="s">
        <v>1168</v>
      </c>
      <c r="B462" s="96" t="s">
        <v>71</v>
      </c>
      <c r="C462" s="94" t="s">
        <v>334</v>
      </c>
      <c r="D462" s="97">
        <v>3.0</v>
      </c>
      <c r="E462" s="97" t="s">
        <v>1398</v>
      </c>
      <c r="F462" s="97" t="s">
        <v>148</v>
      </c>
      <c r="G462" s="97" t="s">
        <v>149</v>
      </c>
      <c r="H462" s="97" t="s">
        <v>151</v>
      </c>
      <c r="I462" s="96"/>
      <c r="J462" s="100" t="s">
        <v>1399</v>
      </c>
      <c r="K462" s="101" t="s">
        <v>1400</v>
      </c>
      <c r="L462" s="149"/>
      <c r="M462" s="149"/>
      <c r="N462" s="157" t="s">
        <v>447</v>
      </c>
      <c r="O462" s="124" t="s">
        <v>198</v>
      </c>
      <c r="P462" s="159"/>
      <c r="Q462" s="107" t="s">
        <v>448</v>
      </c>
    </row>
    <row r="463" ht="39.75" hidden="1" customHeight="1">
      <c r="A463" s="73" t="s">
        <v>1185</v>
      </c>
      <c r="B463" s="75" t="s">
        <v>71</v>
      </c>
      <c r="C463" s="73" t="s">
        <v>334</v>
      </c>
      <c r="D463" s="77">
        <v>3.0</v>
      </c>
      <c r="E463" s="77" t="s">
        <v>1398</v>
      </c>
      <c r="F463" s="77" t="s">
        <v>148</v>
      </c>
      <c r="G463" s="77" t="s">
        <v>149</v>
      </c>
      <c r="H463" s="77" t="s">
        <v>151</v>
      </c>
      <c r="I463" s="75"/>
      <c r="J463" s="81" t="s">
        <v>1399</v>
      </c>
      <c r="K463" s="45" t="s">
        <v>1400</v>
      </c>
      <c r="L463" s="149"/>
      <c r="M463" s="149"/>
      <c r="N463" s="157" t="s">
        <v>447</v>
      </c>
      <c r="O463" s="115" t="s">
        <v>198</v>
      </c>
      <c r="P463" s="151"/>
      <c r="Q463" s="44" t="s">
        <v>448</v>
      </c>
    </row>
    <row r="464" ht="39.75" hidden="1" customHeight="1">
      <c r="A464" s="94" t="s">
        <v>1188</v>
      </c>
      <c r="B464" s="96" t="s">
        <v>71</v>
      </c>
      <c r="C464" s="94" t="s">
        <v>334</v>
      </c>
      <c r="D464" s="97">
        <v>3.0</v>
      </c>
      <c r="E464" s="97" t="s">
        <v>1398</v>
      </c>
      <c r="F464" s="97" t="s">
        <v>148</v>
      </c>
      <c r="G464" s="97" t="s">
        <v>149</v>
      </c>
      <c r="H464" s="97" t="s">
        <v>151</v>
      </c>
      <c r="I464" s="96"/>
      <c r="J464" s="100" t="s">
        <v>1399</v>
      </c>
      <c r="K464" s="101" t="s">
        <v>1400</v>
      </c>
      <c r="L464" s="149"/>
      <c r="M464" s="149"/>
      <c r="N464" s="157" t="s">
        <v>447</v>
      </c>
      <c r="O464" s="124" t="s">
        <v>198</v>
      </c>
      <c r="P464" s="159"/>
      <c r="Q464" s="107" t="s">
        <v>448</v>
      </c>
    </row>
    <row r="465" ht="39.75" hidden="1" customHeight="1">
      <c r="A465" s="73" t="s">
        <v>998</v>
      </c>
      <c r="B465" s="75" t="s">
        <v>71</v>
      </c>
      <c r="C465" s="73" t="s">
        <v>334</v>
      </c>
      <c r="D465" s="77">
        <v>3.0</v>
      </c>
      <c r="E465" s="77" t="s">
        <v>1417</v>
      </c>
      <c r="F465" s="77" t="s">
        <v>148</v>
      </c>
      <c r="G465" s="77" t="s">
        <v>149</v>
      </c>
      <c r="H465" s="77" t="s">
        <v>151</v>
      </c>
      <c r="I465" s="75"/>
      <c r="J465" s="81" t="s">
        <v>1399</v>
      </c>
      <c r="K465" s="45" t="s">
        <v>1400</v>
      </c>
      <c r="L465" s="149"/>
      <c r="M465" s="149"/>
      <c r="N465" s="157" t="s">
        <v>447</v>
      </c>
      <c r="O465" s="115" t="s">
        <v>198</v>
      </c>
      <c r="P465" s="151"/>
      <c r="Q465" s="44" t="s">
        <v>448</v>
      </c>
    </row>
    <row r="466" ht="31.5" hidden="1" customHeight="1">
      <c r="A466" s="94" t="s">
        <v>1005</v>
      </c>
      <c r="B466" s="96" t="s">
        <v>71</v>
      </c>
      <c r="C466" s="94" t="s">
        <v>334</v>
      </c>
      <c r="D466" s="97">
        <v>3.0</v>
      </c>
      <c r="E466" s="97" t="s">
        <v>1417</v>
      </c>
      <c r="F466" s="97" t="s">
        <v>148</v>
      </c>
      <c r="G466" s="97" t="s">
        <v>149</v>
      </c>
      <c r="H466" s="97" t="s">
        <v>151</v>
      </c>
      <c r="I466" s="96"/>
      <c r="J466" s="100" t="s">
        <v>1399</v>
      </c>
      <c r="K466" s="101" t="s">
        <v>1400</v>
      </c>
      <c r="L466" s="127" t="s">
        <v>64</v>
      </c>
      <c r="M466" s="62" t="s">
        <v>92</v>
      </c>
      <c r="N466" s="43" t="s">
        <v>55</v>
      </c>
      <c r="O466" s="124" t="s">
        <v>163</v>
      </c>
      <c r="P466" s="101" t="s">
        <v>1008</v>
      </c>
      <c r="Q466" s="107" t="s">
        <v>1009</v>
      </c>
    </row>
    <row r="467" ht="39.75" hidden="1" customHeight="1">
      <c r="A467" s="73" t="s">
        <v>1050</v>
      </c>
      <c r="B467" s="75" t="s">
        <v>71</v>
      </c>
      <c r="C467" s="73" t="s">
        <v>334</v>
      </c>
      <c r="D467" s="77">
        <v>3.0</v>
      </c>
      <c r="E467" s="77" t="s">
        <v>1417</v>
      </c>
      <c r="F467" s="77" t="s">
        <v>148</v>
      </c>
      <c r="G467" s="77" t="s">
        <v>149</v>
      </c>
      <c r="H467" s="77" t="s">
        <v>151</v>
      </c>
      <c r="I467" s="75"/>
      <c r="J467" s="81" t="s">
        <v>1399</v>
      </c>
      <c r="K467" s="45" t="s">
        <v>1400</v>
      </c>
      <c r="L467" s="149"/>
      <c r="M467" s="149"/>
      <c r="N467" s="157" t="s">
        <v>447</v>
      </c>
      <c r="O467" s="115" t="s">
        <v>198</v>
      </c>
      <c r="P467" s="151"/>
      <c r="Q467" s="44" t="s">
        <v>448</v>
      </c>
    </row>
    <row r="468" ht="39.75" hidden="1" customHeight="1">
      <c r="A468" s="94" t="s">
        <v>1080</v>
      </c>
      <c r="B468" s="96" t="s">
        <v>71</v>
      </c>
      <c r="C468" s="94" t="s">
        <v>334</v>
      </c>
      <c r="D468" s="97">
        <v>3.0</v>
      </c>
      <c r="E468" s="97" t="s">
        <v>1417</v>
      </c>
      <c r="F468" s="97" t="s">
        <v>148</v>
      </c>
      <c r="G468" s="97" t="s">
        <v>149</v>
      </c>
      <c r="H468" s="97" t="s">
        <v>151</v>
      </c>
      <c r="I468" s="96"/>
      <c r="J468" s="100" t="s">
        <v>1399</v>
      </c>
      <c r="K468" s="101" t="s">
        <v>1400</v>
      </c>
      <c r="L468" s="149"/>
      <c r="M468" s="149"/>
      <c r="N468" s="157" t="s">
        <v>447</v>
      </c>
      <c r="O468" s="124" t="s">
        <v>198</v>
      </c>
      <c r="P468" s="159"/>
      <c r="Q468" s="107" t="s">
        <v>448</v>
      </c>
    </row>
    <row r="469" ht="39.75" hidden="1" customHeight="1">
      <c r="A469" s="73" t="s">
        <v>1111</v>
      </c>
      <c r="B469" s="75" t="s">
        <v>71</v>
      </c>
      <c r="C469" s="73" t="s">
        <v>334</v>
      </c>
      <c r="D469" s="77">
        <v>3.0</v>
      </c>
      <c r="E469" s="77" t="s">
        <v>1417</v>
      </c>
      <c r="F469" s="77" t="s">
        <v>148</v>
      </c>
      <c r="G469" s="77" t="s">
        <v>149</v>
      </c>
      <c r="H469" s="77" t="s">
        <v>151</v>
      </c>
      <c r="I469" s="75"/>
      <c r="J469" s="81" t="s">
        <v>1399</v>
      </c>
      <c r="K469" s="45" t="s">
        <v>1400</v>
      </c>
      <c r="L469" s="149"/>
      <c r="M469" s="149"/>
      <c r="N469" s="157" t="s">
        <v>447</v>
      </c>
      <c r="O469" s="115" t="s">
        <v>198</v>
      </c>
      <c r="P469" s="151"/>
      <c r="Q469" s="44" t="s">
        <v>448</v>
      </c>
    </row>
    <row r="470" ht="31.5" hidden="1" customHeight="1">
      <c r="A470" s="94" t="s">
        <v>1137</v>
      </c>
      <c r="B470" s="96" t="s">
        <v>71</v>
      </c>
      <c r="C470" s="94" t="s">
        <v>334</v>
      </c>
      <c r="D470" s="97">
        <v>3.0</v>
      </c>
      <c r="E470" s="97" t="s">
        <v>1417</v>
      </c>
      <c r="F470" s="97" t="s">
        <v>148</v>
      </c>
      <c r="G470" s="97" t="s">
        <v>149</v>
      </c>
      <c r="H470" s="97" t="s">
        <v>151</v>
      </c>
      <c r="I470" s="96"/>
      <c r="J470" s="100" t="s">
        <v>1399</v>
      </c>
      <c r="K470" s="101" t="s">
        <v>1400</v>
      </c>
      <c r="L470" s="127" t="s">
        <v>64</v>
      </c>
      <c r="M470" s="86" t="s">
        <v>164</v>
      </c>
      <c r="N470" s="43" t="s">
        <v>55</v>
      </c>
      <c r="O470" s="124" t="s">
        <v>163</v>
      </c>
      <c r="P470" s="101" t="s">
        <v>1139</v>
      </c>
      <c r="Q470" s="107"/>
    </row>
    <row r="471" ht="31.5" hidden="1" customHeight="1">
      <c r="A471" s="73" t="s">
        <v>1158</v>
      </c>
      <c r="B471" s="75" t="s">
        <v>71</v>
      </c>
      <c r="C471" s="73" t="s">
        <v>334</v>
      </c>
      <c r="D471" s="77">
        <v>3.0</v>
      </c>
      <c r="E471" s="77" t="s">
        <v>1417</v>
      </c>
      <c r="F471" s="77" t="s">
        <v>148</v>
      </c>
      <c r="G471" s="77" t="s">
        <v>149</v>
      </c>
      <c r="H471" s="77" t="s">
        <v>151</v>
      </c>
      <c r="I471" s="75"/>
      <c r="J471" s="81" t="s">
        <v>1399</v>
      </c>
      <c r="K471" s="45" t="s">
        <v>1400</v>
      </c>
      <c r="L471" s="88" t="s">
        <v>63</v>
      </c>
      <c r="M471" s="86" t="s">
        <v>164</v>
      </c>
      <c r="N471" s="43" t="s">
        <v>55</v>
      </c>
      <c r="O471" s="115" t="s">
        <v>163</v>
      </c>
      <c r="P471" s="45" t="s">
        <v>1161</v>
      </c>
      <c r="Q471" s="44"/>
    </row>
    <row r="472" ht="39.75" hidden="1" customHeight="1">
      <c r="A472" s="94" t="s">
        <v>1166</v>
      </c>
      <c r="B472" s="96" t="s">
        <v>71</v>
      </c>
      <c r="C472" s="94" t="s">
        <v>334</v>
      </c>
      <c r="D472" s="97">
        <v>3.0</v>
      </c>
      <c r="E472" s="97" t="s">
        <v>1417</v>
      </c>
      <c r="F472" s="97" t="s">
        <v>148</v>
      </c>
      <c r="G472" s="97" t="s">
        <v>149</v>
      </c>
      <c r="H472" s="97" t="s">
        <v>151</v>
      </c>
      <c r="I472" s="96"/>
      <c r="J472" s="100" t="s">
        <v>1399</v>
      </c>
      <c r="K472" s="101" t="s">
        <v>1400</v>
      </c>
      <c r="L472" s="149"/>
      <c r="M472" s="149"/>
      <c r="N472" s="157" t="s">
        <v>447</v>
      </c>
      <c r="O472" s="124" t="s">
        <v>198</v>
      </c>
      <c r="P472" s="159"/>
      <c r="Q472" s="107" t="s">
        <v>448</v>
      </c>
    </row>
    <row r="473" ht="39.75" hidden="1" customHeight="1">
      <c r="A473" s="73" t="s">
        <v>1173</v>
      </c>
      <c r="B473" s="75" t="s">
        <v>71</v>
      </c>
      <c r="C473" s="73" t="s">
        <v>334</v>
      </c>
      <c r="D473" s="77">
        <v>3.0</v>
      </c>
      <c r="E473" s="77" t="s">
        <v>1417</v>
      </c>
      <c r="F473" s="77" t="s">
        <v>148</v>
      </c>
      <c r="G473" s="77" t="s">
        <v>149</v>
      </c>
      <c r="H473" s="77" t="s">
        <v>151</v>
      </c>
      <c r="I473" s="75"/>
      <c r="J473" s="81" t="s">
        <v>1399</v>
      </c>
      <c r="K473" s="45" t="s">
        <v>1400</v>
      </c>
      <c r="L473" s="149"/>
      <c r="M473" s="149"/>
      <c r="N473" s="157" t="s">
        <v>447</v>
      </c>
      <c r="O473" s="115" t="s">
        <v>198</v>
      </c>
      <c r="P473" s="151"/>
      <c r="Q473" s="44" t="s">
        <v>448</v>
      </c>
    </row>
    <row r="474" ht="39.75" hidden="1" customHeight="1">
      <c r="A474" s="94" t="s">
        <v>1223</v>
      </c>
      <c r="B474" s="96" t="s">
        <v>71</v>
      </c>
      <c r="C474" s="94" t="s">
        <v>334</v>
      </c>
      <c r="D474" s="97">
        <v>3.0</v>
      </c>
      <c r="E474" s="97" t="s">
        <v>1417</v>
      </c>
      <c r="F474" s="97" t="s">
        <v>148</v>
      </c>
      <c r="G474" s="97" t="s">
        <v>149</v>
      </c>
      <c r="H474" s="97" t="s">
        <v>151</v>
      </c>
      <c r="I474" s="96"/>
      <c r="J474" s="100" t="s">
        <v>1399</v>
      </c>
      <c r="K474" s="101" t="s">
        <v>1400</v>
      </c>
      <c r="L474" s="149"/>
      <c r="M474" s="149"/>
      <c r="N474" s="157" t="s">
        <v>447</v>
      </c>
      <c r="O474" s="124" t="s">
        <v>198</v>
      </c>
      <c r="P474" s="159"/>
      <c r="Q474" s="107" t="s">
        <v>448</v>
      </c>
    </row>
    <row r="475" ht="39.75" hidden="1" customHeight="1">
      <c r="A475" s="73" t="s">
        <v>1239</v>
      </c>
      <c r="B475" s="75" t="s">
        <v>71</v>
      </c>
      <c r="C475" s="73" t="s">
        <v>334</v>
      </c>
      <c r="D475" s="77">
        <v>3.0</v>
      </c>
      <c r="E475" s="77" t="s">
        <v>1417</v>
      </c>
      <c r="F475" s="77" t="s">
        <v>148</v>
      </c>
      <c r="G475" s="77" t="s">
        <v>149</v>
      </c>
      <c r="H475" s="158" t="s">
        <v>466</v>
      </c>
      <c r="I475" s="75"/>
      <c r="J475" s="81" t="s">
        <v>1399</v>
      </c>
      <c r="K475" s="45" t="s">
        <v>1400</v>
      </c>
      <c r="L475" s="127" t="s">
        <v>64</v>
      </c>
      <c r="M475" s="62" t="s">
        <v>92</v>
      </c>
      <c r="N475" s="43" t="s">
        <v>55</v>
      </c>
      <c r="O475" s="59" t="s">
        <v>187</v>
      </c>
      <c r="P475" s="45" t="s">
        <v>1157</v>
      </c>
      <c r="Q475" s="44" t="s">
        <v>1240</v>
      </c>
    </row>
    <row r="476" ht="39.75" hidden="1" customHeight="1">
      <c r="A476" s="94" t="s">
        <v>1251</v>
      </c>
      <c r="B476" s="96" t="s">
        <v>71</v>
      </c>
      <c r="C476" s="94" t="s">
        <v>334</v>
      </c>
      <c r="D476" s="97">
        <v>3.0</v>
      </c>
      <c r="E476" s="97" t="s">
        <v>1417</v>
      </c>
      <c r="F476" s="97" t="s">
        <v>148</v>
      </c>
      <c r="G476" s="97" t="s">
        <v>149</v>
      </c>
      <c r="H476" s="97" t="s">
        <v>151</v>
      </c>
      <c r="I476" s="96"/>
      <c r="J476" s="100" t="s">
        <v>1399</v>
      </c>
      <c r="K476" s="101" t="s">
        <v>1400</v>
      </c>
      <c r="L476" s="149"/>
      <c r="M476" s="149"/>
      <c r="N476" s="157" t="s">
        <v>447</v>
      </c>
      <c r="O476" s="124" t="s">
        <v>198</v>
      </c>
      <c r="P476" s="159"/>
      <c r="Q476" s="107" t="s">
        <v>448</v>
      </c>
    </row>
    <row r="477" ht="39.75" hidden="1" customHeight="1">
      <c r="A477" s="73" t="s">
        <v>1031</v>
      </c>
      <c r="B477" s="75" t="s">
        <v>71</v>
      </c>
      <c r="C477" s="73" t="s">
        <v>334</v>
      </c>
      <c r="D477" s="77">
        <v>3.0</v>
      </c>
      <c r="E477" s="77" t="s">
        <v>1463</v>
      </c>
      <c r="F477" s="77" t="s">
        <v>148</v>
      </c>
      <c r="G477" s="77" t="s">
        <v>149</v>
      </c>
      <c r="H477" s="77" t="s">
        <v>151</v>
      </c>
      <c r="I477" s="75"/>
      <c r="J477" s="81" t="s">
        <v>1399</v>
      </c>
      <c r="K477" s="45" t="s">
        <v>1400</v>
      </c>
      <c r="L477" s="149"/>
      <c r="M477" s="149"/>
      <c r="N477" s="157" t="s">
        <v>447</v>
      </c>
      <c r="O477" s="115" t="s">
        <v>198</v>
      </c>
      <c r="P477" s="151"/>
      <c r="Q477" s="44" t="s">
        <v>448</v>
      </c>
    </row>
    <row r="478" ht="39.75" hidden="1" customHeight="1">
      <c r="A478" s="94" t="s">
        <v>1067</v>
      </c>
      <c r="B478" s="96" t="s">
        <v>71</v>
      </c>
      <c r="C478" s="94" t="s">
        <v>334</v>
      </c>
      <c r="D478" s="97">
        <v>3.0</v>
      </c>
      <c r="E478" s="97" t="s">
        <v>1463</v>
      </c>
      <c r="F478" s="97" t="s">
        <v>148</v>
      </c>
      <c r="G478" s="97" t="s">
        <v>149</v>
      </c>
      <c r="H478" s="97" t="s">
        <v>151</v>
      </c>
      <c r="I478" s="96"/>
      <c r="J478" s="100" t="s">
        <v>1399</v>
      </c>
      <c r="K478" s="101" t="s">
        <v>1400</v>
      </c>
      <c r="L478" s="149"/>
      <c r="M478" s="149"/>
      <c r="N478" s="157" t="s">
        <v>447</v>
      </c>
      <c r="O478" s="124" t="s">
        <v>198</v>
      </c>
      <c r="P478" s="159"/>
      <c r="Q478" s="107" t="s">
        <v>448</v>
      </c>
    </row>
    <row r="479" ht="39.75" hidden="1" customHeight="1">
      <c r="A479" s="73" t="s">
        <v>1084</v>
      </c>
      <c r="B479" s="75" t="s">
        <v>71</v>
      </c>
      <c r="C479" s="73" t="s">
        <v>334</v>
      </c>
      <c r="D479" s="77">
        <v>3.0</v>
      </c>
      <c r="E479" s="77" t="s">
        <v>1463</v>
      </c>
      <c r="F479" s="77" t="s">
        <v>148</v>
      </c>
      <c r="G479" s="77" t="s">
        <v>149</v>
      </c>
      <c r="H479" s="77" t="s">
        <v>151</v>
      </c>
      <c r="I479" s="75"/>
      <c r="J479" s="81" t="s">
        <v>1399</v>
      </c>
      <c r="K479" s="45" t="s">
        <v>1400</v>
      </c>
      <c r="L479" s="149"/>
      <c r="M479" s="149"/>
      <c r="N479" s="157" t="s">
        <v>447</v>
      </c>
      <c r="O479" s="115" t="s">
        <v>198</v>
      </c>
      <c r="P479" s="151"/>
      <c r="Q479" s="44" t="s">
        <v>448</v>
      </c>
    </row>
    <row r="480" ht="39.75" hidden="1" customHeight="1">
      <c r="A480" s="94" t="s">
        <v>1124</v>
      </c>
      <c r="B480" s="96" t="s">
        <v>71</v>
      </c>
      <c r="C480" s="94" t="s">
        <v>334</v>
      </c>
      <c r="D480" s="97">
        <v>3.0</v>
      </c>
      <c r="E480" s="97" t="s">
        <v>1463</v>
      </c>
      <c r="F480" s="97" t="s">
        <v>148</v>
      </c>
      <c r="G480" s="97" t="s">
        <v>149</v>
      </c>
      <c r="H480" s="97" t="s">
        <v>151</v>
      </c>
      <c r="I480" s="96"/>
      <c r="J480" s="100" t="s">
        <v>1399</v>
      </c>
      <c r="K480" s="101" t="s">
        <v>1400</v>
      </c>
      <c r="L480" s="149"/>
      <c r="M480" s="149"/>
      <c r="N480" s="157" t="s">
        <v>447</v>
      </c>
      <c r="O480" s="124" t="s">
        <v>198</v>
      </c>
      <c r="P480" s="159"/>
      <c r="Q480" s="107" t="s">
        <v>448</v>
      </c>
    </row>
    <row r="481" ht="39.75" hidden="1" customHeight="1">
      <c r="A481" s="73" t="s">
        <v>1154</v>
      </c>
      <c r="B481" s="75" t="s">
        <v>71</v>
      </c>
      <c r="C481" s="73" t="s">
        <v>334</v>
      </c>
      <c r="D481" s="77">
        <v>3.0</v>
      </c>
      <c r="E481" s="77" t="s">
        <v>1463</v>
      </c>
      <c r="F481" s="77" t="s">
        <v>148</v>
      </c>
      <c r="G481" s="77" t="s">
        <v>149</v>
      </c>
      <c r="H481" s="77" t="s">
        <v>151</v>
      </c>
      <c r="I481" s="75"/>
      <c r="J481" s="81" t="s">
        <v>1399</v>
      </c>
      <c r="K481" s="45" t="s">
        <v>1400</v>
      </c>
      <c r="L481" s="149"/>
      <c r="M481" s="149"/>
      <c r="N481" s="157" t="s">
        <v>447</v>
      </c>
      <c r="O481" s="115" t="s">
        <v>198</v>
      </c>
      <c r="P481" s="151"/>
      <c r="Q481" s="44" t="s">
        <v>448</v>
      </c>
    </row>
    <row r="482" ht="39.75" hidden="1" customHeight="1">
      <c r="A482" s="94" t="s">
        <v>1164</v>
      </c>
      <c r="B482" s="96" t="s">
        <v>71</v>
      </c>
      <c r="C482" s="94" t="s">
        <v>334</v>
      </c>
      <c r="D482" s="97">
        <v>3.0</v>
      </c>
      <c r="E482" s="97" t="s">
        <v>1463</v>
      </c>
      <c r="F482" s="97" t="s">
        <v>148</v>
      </c>
      <c r="G482" s="97" t="s">
        <v>149</v>
      </c>
      <c r="H482" s="97" t="s">
        <v>151</v>
      </c>
      <c r="I482" s="96"/>
      <c r="J482" s="100" t="s">
        <v>1399</v>
      </c>
      <c r="K482" s="101" t="s">
        <v>1400</v>
      </c>
      <c r="L482" s="149"/>
      <c r="M482" s="149"/>
      <c r="N482" s="157" t="s">
        <v>447</v>
      </c>
      <c r="O482" s="124" t="s">
        <v>198</v>
      </c>
      <c r="P482" s="159"/>
      <c r="Q482" s="107" t="s">
        <v>448</v>
      </c>
    </row>
    <row r="483" ht="39.75" hidden="1" customHeight="1">
      <c r="A483" s="73" t="s">
        <v>1180</v>
      </c>
      <c r="B483" s="75" t="s">
        <v>71</v>
      </c>
      <c r="C483" s="73" t="s">
        <v>334</v>
      </c>
      <c r="D483" s="77">
        <v>3.0</v>
      </c>
      <c r="E483" s="77" t="s">
        <v>1463</v>
      </c>
      <c r="F483" s="77" t="s">
        <v>148</v>
      </c>
      <c r="G483" s="77" t="s">
        <v>149</v>
      </c>
      <c r="H483" s="158" t="s">
        <v>466</v>
      </c>
      <c r="I483" s="75"/>
      <c r="J483" s="81" t="s">
        <v>1399</v>
      </c>
      <c r="K483" s="45" t="s">
        <v>1400</v>
      </c>
      <c r="L483" s="127" t="s">
        <v>64</v>
      </c>
      <c r="M483" s="152" t="s">
        <v>218</v>
      </c>
      <c r="N483" s="43" t="s">
        <v>55</v>
      </c>
      <c r="O483" s="59" t="s">
        <v>187</v>
      </c>
      <c r="P483" s="45" t="s">
        <v>1178</v>
      </c>
      <c r="Q483" s="44" t="s">
        <v>1181</v>
      </c>
    </row>
    <row r="484" ht="39.75" hidden="1" customHeight="1">
      <c r="A484" s="94" t="s">
        <v>1187</v>
      </c>
      <c r="B484" s="96" t="s">
        <v>71</v>
      </c>
      <c r="C484" s="94" t="s">
        <v>334</v>
      </c>
      <c r="D484" s="97">
        <v>3.0</v>
      </c>
      <c r="E484" s="97" t="s">
        <v>1463</v>
      </c>
      <c r="F484" s="97" t="s">
        <v>148</v>
      </c>
      <c r="G484" s="97" t="s">
        <v>149</v>
      </c>
      <c r="H484" s="97" t="s">
        <v>151</v>
      </c>
      <c r="I484" s="96"/>
      <c r="J484" s="100" t="s">
        <v>1399</v>
      </c>
      <c r="K484" s="101" t="s">
        <v>1400</v>
      </c>
      <c r="L484" s="149"/>
      <c r="M484" s="149"/>
      <c r="N484" s="157" t="s">
        <v>447</v>
      </c>
      <c r="O484" s="124" t="s">
        <v>198</v>
      </c>
      <c r="P484" s="159"/>
      <c r="Q484" s="107" t="s">
        <v>448</v>
      </c>
    </row>
    <row r="485" ht="39.75" hidden="1" customHeight="1">
      <c r="A485" s="73" t="s">
        <v>1214</v>
      </c>
      <c r="B485" s="75" t="s">
        <v>71</v>
      </c>
      <c r="C485" s="73" t="s">
        <v>334</v>
      </c>
      <c r="D485" s="77">
        <v>3.0</v>
      </c>
      <c r="E485" s="77" t="s">
        <v>1463</v>
      </c>
      <c r="F485" s="77" t="s">
        <v>148</v>
      </c>
      <c r="G485" s="77" t="s">
        <v>149</v>
      </c>
      <c r="H485" s="77" t="s">
        <v>151</v>
      </c>
      <c r="I485" s="75"/>
      <c r="J485" s="81" t="s">
        <v>1399</v>
      </c>
      <c r="K485" s="45" t="s">
        <v>1400</v>
      </c>
      <c r="L485" s="149"/>
      <c r="M485" s="149"/>
      <c r="N485" s="157" t="s">
        <v>447</v>
      </c>
      <c r="O485" s="115" t="s">
        <v>198</v>
      </c>
      <c r="P485" s="151"/>
      <c r="Q485" s="44" t="s">
        <v>448</v>
      </c>
    </row>
    <row r="486" ht="31.5" hidden="1" customHeight="1">
      <c r="A486" s="94" t="s">
        <v>1219</v>
      </c>
      <c r="B486" s="96" t="s">
        <v>71</v>
      </c>
      <c r="C486" s="94" t="s">
        <v>334</v>
      </c>
      <c r="D486" s="97">
        <v>3.0</v>
      </c>
      <c r="E486" s="97" t="s">
        <v>1463</v>
      </c>
      <c r="F486" s="97" t="s">
        <v>148</v>
      </c>
      <c r="G486" s="97" t="s">
        <v>149</v>
      </c>
      <c r="H486" s="97" t="s">
        <v>151</v>
      </c>
      <c r="I486" s="96"/>
      <c r="J486" s="100" t="s">
        <v>1399</v>
      </c>
      <c r="K486" s="101" t="s">
        <v>1400</v>
      </c>
      <c r="L486" s="127" t="s">
        <v>64</v>
      </c>
      <c r="M486" s="86" t="s">
        <v>164</v>
      </c>
      <c r="N486" s="43" t="s">
        <v>55</v>
      </c>
      <c r="O486" s="124" t="s">
        <v>163</v>
      </c>
      <c r="P486" s="101" t="s">
        <v>1222</v>
      </c>
      <c r="Q486" s="107"/>
    </row>
    <row r="487" ht="39.75" hidden="1" customHeight="1">
      <c r="A487" s="73" t="s">
        <v>1233</v>
      </c>
      <c r="B487" s="75" t="s">
        <v>71</v>
      </c>
      <c r="C487" s="73" t="s">
        <v>334</v>
      </c>
      <c r="D487" s="77">
        <v>3.0</v>
      </c>
      <c r="E487" s="77" t="s">
        <v>1463</v>
      </c>
      <c r="F487" s="77" t="s">
        <v>148</v>
      </c>
      <c r="G487" s="77" t="s">
        <v>149</v>
      </c>
      <c r="H487" s="77" t="s">
        <v>151</v>
      </c>
      <c r="I487" s="75"/>
      <c r="J487" s="81" t="s">
        <v>1399</v>
      </c>
      <c r="K487" s="45" t="s">
        <v>1400</v>
      </c>
      <c r="L487" s="149"/>
      <c r="M487" s="149"/>
      <c r="N487" s="157" t="s">
        <v>447</v>
      </c>
      <c r="O487" s="115" t="s">
        <v>198</v>
      </c>
      <c r="P487" s="151"/>
      <c r="Q487" s="44" t="s">
        <v>448</v>
      </c>
    </row>
    <row r="488" ht="39.75" hidden="1" customHeight="1">
      <c r="A488" s="94" t="s">
        <v>1244</v>
      </c>
      <c r="B488" s="96" t="s">
        <v>71</v>
      </c>
      <c r="C488" s="94" t="s">
        <v>334</v>
      </c>
      <c r="D488" s="97">
        <v>3.0</v>
      </c>
      <c r="E488" s="97" t="s">
        <v>1463</v>
      </c>
      <c r="F488" s="97" t="s">
        <v>148</v>
      </c>
      <c r="G488" s="97" t="s">
        <v>149</v>
      </c>
      <c r="H488" s="97" t="s">
        <v>151</v>
      </c>
      <c r="I488" s="96"/>
      <c r="J488" s="100" t="s">
        <v>1399</v>
      </c>
      <c r="K488" s="101" t="s">
        <v>1400</v>
      </c>
      <c r="L488" s="149"/>
      <c r="M488" s="149"/>
      <c r="N488" s="157" t="s">
        <v>447</v>
      </c>
      <c r="O488" s="124" t="s">
        <v>198</v>
      </c>
      <c r="P488" s="159"/>
      <c r="Q488" s="107" t="s">
        <v>448</v>
      </c>
    </row>
    <row r="489" ht="39.75" hidden="1" customHeight="1">
      <c r="A489" s="73" t="s">
        <v>999</v>
      </c>
      <c r="B489" s="75" t="s">
        <v>71</v>
      </c>
      <c r="C489" s="73" t="s">
        <v>334</v>
      </c>
      <c r="D489" s="77">
        <v>3.0</v>
      </c>
      <c r="E489" s="77" t="s">
        <v>1503</v>
      </c>
      <c r="F489" s="77" t="s">
        <v>148</v>
      </c>
      <c r="G489" s="77" t="s">
        <v>149</v>
      </c>
      <c r="H489" s="77" t="s">
        <v>151</v>
      </c>
      <c r="I489" s="75"/>
      <c r="J489" s="81" t="s">
        <v>1399</v>
      </c>
      <c r="K489" s="45" t="s">
        <v>1400</v>
      </c>
      <c r="L489" s="149"/>
      <c r="M489" s="149"/>
      <c r="N489" s="157" t="s">
        <v>447</v>
      </c>
      <c r="O489" s="115" t="s">
        <v>198</v>
      </c>
      <c r="P489" s="151"/>
      <c r="Q489" s="44" t="s">
        <v>448</v>
      </c>
    </row>
    <row r="490" ht="39.75" hidden="1" customHeight="1">
      <c r="A490" s="94" t="s">
        <v>1017</v>
      </c>
      <c r="B490" s="96" t="s">
        <v>71</v>
      </c>
      <c r="C490" s="94" t="s">
        <v>334</v>
      </c>
      <c r="D490" s="97">
        <v>3.0</v>
      </c>
      <c r="E490" s="97" t="s">
        <v>1503</v>
      </c>
      <c r="F490" s="97" t="s">
        <v>148</v>
      </c>
      <c r="G490" s="97" t="s">
        <v>149</v>
      </c>
      <c r="H490" s="97" t="s">
        <v>151</v>
      </c>
      <c r="I490" s="96"/>
      <c r="J490" s="100" t="s">
        <v>1399</v>
      </c>
      <c r="K490" s="101" t="s">
        <v>1400</v>
      </c>
      <c r="L490" s="149"/>
      <c r="M490" s="149"/>
      <c r="N490" s="157" t="s">
        <v>447</v>
      </c>
      <c r="O490" s="124" t="s">
        <v>198</v>
      </c>
      <c r="P490" s="159"/>
      <c r="Q490" s="107" t="s">
        <v>448</v>
      </c>
    </row>
    <row r="491" ht="39.75" hidden="1" customHeight="1">
      <c r="A491" s="73" t="s">
        <v>1040</v>
      </c>
      <c r="B491" s="75" t="s">
        <v>71</v>
      </c>
      <c r="C491" s="73" t="s">
        <v>334</v>
      </c>
      <c r="D491" s="77">
        <v>3.0</v>
      </c>
      <c r="E491" s="77" t="s">
        <v>1503</v>
      </c>
      <c r="F491" s="77" t="s">
        <v>148</v>
      </c>
      <c r="G491" s="77" t="s">
        <v>149</v>
      </c>
      <c r="H491" s="77" t="s">
        <v>151</v>
      </c>
      <c r="I491" s="75"/>
      <c r="J491" s="81" t="s">
        <v>1399</v>
      </c>
      <c r="K491" s="45" t="s">
        <v>1400</v>
      </c>
      <c r="L491" s="149"/>
      <c r="M491" s="149"/>
      <c r="N491" s="157" t="s">
        <v>447</v>
      </c>
      <c r="O491" s="115" t="s">
        <v>198</v>
      </c>
      <c r="P491" s="151"/>
      <c r="Q491" s="44" t="s">
        <v>448</v>
      </c>
    </row>
    <row r="492" ht="39.75" hidden="1" customHeight="1">
      <c r="A492" s="94" t="s">
        <v>1073</v>
      </c>
      <c r="B492" s="96" t="s">
        <v>71</v>
      </c>
      <c r="C492" s="94" t="s">
        <v>334</v>
      </c>
      <c r="D492" s="97">
        <v>3.0</v>
      </c>
      <c r="E492" s="97" t="s">
        <v>1503</v>
      </c>
      <c r="F492" s="97" t="s">
        <v>148</v>
      </c>
      <c r="G492" s="97" t="s">
        <v>149</v>
      </c>
      <c r="H492" s="97" t="s">
        <v>151</v>
      </c>
      <c r="I492" s="96"/>
      <c r="J492" s="100" t="s">
        <v>1399</v>
      </c>
      <c r="K492" s="101" t="s">
        <v>1400</v>
      </c>
      <c r="L492" s="149"/>
      <c r="M492" s="149"/>
      <c r="N492" s="157" t="s">
        <v>447</v>
      </c>
      <c r="O492" s="124" t="s">
        <v>198</v>
      </c>
      <c r="P492" s="159"/>
      <c r="Q492" s="107" t="s">
        <v>448</v>
      </c>
    </row>
    <row r="493" ht="39.75" hidden="1" customHeight="1">
      <c r="A493" s="73" t="s">
        <v>1148</v>
      </c>
      <c r="B493" s="75" t="s">
        <v>71</v>
      </c>
      <c r="C493" s="73" t="s">
        <v>334</v>
      </c>
      <c r="D493" s="77">
        <v>3.0</v>
      </c>
      <c r="E493" s="77" t="s">
        <v>1503</v>
      </c>
      <c r="F493" s="77" t="s">
        <v>148</v>
      </c>
      <c r="G493" s="77" t="s">
        <v>149</v>
      </c>
      <c r="H493" s="77" t="s">
        <v>151</v>
      </c>
      <c r="I493" s="75"/>
      <c r="J493" s="81" t="s">
        <v>1399</v>
      </c>
      <c r="K493" s="45" t="s">
        <v>1400</v>
      </c>
      <c r="L493" s="149"/>
      <c r="M493" s="149"/>
      <c r="N493" s="157" t="s">
        <v>447</v>
      </c>
      <c r="O493" s="115" t="s">
        <v>198</v>
      </c>
      <c r="P493" s="151"/>
      <c r="Q493" s="44" t="s">
        <v>448</v>
      </c>
    </row>
    <row r="494" ht="39.75" hidden="1" customHeight="1">
      <c r="A494" s="94" t="s">
        <v>1156</v>
      </c>
      <c r="B494" s="96" t="s">
        <v>71</v>
      </c>
      <c r="C494" s="94" t="s">
        <v>334</v>
      </c>
      <c r="D494" s="97">
        <v>3.0</v>
      </c>
      <c r="E494" s="97" t="s">
        <v>1503</v>
      </c>
      <c r="F494" s="97" t="s">
        <v>148</v>
      </c>
      <c r="G494" s="97" t="s">
        <v>149</v>
      </c>
      <c r="H494" s="97" t="s">
        <v>151</v>
      </c>
      <c r="I494" s="96"/>
      <c r="J494" s="100" t="s">
        <v>1399</v>
      </c>
      <c r="K494" s="101" t="s">
        <v>1400</v>
      </c>
      <c r="L494" s="149"/>
      <c r="M494" s="149"/>
      <c r="N494" s="157" t="s">
        <v>447</v>
      </c>
      <c r="O494" s="124" t="s">
        <v>198</v>
      </c>
      <c r="P494" s="159"/>
      <c r="Q494" s="107" t="s">
        <v>448</v>
      </c>
    </row>
    <row r="495" ht="39.75" hidden="1" customHeight="1">
      <c r="A495" s="73" t="s">
        <v>1199</v>
      </c>
      <c r="B495" s="75" t="s">
        <v>71</v>
      </c>
      <c r="C495" s="73" t="s">
        <v>334</v>
      </c>
      <c r="D495" s="77">
        <v>3.0</v>
      </c>
      <c r="E495" s="77" t="s">
        <v>1503</v>
      </c>
      <c r="F495" s="77" t="s">
        <v>148</v>
      </c>
      <c r="G495" s="77" t="s">
        <v>149</v>
      </c>
      <c r="H495" s="77" t="s">
        <v>151</v>
      </c>
      <c r="I495" s="75"/>
      <c r="J495" s="81" t="s">
        <v>1399</v>
      </c>
      <c r="K495" s="45" t="s">
        <v>1400</v>
      </c>
      <c r="L495" s="149"/>
      <c r="M495" s="149"/>
      <c r="N495" s="157" t="s">
        <v>447</v>
      </c>
      <c r="O495" s="115" t="s">
        <v>198</v>
      </c>
      <c r="P495" s="151"/>
      <c r="Q495" s="44" t="s">
        <v>448</v>
      </c>
    </row>
    <row r="496" ht="39.75" hidden="1" customHeight="1">
      <c r="A496" s="94" t="s">
        <v>1210</v>
      </c>
      <c r="B496" s="96" t="s">
        <v>71</v>
      </c>
      <c r="C496" s="94" t="s">
        <v>334</v>
      </c>
      <c r="D496" s="97">
        <v>3.0</v>
      </c>
      <c r="E496" s="97" t="s">
        <v>1503</v>
      </c>
      <c r="F496" s="97" t="s">
        <v>148</v>
      </c>
      <c r="G496" s="97" t="s">
        <v>149</v>
      </c>
      <c r="H496" s="97" t="s">
        <v>151</v>
      </c>
      <c r="I496" s="96"/>
      <c r="J496" s="100" t="s">
        <v>1399</v>
      </c>
      <c r="K496" s="101" t="s">
        <v>1400</v>
      </c>
      <c r="L496" s="149"/>
      <c r="M496" s="149"/>
      <c r="N496" s="157" t="s">
        <v>447</v>
      </c>
      <c r="O496" s="124" t="s">
        <v>198</v>
      </c>
      <c r="P496" s="159"/>
      <c r="Q496" s="107" t="s">
        <v>448</v>
      </c>
    </row>
    <row r="497" ht="39.75" hidden="1" customHeight="1">
      <c r="A497" s="73" t="s">
        <v>1216</v>
      </c>
      <c r="B497" s="75" t="s">
        <v>71</v>
      </c>
      <c r="C497" s="73" t="s">
        <v>334</v>
      </c>
      <c r="D497" s="77">
        <v>3.0</v>
      </c>
      <c r="E497" s="77" t="s">
        <v>1503</v>
      </c>
      <c r="F497" s="77" t="s">
        <v>148</v>
      </c>
      <c r="G497" s="77" t="s">
        <v>149</v>
      </c>
      <c r="H497" s="77" t="s">
        <v>151</v>
      </c>
      <c r="I497" s="75"/>
      <c r="J497" s="81" t="s">
        <v>1399</v>
      </c>
      <c r="K497" s="45" t="s">
        <v>1400</v>
      </c>
      <c r="L497" s="149"/>
      <c r="M497" s="149"/>
      <c r="N497" s="157" t="s">
        <v>447</v>
      </c>
      <c r="O497" s="115" t="s">
        <v>198</v>
      </c>
      <c r="P497" s="151"/>
      <c r="Q497" s="44" t="s">
        <v>448</v>
      </c>
    </row>
    <row r="498" ht="31.5" hidden="1" customHeight="1">
      <c r="A498" s="94" t="s">
        <v>1226</v>
      </c>
      <c r="B498" s="96" t="s">
        <v>71</v>
      </c>
      <c r="C498" s="94" t="s">
        <v>334</v>
      </c>
      <c r="D498" s="97">
        <v>3.0</v>
      </c>
      <c r="E498" s="97" t="s">
        <v>1503</v>
      </c>
      <c r="F498" s="97" t="s">
        <v>148</v>
      </c>
      <c r="G498" s="97" t="s">
        <v>149</v>
      </c>
      <c r="H498" s="97" t="s">
        <v>151</v>
      </c>
      <c r="I498" s="96"/>
      <c r="J498" s="100" t="s">
        <v>1399</v>
      </c>
      <c r="K498" s="101" t="s">
        <v>1400</v>
      </c>
      <c r="L498" s="127" t="s">
        <v>64</v>
      </c>
      <c r="M498" s="62" t="s">
        <v>92</v>
      </c>
      <c r="N498" s="43" t="s">
        <v>55</v>
      </c>
      <c r="O498" s="124" t="s">
        <v>163</v>
      </c>
      <c r="P498" s="101" t="s">
        <v>1228</v>
      </c>
      <c r="Q498" s="107"/>
    </row>
    <row r="499" ht="39.75" hidden="1" customHeight="1">
      <c r="A499" s="73" t="s">
        <v>1234</v>
      </c>
      <c r="B499" s="75" t="s">
        <v>71</v>
      </c>
      <c r="C499" s="73" t="s">
        <v>334</v>
      </c>
      <c r="D499" s="77">
        <v>3.0</v>
      </c>
      <c r="E499" s="77" t="s">
        <v>1503</v>
      </c>
      <c r="F499" s="77" t="s">
        <v>148</v>
      </c>
      <c r="G499" s="77" t="s">
        <v>149</v>
      </c>
      <c r="H499" s="77" t="s">
        <v>151</v>
      </c>
      <c r="I499" s="75"/>
      <c r="J499" s="81" t="s">
        <v>1399</v>
      </c>
      <c r="K499" s="45" t="s">
        <v>1400</v>
      </c>
      <c r="L499" s="149"/>
      <c r="M499" s="149"/>
      <c r="N499" s="157" t="s">
        <v>447</v>
      </c>
      <c r="O499" s="115" t="s">
        <v>198</v>
      </c>
      <c r="P499" s="151"/>
      <c r="Q499" s="44" t="s">
        <v>448</v>
      </c>
    </row>
    <row r="500" ht="39.75" hidden="1" customHeight="1">
      <c r="A500" s="94" t="s">
        <v>1245</v>
      </c>
      <c r="B500" s="96" t="s">
        <v>71</v>
      </c>
      <c r="C500" s="94" t="s">
        <v>334</v>
      </c>
      <c r="D500" s="97">
        <v>3.0</v>
      </c>
      <c r="E500" s="97" t="s">
        <v>1503</v>
      </c>
      <c r="F500" s="97" t="s">
        <v>148</v>
      </c>
      <c r="G500" s="97" t="s">
        <v>149</v>
      </c>
      <c r="H500" s="97" t="s">
        <v>151</v>
      </c>
      <c r="I500" s="96"/>
      <c r="J500" s="100" t="s">
        <v>1399</v>
      </c>
      <c r="K500" s="101" t="s">
        <v>1400</v>
      </c>
      <c r="L500" s="149"/>
      <c r="M500" s="149"/>
      <c r="N500" s="157" t="s">
        <v>447</v>
      </c>
      <c r="O500" s="124" t="s">
        <v>198</v>
      </c>
      <c r="P500" s="159"/>
      <c r="Q500" s="107" t="s">
        <v>448</v>
      </c>
    </row>
    <row r="501" ht="39.75" customHeight="1">
      <c r="A501" s="73" t="s">
        <v>1186</v>
      </c>
      <c r="B501" s="75" t="s">
        <v>82</v>
      </c>
      <c r="C501" s="73" t="s">
        <v>339</v>
      </c>
      <c r="D501" s="77">
        <v>1.0</v>
      </c>
      <c r="E501" s="77" t="s">
        <v>146</v>
      </c>
      <c r="F501" s="77" t="s">
        <v>148</v>
      </c>
      <c r="G501" s="77" t="s">
        <v>149</v>
      </c>
      <c r="H501" s="77" t="s">
        <v>151</v>
      </c>
      <c r="I501" s="75"/>
      <c r="J501" s="81" t="s">
        <v>340</v>
      </c>
      <c r="K501" s="45" t="s">
        <v>341</v>
      </c>
      <c r="L501" s="140" t="s">
        <v>52</v>
      </c>
      <c r="M501" s="86" t="s">
        <v>164</v>
      </c>
      <c r="N501" s="43" t="s">
        <v>55</v>
      </c>
      <c r="O501" s="59" t="s">
        <v>166</v>
      </c>
      <c r="P501" s="45" t="s">
        <v>1189</v>
      </c>
      <c r="Q501" s="44" t="s">
        <v>1190</v>
      </c>
    </row>
    <row r="502" ht="39.75" customHeight="1">
      <c r="A502" s="94" t="s">
        <v>1191</v>
      </c>
      <c r="B502" s="96" t="s">
        <v>82</v>
      </c>
      <c r="C502" s="94" t="s">
        <v>339</v>
      </c>
      <c r="D502" s="97">
        <v>1.0</v>
      </c>
      <c r="E502" s="97" t="s">
        <v>146</v>
      </c>
      <c r="F502" s="97" t="s">
        <v>148</v>
      </c>
      <c r="G502" s="97" t="s">
        <v>149</v>
      </c>
      <c r="H502" s="97" t="s">
        <v>151</v>
      </c>
      <c r="I502" s="96"/>
      <c r="J502" s="100" t="s">
        <v>340</v>
      </c>
      <c r="K502" s="101" t="s">
        <v>341</v>
      </c>
      <c r="L502" s="140" t="s">
        <v>52</v>
      </c>
      <c r="M502" s="86" t="s">
        <v>164</v>
      </c>
      <c r="N502" s="43" t="s">
        <v>55</v>
      </c>
      <c r="O502" s="105" t="s">
        <v>166</v>
      </c>
      <c r="P502" s="101" t="s">
        <v>1189</v>
      </c>
      <c r="Q502" s="107" t="s">
        <v>1190</v>
      </c>
    </row>
    <row r="503" ht="39.75" customHeight="1">
      <c r="A503" s="73" t="s">
        <v>1195</v>
      </c>
      <c r="B503" s="75" t="s">
        <v>82</v>
      </c>
      <c r="C503" s="73" t="s">
        <v>339</v>
      </c>
      <c r="D503" s="77">
        <v>1.0</v>
      </c>
      <c r="E503" s="77" t="s">
        <v>146</v>
      </c>
      <c r="F503" s="77" t="s">
        <v>148</v>
      </c>
      <c r="G503" s="77" t="s">
        <v>149</v>
      </c>
      <c r="H503" s="77" t="s">
        <v>151</v>
      </c>
      <c r="I503" s="75"/>
      <c r="J503" s="81" t="s">
        <v>340</v>
      </c>
      <c r="K503" s="45" t="s">
        <v>341</v>
      </c>
      <c r="L503" s="140" t="s">
        <v>52</v>
      </c>
      <c r="M503" s="62" t="s">
        <v>92</v>
      </c>
      <c r="N503" s="43" t="s">
        <v>55</v>
      </c>
      <c r="O503" s="59" t="s">
        <v>166</v>
      </c>
      <c r="P503" s="45" t="s">
        <v>1189</v>
      </c>
      <c r="Q503" s="44" t="s">
        <v>1190</v>
      </c>
    </row>
    <row r="504" ht="39.75" customHeight="1">
      <c r="A504" s="94" t="s">
        <v>1200</v>
      </c>
      <c r="B504" s="96" t="s">
        <v>82</v>
      </c>
      <c r="C504" s="94" t="s">
        <v>339</v>
      </c>
      <c r="D504" s="97">
        <v>1.0</v>
      </c>
      <c r="E504" s="97" t="s">
        <v>146</v>
      </c>
      <c r="F504" s="97" t="s">
        <v>148</v>
      </c>
      <c r="G504" s="97" t="s">
        <v>149</v>
      </c>
      <c r="H504" s="97" t="s">
        <v>151</v>
      </c>
      <c r="I504" s="96"/>
      <c r="J504" s="100" t="s">
        <v>340</v>
      </c>
      <c r="K504" s="101" t="s">
        <v>341</v>
      </c>
      <c r="L504" s="125" t="s">
        <v>92</v>
      </c>
      <c r="M504" s="50" t="s">
        <v>64</v>
      </c>
      <c r="N504" s="43" t="s">
        <v>55</v>
      </c>
      <c r="O504" s="105" t="s">
        <v>166</v>
      </c>
      <c r="P504" s="101" t="s">
        <v>1189</v>
      </c>
      <c r="Q504" s="107" t="s">
        <v>1190</v>
      </c>
    </row>
    <row r="505" ht="39.75" customHeight="1">
      <c r="A505" s="73" t="s">
        <v>1203</v>
      </c>
      <c r="B505" s="75" t="s">
        <v>82</v>
      </c>
      <c r="C505" s="73" t="s">
        <v>339</v>
      </c>
      <c r="D505" s="77">
        <v>1.0</v>
      </c>
      <c r="E505" s="77" t="s">
        <v>146</v>
      </c>
      <c r="F505" s="77" t="s">
        <v>148</v>
      </c>
      <c r="G505" s="77" t="s">
        <v>149</v>
      </c>
      <c r="H505" s="77" t="s">
        <v>151</v>
      </c>
      <c r="I505" s="75"/>
      <c r="J505" s="81" t="s">
        <v>340</v>
      </c>
      <c r="K505" s="45" t="s">
        <v>341</v>
      </c>
      <c r="L505" s="125" t="s">
        <v>92</v>
      </c>
      <c r="M505" s="50" t="s">
        <v>64</v>
      </c>
      <c r="N505" s="43" t="s">
        <v>55</v>
      </c>
      <c r="O505" s="59" t="s">
        <v>166</v>
      </c>
      <c r="P505" s="45" t="s">
        <v>1189</v>
      </c>
      <c r="Q505" s="44" t="s">
        <v>1190</v>
      </c>
    </row>
    <row r="506" ht="39.75" customHeight="1">
      <c r="A506" s="94" t="s">
        <v>1207</v>
      </c>
      <c r="B506" s="96" t="s">
        <v>82</v>
      </c>
      <c r="C506" s="94" t="s">
        <v>339</v>
      </c>
      <c r="D506" s="97">
        <v>1.0</v>
      </c>
      <c r="E506" s="97" t="s">
        <v>146</v>
      </c>
      <c r="F506" s="97" t="s">
        <v>148</v>
      </c>
      <c r="G506" s="97" t="s">
        <v>149</v>
      </c>
      <c r="H506" s="97" t="s">
        <v>151</v>
      </c>
      <c r="I506" s="96"/>
      <c r="J506" s="100" t="s">
        <v>340</v>
      </c>
      <c r="K506" s="101" t="s">
        <v>341</v>
      </c>
      <c r="L506" s="137" t="s">
        <v>164</v>
      </c>
      <c r="M506" s="50" t="s">
        <v>64</v>
      </c>
      <c r="N506" s="43" t="s">
        <v>55</v>
      </c>
      <c r="O506" s="105" t="s">
        <v>166</v>
      </c>
      <c r="P506" s="101" t="s">
        <v>1189</v>
      </c>
      <c r="Q506" s="107" t="s">
        <v>1190</v>
      </c>
    </row>
    <row r="507" ht="30.0" customHeight="1">
      <c r="A507" s="73" t="s">
        <v>1211</v>
      </c>
      <c r="B507" s="75" t="s">
        <v>82</v>
      </c>
      <c r="C507" s="73" t="s">
        <v>339</v>
      </c>
      <c r="D507" s="77">
        <v>1.0</v>
      </c>
      <c r="E507" s="77" t="s">
        <v>146</v>
      </c>
      <c r="F507" s="77" t="s">
        <v>148</v>
      </c>
      <c r="G507" s="77" t="s">
        <v>149</v>
      </c>
      <c r="H507" s="77" t="s">
        <v>151</v>
      </c>
      <c r="I507" s="75"/>
      <c r="J507" s="81" t="s">
        <v>340</v>
      </c>
      <c r="K507" s="45" t="s">
        <v>341</v>
      </c>
      <c r="L507" s="125" t="s">
        <v>92</v>
      </c>
      <c r="M507" s="50" t="s">
        <v>64</v>
      </c>
      <c r="N507" s="43" t="s">
        <v>55</v>
      </c>
      <c r="O507" s="115" t="s">
        <v>163</v>
      </c>
      <c r="P507" s="45" t="s">
        <v>1213</v>
      </c>
      <c r="Q507" s="44"/>
    </row>
    <row r="508" ht="39.75" customHeight="1">
      <c r="A508" s="94" t="s">
        <v>1215</v>
      </c>
      <c r="B508" s="96" t="s">
        <v>82</v>
      </c>
      <c r="C508" s="94" t="s">
        <v>339</v>
      </c>
      <c r="D508" s="97">
        <v>1.0</v>
      </c>
      <c r="E508" s="97" t="s">
        <v>146</v>
      </c>
      <c r="F508" s="97" t="s">
        <v>148</v>
      </c>
      <c r="G508" s="97" t="s">
        <v>149</v>
      </c>
      <c r="H508" s="97" t="s">
        <v>151</v>
      </c>
      <c r="I508" s="96"/>
      <c r="J508" s="100" t="s">
        <v>340</v>
      </c>
      <c r="K508" s="101" t="s">
        <v>341</v>
      </c>
      <c r="L508" s="149"/>
      <c r="M508" s="149"/>
      <c r="N508" s="157" t="s">
        <v>447</v>
      </c>
      <c r="O508" s="124" t="s">
        <v>198</v>
      </c>
      <c r="P508" s="159"/>
      <c r="Q508" s="107" t="s">
        <v>448</v>
      </c>
    </row>
    <row r="509" ht="39.75" customHeight="1">
      <c r="A509" s="73" t="s">
        <v>1218</v>
      </c>
      <c r="B509" s="75" t="s">
        <v>82</v>
      </c>
      <c r="C509" s="73" t="s">
        <v>339</v>
      </c>
      <c r="D509" s="77">
        <v>1.0</v>
      </c>
      <c r="E509" s="77" t="s">
        <v>146</v>
      </c>
      <c r="F509" s="77" t="s">
        <v>148</v>
      </c>
      <c r="G509" s="77" t="s">
        <v>149</v>
      </c>
      <c r="H509" s="77" t="s">
        <v>151</v>
      </c>
      <c r="I509" s="75"/>
      <c r="J509" s="81" t="s">
        <v>340</v>
      </c>
      <c r="K509" s="45" t="s">
        <v>341</v>
      </c>
      <c r="L509" s="137" t="s">
        <v>164</v>
      </c>
      <c r="M509" s="50" t="s">
        <v>64</v>
      </c>
      <c r="N509" s="43" t="s">
        <v>55</v>
      </c>
      <c r="O509" s="59" t="s">
        <v>166</v>
      </c>
      <c r="P509" s="45" t="s">
        <v>1189</v>
      </c>
      <c r="Q509" s="44" t="s">
        <v>1190</v>
      </c>
    </row>
    <row r="510" ht="39.75" customHeight="1">
      <c r="A510" s="94" t="s">
        <v>1220</v>
      </c>
      <c r="B510" s="96" t="s">
        <v>82</v>
      </c>
      <c r="C510" s="94" t="s">
        <v>339</v>
      </c>
      <c r="D510" s="97">
        <v>1.0</v>
      </c>
      <c r="E510" s="97" t="s">
        <v>146</v>
      </c>
      <c r="F510" s="97" t="s">
        <v>148</v>
      </c>
      <c r="G510" s="97" t="s">
        <v>149</v>
      </c>
      <c r="H510" s="97" t="s">
        <v>151</v>
      </c>
      <c r="I510" s="96"/>
      <c r="J510" s="100" t="s">
        <v>340</v>
      </c>
      <c r="K510" s="101" t="s">
        <v>341</v>
      </c>
      <c r="L510" s="88" t="s">
        <v>63</v>
      </c>
      <c r="M510" s="50" t="s">
        <v>64</v>
      </c>
      <c r="N510" s="43" t="s">
        <v>55</v>
      </c>
      <c r="O510" s="105" t="s">
        <v>166</v>
      </c>
      <c r="P510" s="101" t="s">
        <v>1189</v>
      </c>
      <c r="Q510" s="107" t="s">
        <v>1190</v>
      </c>
    </row>
    <row r="511" ht="39.75" customHeight="1">
      <c r="A511" s="73" t="s">
        <v>1225</v>
      </c>
      <c r="B511" s="75" t="s">
        <v>82</v>
      </c>
      <c r="C511" s="73" t="s">
        <v>339</v>
      </c>
      <c r="D511" s="77">
        <v>1.0</v>
      </c>
      <c r="E511" s="77" t="s">
        <v>146</v>
      </c>
      <c r="F511" s="77" t="s">
        <v>148</v>
      </c>
      <c r="G511" s="77" t="s">
        <v>149</v>
      </c>
      <c r="H511" s="77" t="s">
        <v>151</v>
      </c>
      <c r="I511" s="75"/>
      <c r="J511" s="81" t="s">
        <v>340</v>
      </c>
      <c r="K511" s="45" t="s">
        <v>341</v>
      </c>
      <c r="L511" s="148" t="s">
        <v>199</v>
      </c>
      <c r="M511" s="50" t="s">
        <v>64</v>
      </c>
      <c r="N511" s="43" t="s">
        <v>55</v>
      </c>
      <c r="O511" s="59" t="s">
        <v>166</v>
      </c>
      <c r="P511" s="45" t="s">
        <v>1189</v>
      </c>
      <c r="Q511" s="44" t="s">
        <v>1190</v>
      </c>
    </row>
    <row r="512" ht="39.75" customHeight="1">
      <c r="A512" s="94" t="s">
        <v>1230</v>
      </c>
      <c r="B512" s="96" t="s">
        <v>82</v>
      </c>
      <c r="C512" s="94" t="s">
        <v>339</v>
      </c>
      <c r="D512" s="97">
        <v>1.0</v>
      </c>
      <c r="E512" s="97" t="s">
        <v>146</v>
      </c>
      <c r="F512" s="97" t="s">
        <v>148</v>
      </c>
      <c r="G512" s="97" t="s">
        <v>149</v>
      </c>
      <c r="H512" s="97" t="s">
        <v>151</v>
      </c>
      <c r="I512" s="96"/>
      <c r="J512" s="100" t="s">
        <v>340</v>
      </c>
      <c r="K512" s="101" t="s">
        <v>341</v>
      </c>
      <c r="L512" s="140" t="s">
        <v>52</v>
      </c>
      <c r="M512" s="62" t="s">
        <v>92</v>
      </c>
      <c r="N512" s="43" t="s">
        <v>55</v>
      </c>
      <c r="O512" s="105" t="s">
        <v>166</v>
      </c>
      <c r="P512" s="101" t="s">
        <v>1189</v>
      </c>
      <c r="Q512" s="107" t="s">
        <v>1190</v>
      </c>
    </row>
    <row r="513" ht="39.75" customHeight="1">
      <c r="A513" s="73" t="s">
        <v>1235</v>
      </c>
      <c r="B513" s="75" t="s">
        <v>82</v>
      </c>
      <c r="C513" s="73" t="s">
        <v>339</v>
      </c>
      <c r="D513" s="77">
        <v>1.0</v>
      </c>
      <c r="E513" s="77" t="s">
        <v>146</v>
      </c>
      <c r="F513" s="77" t="s">
        <v>148</v>
      </c>
      <c r="G513" s="77" t="s">
        <v>149</v>
      </c>
      <c r="H513" s="77" t="s">
        <v>151</v>
      </c>
      <c r="I513" s="75"/>
      <c r="J513" s="81" t="s">
        <v>340</v>
      </c>
      <c r="K513" s="45" t="s">
        <v>341</v>
      </c>
      <c r="L513" s="137" t="s">
        <v>164</v>
      </c>
      <c r="M513" s="50" t="s">
        <v>64</v>
      </c>
      <c r="N513" s="43" t="s">
        <v>55</v>
      </c>
      <c r="O513" s="59" t="s">
        <v>166</v>
      </c>
      <c r="P513" s="45" t="s">
        <v>1189</v>
      </c>
      <c r="Q513" s="44" t="s">
        <v>1190</v>
      </c>
    </row>
    <row r="514" ht="39.75" customHeight="1">
      <c r="A514" s="94" t="s">
        <v>1238</v>
      </c>
      <c r="B514" s="96" t="s">
        <v>82</v>
      </c>
      <c r="C514" s="94" t="s">
        <v>339</v>
      </c>
      <c r="D514" s="97">
        <v>1.0</v>
      </c>
      <c r="E514" s="97" t="s">
        <v>146</v>
      </c>
      <c r="F514" s="97" t="s">
        <v>148</v>
      </c>
      <c r="G514" s="97" t="s">
        <v>149</v>
      </c>
      <c r="H514" s="97" t="s">
        <v>151</v>
      </c>
      <c r="I514" s="96"/>
      <c r="J514" s="100" t="s">
        <v>340</v>
      </c>
      <c r="K514" s="101" t="s">
        <v>341</v>
      </c>
      <c r="L514" s="149"/>
      <c r="M514" s="149"/>
      <c r="N514" s="157" t="s">
        <v>447</v>
      </c>
      <c r="O514" s="124" t="s">
        <v>198</v>
      </c>
      <c r="P514" s="159"/>
      <c r="Q514" s="107" t="s">
        <v>448</v>
      </c>
    </row>
    <row r="515" ht="39.75" hidden="1" customHeight="1">
      <c r="A515" s="73" t="s">
        <v>1242</v>
      </c>
      <c r="B515" s="75" t="s">
        <v>82</v>
      </c>
      <c r="C515" s="73" t="s">
        <v>343</v>
      </c>
      <c r="D515" s="77">
        <v>2.0</v>
      </c>
      <c r="E515" s="77" t="s">
        <v>146</v>
      </c>
      <c r="F515" s="77" t="s">
        <v>148</v>
      </c>
      <c r="G515" s="77" t="s">
        <v>149</v>
      </c>
      <c r="H515" s="77" t="s">
        <v>151</v>
      </c>
      <c r="I515" s="75"/>
      <c r="J515" s="81" t="s">
        <v>345</v>
      </c>
      <c r="K515" s="45" t="s">
        <v>346</v>
      </c>
      <c r="L515" s="103" t="s">
        <v>76</v>
      </c>
      <c r="M515" s="50" t="s">
        <v>64</v>
      </c>
      <c r="N515" s="43" t="s">
        <v>55</v>
      </c>
      <c r="O515" s="59" t="s">
        <v>166</v>
      </c>
      <c r="P515" s="45" t="s">
        <v>1189</v>
      </c>
      <c r="Q515" s="44" t="s">
        <v>1190</v>
      </c>
    </row>
    <row r="516" ht="39.75" hidden="1" customHeight="1">
      <c r="A516" s="94" t="s">
        <v>1247</v>
      </c>
      <c r="B516" s="96" t="s">
        <v>82</v>
      </c>
      <c r="C516" s="94" t="s">
        <v>343</v>
      </c>
      <c r="D516" s="97">
        <v>2.0</v>
      </c>
      <c r="E516" s="97" t="s">
        <v>146</v>
      </c>
      <c r="F516" s="97" t="s">
        <v>148</v>
      </c>
      <c r="G516" s="97" t="s">
        <v>149</v>
      </c>
      <c r="H516" s="97" t="s">
        <v>151</v>
      </c>
      <c r="I516" s="96"/>
      <c r="J516" s="100" t="s">
        <v>345</v>
      </c>
      <c r="K516" s="101" t="s">
        <v>346</v>
      </c>
      <c r="L516" s="140" t="s">
        <v>52</v>
      </c>
      <c r="M516" s="86" t="s">
        <v>164</v>
      </c>
      <c r="N516" s="43" t="s">
        <v>55</v>
      </c>
      <c r="O516" s="105" t="s">
        <v>166</v>
      </c>
      <c r="P516" s="101" t="s">
        <v>1189</v>
      </c>
      <c r="Q516" s="107" t="s">
        <v>1190</v>
      </c>
    </row>
    <row r="517" ht="39.75" hidden="1" customHeight="1">
      <c r="A517" s="73" t="s">
        <v>1250</v>
      </c>
      <c r="B517" s="75" t="s">
        <v>82</v>
      </c>
      <c r="C517" s="73" t="s">
        <v>343</v>
      </c>
      <c r="D517" s="77">
        <v>2.0</v>
      </c>
      <c r="E517" s="77" t="s">
        <v>146</v>
      </c>
      <c r="F517" s="77" t="s">
        <v>148</v>
      </c>
      <c r="G517" s="77" t="s">
        <v>149</v>
      </c>
      <c r="H517" s="77" t="s">
        <v>151</v>
      </c>
      <c r="I517" s="75"/>
      <c r="J517" s="81" t="s">
        <v>345</v>
      </c>
      <c r="K517" s="45" t="s">
        <v>346</v>
      </c>
      <c r="L517" s="88" t="s">
        <v>63</v>
      </c>
      <c r="M517" s="86" t="s">
        <v>164</v>
      </c>
      <c r="N517" s="43" t="s">
        <v>55</v>
      </c>
      <c r="O517" s="59" t="s">
        <v>166</v>
      </c>
      <c r="P517" s="45" t="s">
        <v>1189</v>
      </c>
      <c r="Q517" s="44" t="s">
        <v>1190</v>
      </c>
    </row>
    <row r="518" ht="39.75" hidden="1" customHeight="1">
      <c r="A518" s="94" t="s">
        <v>1253</v>
      </c>
      <c r="B518" s="96" t="s">
        <v>82</v>
      </c>
      <c r="C518" s="94" t="s">
        <v>343</v>
      </c>
      <c r="D518" s="97">
        <v>2.0</v>
      </c>
      <c r="E518" s="97" t="s">
        <v>146</v>
      </c>
      <c r="F518" s="97" t="s">
        <v>148</v>
      </c>
      <c r="G518" s="97" t="s">
        <v>149</v>
      </c>
      <c r="H518" s="154" t="s">
        <v>466</v>
      </c>
      <c r="I518" s="96"/>
      <c r="J518" s="100" t="s">
        <v>345</v>
      </c>
      <c r="K518" s="101" t="s">
        <v>346</v>
      </c>
      <c r="L518" s="140" t="s">
        <v>52</v>
      </c>
      <c r="M518" s="62" t="s">
        <v>92</v>
      </c>
      <c r="N518" s="43" t="s">
        <v>55</v>
      </c>
      <c r="O518" s="105" t="s">
        <v>187</v>
      </c>
      <c r="P518" s="101" t="s">
        <v>1189</v>
      </c>
      <c r="Q518" s="107" t="s">
        <v>1257</v>
      </c>
    </row>
    <row r="519" ht="39.75" hidden="1" customHeight="1">
      <c r="A519" s="73" t="s">
        <v>1258</v>
      </c>
      <c r="B519" s="75" t="s">
        <v>82</v>
      </c>
      <c r="C519" s="73" t="s">
        <v>343</v>
      </c>
      <c r="D519" s="77">
        <v>2.0</v>
      </c>
      <c r="E519" s="77" t="s">
        <v>146</v>
      </c>
      <c r="F519" s="77" t="s">
        <v>148</v>
      </c>
      <c r="G519" s="77" t="s">
        <v>149</v>
      </c>
      <c r="H519" s="77" t="s">
        <v>151</v>
      </c>
      <c r="I519" s="75"/>
      <c r="J519" s="81" t="s">
        <v>345</v>
      </c>
      <c r="K519" s="45" t="s">
        <v>346</v>
      </c>
      <c r="L519" s="125" t="s">
        <v>92</v>
      </c>
      <c r="M519" s="50" t="s">
        <v>64</v>
      </c>
      <c r="N519" s="43" t="s">
        <v>55</v>
      </c>
      <c r="O519" s="59" t="s">
        <v>166</v>
      </c>
      <c r="P519" s="45" t="s">
        <v>1189</v>
      </c>
      <c r="Q519" s="44" t="s">
        <v>1263</v>
      </c>
    </row>
    <row r="520" ht="30.0" hidden="1" customHeight="1">
      <c r="A520" s="94" t="s">
        <v>1264</v>
      </c>
      <c r="B520" s="96" t="s">
        <v>82</v>
      </c>
      <c r="C520" s="94" t="s">
        <v>343</v>
      </c>
      <c r="D520" s="97">
        <v>2.0</v>
      </c>
      <c r="E520" s="97" t="s">
        <v>146</v>
      </c>
      <c r="F520" s="97" t="s">
        <v>148</v>
      </c>
      <c r="G520" s="97" t="s">
        <v>149</v>
      </c>
      <c r="H520" s="97" t="s">
        <v>151</v>
      </c>
      <c r="I520" s="96"/>
      <c r="J520" s="100" t="s">
        <v>345</v>
      </c>
      <c r="K520" s="101" t="s">
        <v>346</v>
      </c>
      <c r="L520" s="125" t="s">
        <v>92</v>
      </c>
      <c r="M520" s="50" t="s">
        <v>64</v>
      </c>
      <c r="N520" s="43" t="s">
        <v>55</v>
      </c>
      <c r="O520" s="124" t="s">
        <v>56</v>
      </c>
      <c r="P520" s="101" t="s">
        <v>1266</v>
      </c>
      <c r="Q520" s="107"/>
    </row>
    <row r="521" ht="39.75" hidden="1" customHeight="1">
      <c r="A521" s="73" t="s">
        <v>1269</v>
      </c>
      <c r="B521" s="75" t="s">
        <v>82</v>
      </c>
      <c r="C521" s="73" t="s">
        <v>343</v>
      </c>
      <c r="D521" s="77">
        <v>2.0</v>
      </c>
      <c r="E521" s="77" t="s">
        <v>146</v>
      </c>
      <c r="F521" s="77" t="s">
        <v>148</v>
      </c>
      <c r="G521" s="77" t="s">
        <v>149</v>
      </c>
      <c r="H521" s="77" t="s">
        <v>151</v>
      </c>
      <c r="I521" s="75"/>
      <c r="J521" s="81" t="s">
        <v>345</v>
      </c>
      <c r="K521" s="45" t="s">
        <v>346</v>
      </c>
      <c r="L521" s="148" t="s">
        <v>199</v>
      </c>
      <c r="M521" s="50" t="s">
        <v>64</v>
      </c>
      <c r="N521" s="43" t="s">
        <v>55</v>
      </c>
      <c r="O521" s="59" t="s">
        <v>166</v>
      </c>
      <c r="P521" s="45" t="s">
        <v>1189</v>
      </c>
      <c r="Q521" s="44" t="s">
        <v>1190</v>
      </c>
    </row>
    <row r="522" ht="39.75" hidden="1" customHeight="1">
      <c r="A522" s="94" t="s">
        <v>1273</v>
      </c>
      <c r="B522" s="96" t="s">
        <v>82</v>
      </c>
      <c r="C522" s="94" t="s">
        <v>343</v>
      </c>
      <c r="D522" s="97">
        <v>2.0</v>
      </c>
      <c r="E522" s="97" t="s">
        <v>146</v>
      </c>
      <c r="F522" s="97" t="s">
        <v>148</v>
      </c>
      <c r="G522" s="97" t="s">
        <v>149</v>
      </c>
      <c r="H522" s="97" t="s">
        <v>151</v>
      </c>
      <c r="I522" s="96"/>
      <c r="J522" s="100" t="s">
        <v>345</v>
      </c>
      <c r="K522" s="101" t="s">
        <v>346</v>
      </c>
      <c r="L522" s="125" t="s">
        <v>92</v>
      </c>
      <c r="M522" s="50" t="s">
        <v>64</v>
      </c>
      <c r="N522" s="43" t="s">
        <v>55</v>
      </c>
      <c r="O522" s="105" t="s">
        <v>166</v>
      </c>
      <c r="P522" s="101" t="s">
        <v>1189</v>
      </c>
      <c r="Q522" s="107" t="s">
        <v>1276</v>
      </c>
    </row>
    <row r="523" ht="39.75" hidden="1" customHeight="1">
      <c r="A523" s="73" t="s">
        <v>1277</v>
      </c>
      <c r="B523" s="75" t="s">
        <v>82</v>
      </c>
      <c r="C523" s="73" t="s">
        <v>343</v>
      </c>
      <c r="D523" s="77">
        <v>2.0</v>
      </c>
      <c r="E523" s="77" t="s">
        <v>146</v>
      </c>
      <c r="F523" s="77" t="s">
        <v>148</v>
      </c>
      <c r="G523" s="77" t="s">
        <v>149</v>
      </c>
      <c r="H523" s="77" t="s">
        <v>151</v>
      </c>
      <c r="I523" s="75"/>
      <c r="J523" s="81" t="s">
        <v>345</v>
      </c>
      <c r="K523" s="45" t="s">
        <v>346</v>
      </c>
      <c r="L523" s="125" t="s">
        <v>92</v>
      </c>
      <c r="M523" s="50" t="s">
        <v>64</v>
      </c>
      <c r="N523" s="43" t="s">
        <v>55</v>
      </c>
      <c r="O523" s="59" t="s">
        <v>166</v>
      </c>
      <c r="P523" s="45" t="s">
        <v>1189</v>
      </c>
      <c r="Q523" s="44" t="s">
        <v>1190</v>
      </c>
    </row>
    <row r="524" ht="39.75" hidden="1" customHeight="1">
      <c r="A524" s="94" t="s">
        <v>1282</v>
      </c>
      <c r="B524" s="96" t="s">
        <v>82</v>
      </c>
      <c r="C524" s="94" t="s">
        <v>343</v>
      </c>
      <c r="D524" s="97">
        <v>2.0</v>
      </c>
      <c r="E524" s="97" t="s">
        <v>146</v>
      </c>
      <c r="F524" s="97" t="s">
        <v>148</v>
      </c>
      <c r="G524" s="97" t="s">
        <v>149</v>
      </c>
      <c r="H524" s="154" t="s">
        <v>466</v>
      </c>
      <c r="I524" s="96"/>
      <c r="J524" s="100" t="s">
        <v>345</v>
      </c>
      <c r="K524" s="101" t="s">
        <v>346</v>
      </c>
      <c r="L524" s="88" t="s">
        <v>63</v>
      </c>
      <c r="M524" s="50" t="s">
        <v>64</v>
      </c>
      <c r="N524" s="43" t="s">
        <v>55</v>
      </c>
      <c r="O524" s="105" t="s">
        <v>187</v>
      </c>
      <c r="P524" s="101" t="s">
        <v>1189</v>
      </c>
      <c r="Q524" s="107" t="s">
        <v>1285</v>
      </c>
    </row>
    <row r="525" ht="39.75" hidden="1" customHeight="1">
      <c r="A525" s="73" t="s">
        <v>1286</v>
      </c>
      <c r="B525" s="75" t="s">
        <v>82</v>
      </c>
      <c r="C525" s="73" t="s">
        <v>343</v>
      </c>
      <c r="D525" s="77">
        <v>2.0</v>
      </c>
      <c r="E525" s="77" t="s">
        <v>146</v>
      </c>
      <c r="F525" s="77" t="s">
        <v>148</v>
      </c>
      <c r="G525" s="77" t="s">
        <v>149</v>
      </c>
      <c r="H525" s="77" t="s">
        <v>151</v>
      </c>
      <c r="I525" s="75"/>
      <c r="J525" s="81" t="s">
        <v>345</v>
      </c>
      <c r="K525" s="45" t="s">
        <v>346</v>
      </c>
      <c r="L525" s="125" t="s">
        <v>92</v>
      </c>
      <c r="M525" s="49" t="s">
        <v>63</v>
      </c>
      <c r="N525" s="43" t="s">
        <v>55</v>
      </c>
      <c r="O525" s="59" t="s">
        <v>166</v>
      </c>
      <c r="P525" s="45" t="s">
        <v>1189</v>
      </c>
      <c r="Q525" s="44" t="s">
        <v>1190</v>
      </c>
    </row>
    <row r="526" ht="39.75" hidden="1" customHeight="1">
      <c r="A526" s="94" t="s">
        <v>1288</v>
      </c>
      <c r="B526" s="96" t="s">
        <v>82</v>
      </c>
      <c r="C526" s="94" t="s">
        <v>343</v>
      </c>
      <c r="D526" s="97">
        <v>2.0</v>
      </c>
      <c r="E526" s="97" t="s">
        <v>146</v>
      </c>
      <c r="F526" s="97" t="s">
        <v>148</v>
      </c>
      <c r="G526" s="97" t="s">
        <v>149</v>
      </c>
      <c r="H526" s="97" t="s">
        <v>151</v>
      </c>
      <c r="I526" s="96"/>
      <c r="J526" s="100" t="s">
        <v>345</v>
      </c>
      <c r="K526" s="101" t="s">
        <v>346</v>
      </c>
      <c r="L526" s="88" t="s">
        <v>63</v>
      </c>
      <c r="M526" s="50" t="s">
        <v>64</v>
      </c>
      <c r="N526" s="43" t="s">
        <v>55</v>
      </c>
      <c r="O526" s="105" t="s">
        <v>166</v>
      </c>
      <c r="P526" s="101" t="s">
        <v>1189</v>
      </c>
      <c r="Q526" s="107" t="s">
        <v>1190</v>
      </c>
    </row>
    <row r="527" ht="30.0" hidden="1" customHeight="1">
      <c r="A527" s="73" t="s">
        <v>1291</v>
      </c>
      <c r="B527" s="75" t="s">
        <v>82</v>
      </c>
      <c r="C527" s="73" t="s">
        <v>343</v>
      </c>
      <c r="D527" s="77">
        <v>2.0</v>
      </c>
      <c r="E527" s="77" t="s">
        <v>146</v>
      </c>
      <c r="F527" s="77" t="s">
        <v>148</v>
      </c>
      <c r="G527" s="77" t="s">
        <v>149</v>
      </c>
      <c r="H527" s="77" t="s">
        <v>151</v>
      </c>
      <c r="I527" s="75"/>
      <c r="J527" s="81" t="s">
        <v>345</v>
      </c>
      <c r="K527" s="45" t="s">
        <v>346</v>
      </c>
      <c r="L527" s="148" t="s">
        <v>199</v>
      </c>
      <c r="M527" s="50" t="s">
        <v>64</v>
      </c>
      <c r="N527" s="43" t="s">
        <v>55</v>
      </c>
      <c r="O527" s="115" t="s">
        <v>56</v>
      </c>
      <c r="P527" s="45" t="s">
        <v>1292</v>
      </c>
      <c r="Q527" s="44"/>
    </row>
    <row r="528" ht="39.75" hidden="1" customHeight="1">
      <c r="A528" s="94" t="s">
        <v>1294</v>
      </c>
      <c r="B528" s="96" t="s">
        <v>82</v>
      </c>
      <c r="C528" s="94" t="s">
        <v>343</v>
      </c>
      <c r="D528" s="97">
        <v>2.0</v>
      </c>
      <c r="E528" s="97" t="s">
        <v>146</v>
      </c>
      <c r="F528" s="97" t="s">
        <v>148</v>
      </c>
      <c r="G528" s="97" t="s">
        <v>149</v>
      </c>
      <c r="H528" s="154" t="s">
        <v>466</v>
      </c>
      <c r="I528" s="96"/>
      <c r="J528" s="100" t="s">
        <v>345</v>
      </c>
      <c r="K528" s="101" t="s">
        <v>346</v>
      </c>
      <c r="L528" s="137" t="s">
        <v>164</v>
      </c>
      <c r="M528" s="50" t="s">
        <v>64</v>
      </c>
      <c r="N528" s="43" t="s">
        <v>55</v>
      </c>
      <c r="O528" s="105" t="s">
        <v>187</v>
      </c>
      <c r="P528" s="101" t="s">
        <v>1189</v>
      </c>
      <c r="Q528" s="107" t="s">
        <v>1296</v>
      </c>
    </row>
    <row r="529" ht="39.75" hidden="1" customHeight="1">
      <c r="A529" s="73" t="s">
        <v>1297</v>
      </c>
      <c r="B529" s="75" t="s">
        <v>82</v>
      </c>
      <c r="C529" s="73" t="s">
        <v>343</v>
      </c>
      <c r="D529" s="77">
        <v>2.0</v>
      </c>
      <c r="E529" s="77" t="s">
        <v>146</v>
      </c>
      <c r="F529" s="77" t="s">
        <v>148</v>
      </c>
      <c r="G529" s="77" t="s">
        <v>149</v>
      </c>
      <c r="H529" s="77" t="s">
        <v>151</v>
      </c>
      <c r="I529" s="75"/>
      <c r="J529" s="81" t="s">
        <v>345</v>
      </c>
      <c r="K529" s="45" t="s">
        <v>346</v>
      </c>
      <c r="L529" s="149"/>
      <c r="M529" s="149"/>
      <c r="N529" s="157" t="s">
        <v>447</v>
      </c>
      <c r="O529" s="115" t="s">
        <v>198</v>
      </c>
      <c r="P529" s="151"/>
      <c r="Q529" s="44" t="s">
        <v>448</v>
      </c>
    </row>
    <row r="530" ht="39.75" hidden="1" customHeight="1">
      <c r="A530" s="94" t="s">
        <v>1300</v>
      </c>
      <c r="B530" s="96" t="s">
        <v>82</v>
      </c>
      <c r="C530" s="94" t="s">
        <v>343</v>
      </c>
      <c r="D530" s="97">
        <v>2.0</v>
      </c>
      <c r="E530" s="97" t="s">
        <v>146</v>
      </c>
      <c r="F530" s="97" t="s">
        <v>148</v>
      </c>
      <c r="G530" s="97" t="s">
        <v>149</v>
      </c>
      <c r="H530" s="97" t="s">
        <v>151</v>
      </c>
      <c r="I530" s="96"/>
      <c r="J530" s="100" t="s">
        <v>345</v>
      </c>
      <c r="K530" s="101" t="s">
        <v>346</v>
      </c>
      <c r="L530" s="140" t="s">
        <v>52</v>
      </c>
      <c r="M530" s="62" t="s">
        <v>92</v>
      </c>
      <c r="N530" s="43" t="s">
        <v>55</v>
      </c>
      <c r="O530" s="105" t="s">
        <v>166</v>
      </c>
      <c r="P530" s="101" t="s">
        <v>1189</v>
      </c>
      <c r="Q530" s="107" t="s">
        <v>1190</v>
      </c>
    </row>
    <row r="531" ht="39.75" hidden="1" customHeight="1">
      <c r="A531" s="73" t="s">
        <v>1262</v>
      </c>
      <c r="B531" s="75" t="s">
        <v>82</v>
      </c>
      <c r="C531" s="73" t="s">
        <v>348</v>
      </c>
      <c r="D531" s="77">
        <v>3.0</v>
      </c>
      <c r="E531" s="77" t="s">
        <v>500</v>
      </c>
      <c r="F531" s="77" t="s">
        <v>148</v>
      </c>
      <c r="G531" s="77" t="s">
        <v>149</v>
      </c>
      <c r="H531" s="77" t="s">
        <v>151</v>
      </c>
      <c r="I531" s="173" t="s">
        <v>1303</v>
      </c>
      <c r="J531" s="81" t="s">
        <v>351</v>
      </c>
      <c r="K531" s="45" t="s">
        <v>352</v>
      </c>
      <c r="L531" s="149"/>
      <c r="M531" s="149"/>
      <c r="N531" s="157" t="s">
        <v>447</v>
      </c>
      <c r="O531" s="115" t="s">
        <v>198</v>
      </c>
      <c r="P531" s="151"/>
      <c r="Q531" s="44" t="s">
        <v>448</v>
      </c>
    </row>
    <row r="532" ht="39.75" hidden="1" customHeight="1">
      <c r="A532" s="94" t="s">
        <v>1287</v>
      </c>
      <c r="B532" s="96" t="s">
        <v>82</v>
      </c>
      <c r="C532" s="94" t="s">
        <v>348</v>
      </c>
      <c r="D532" s="97">
        <v>3.0</v>
      </c>
      <c r="E532" s="97" t="s">
        <v>500</v>
      </c>
      <c r="F532" s="97" t="s">
        <v>148</v>
      </c>
      <c r="G532" s="97" t="s">
        <v>149</v>
      </c>
      <c r="H532" s="97" t="s">
        <v>151</v>
      </c>
      <c r="I532" s="173" t="s">
        <v>1303</v>
      </c>
      <c r="J532" s="100" t="s">
        <v>351</v>
      </c>
      <c r="K532" s="101" t="s">
        <v>352</v>
      </c>
      <c r="L532" s="149"/>
      <c r="M532" s="149"/>
      <c r="N532" s="157" t="s">
        <v>447</v>
      </c>
      <c r="O532" s="124" t="s">
        <v>198</v>
      </c>
      <c r="P532" s="159"/>
      <c r="Q532" s="107" t="s">
        <v>448</v>
      </c>
    </row>
    <row r="533" ht="39.75" hidden="1" customHeight="1">
      <c r="A533" s="73" t="s">
        <v>1290</v>
      </c>
      <c r="B533" s="75" t="s">
        <v>82</v>
      </c>
      <c r="C533" s="73" t="s">
        <v>348</v>
      </c>
      <c r="D533" s="77">
        <v>3.0</v>
      </c>
      <c r="E533" s="77" t="s">
        <v>500</v>
      </c>
      <c r="F533" s="77" t="s">
        <v>148</v>
      </c>
      <c r="G533" s="77" t="s">
        <v>149</v>
      </c>
      <c r="H533" s="77" t="s">
        <v>151</v>
      </c>
      <c r="I533" s="173" t="s">
        <v>1303</v>
      </c>
      <c r="J533" s="81" t="s">
        <v>351</v>
      </c>
      <c r="K533" s="45" t="s">
        <v>352</v>
      </c>
      <c r="L533" s="149"/>
      <c r="M533" s="149"/>
      <c r="N533" s="157" t="s">
        <v>447</v>
      </c>
      <c r="O533" s="115" t="s">
        <v>198</v>
      </c>
      <c r="P533" s="151"/>
      <c r="Q533" s="44" t="s">
        <v>448</v>
      </c>
    </row>
    <row r="534" ht="39.75" hidden="1" customHeight="1">
      <c r="A534" s="94" t="s">
        <v>1306</v>
      </c>
      <c r="B534" s="96" t="s">
        <v>82</v>
      </c>
      <c r="C534" s="94" t="s">
        <v>348</v>
      </c>
      <c r="D534" s="97">
        <v>3.0</v>
      </c>
      <c r="E534" s="97" t="s">
        <v>500</v>
      </c>
      <c r="F534" s="97" t="s">
        <v>148</v>
      </c>
      <c r="G534" s="97" t="s">
        <v>149</v>
      </c>
      <c r="H534" s="97" t="s">
        <v>151</v>
      </c>
      <c r="I534" s="173" t="s">
        <v>1303</v>
      </c>
      <c r="J534" s="100" t="s">
        <v>351</v>
      </c>
      <c r="K534" s="101" t="s">
        <v>352</v>
      </c>
      <c r="L534" s="137" t="s">
        <v>164</v>
      </c>
      <c r="M534" s="50" t="s">
        <v>64</v>
      </c>
      <c r="N534" s="43" t="s">
        <v>55</v>
      </c>
      <c r="O534" s="105" t="s">
        <v>166</v>
      </c>
      <c r="P534" s="101" t="s">
        <v>1189</v>
      </c>
      <c r="Q534" s="107" t="s">
        <v>1190</v>
      </c>
    </row>
    <row r="535" ht="39.75" hidden="1" customHeight="1">
      <c r="A535" s="73" t="s">
        <v>1310</v>
      </c>
      <c r="B535" s="75" t="s">
        <v>82</v>
      </c>
      <c r="C535" s="73" t="s">
        <v>348</v>
      </c>
      <c r="D535" s="77">
        <v>3.0</v>
      </c>
      <c r="E535" s="77" t="s">
        <v>500</v>
      </c>
      <c r="F535" s="77" t="s">
        <v>148</v>
      </c>
      <c r="G535" s="77" t="s">
        <v>149</v>
      </c>
      <c r="H535" s="77" t="s">
        <v>151</v>
      </c>
      <c r="I535" s="173" t="s">
        <v>1303</v>
      </c>
      <c r="J535" s="81" t="s">
        <v>351</v>
      </c>
      <c r="K535" s="45" t="s">
        <v>352</v>
      </c>
      <c r="L535" s="149"/>
      <c r="M535" s="149"/>
      <c r="N535" s="157" t="s">
        <v>447</v>
      </c>
      <c r="O535" s="115" t="s">
        <v>198</v>
      </c>
      <c r="P535" s="151"/>
      <c r="Q535" s="44" t="s">
        <v>448</v>
      </c>
    </row>
    <row r="536" ht="30.0" hidden="1" customHeight="1">
      <c r="A536" s="94" t="s">
        <v>1313</v>
      </c>
      <c r="B536" s="96" t="s">
        <v>82</v>
      </c>
      <c r="C536" s="94" t="s">
        <v>348</v>
      </c>
      <c r="D536" s="97">
        <v>3.0</v>
      </c>
      <c r="E536" s="97" t="s">
        <v>500</v>
      </c>
      <c r="F536" s="97" t="s">
        <v>148</v>
      </c>
      <c r="G536" s="97" t="s">
        <v>149</v>
      </c>
      <c r="H536" s="97" t="s">
        <v>151</v>
      </c>
      <c r="I536" s="173" t="s">
        <v>1303</v>
      </c>
      <c r="J536" s="100" t="s">
        <v>351</v>
      </c>
      <c r="K536" s="101" t="s">
        <v>352</v>
      </c>
      <c r="L536" s="125" t="s">
        <v>92</v>
      </c>
      <c r="M536" s="50" t="s">
        <v>64</v>
      </c>
      <c r="N536" s="43" t="s">
        <v>55</v>
      </c>
      <c r="O536" s="124" t="s">
        <v>56</v>
      </c>
      <c r="P536" s="101" t="s">
        <v>1316</v>
      </c>
      <c r="Q536" s="107"/>
    </row>
    <row r="537" ht="39.75" hidden="1" customHeight="1">
      <c r="A537" s="73" t="s">
        <v>1317</v>
      </c>
      <c r="B537" s="75" t="s">
        <v>82</v>
      </c>
      <c r="C537" s="73" t="s">
        <v>348</v>
      </c>
      <c r="D537" s="77">
        <v>3.0</v>
      </c>
      <c r="E537" s="77" t="s">
        <v>500</v>
      </c>
      <c r="F537" s="77" t="s">
        <v>148</v>
      </c>
      <c r="G537" s="77" t="s">
        <v>149</v>
      </c>
      <c r="H537" s="77" t="s">
        <v>151</v>
      </c>
      <c r="I537" s="173" t="s">
        <v>1303</v>
      </c>
      <c r="J537" s="81" t="s">
        <v>351</v>
      </c>
      <c r="K537" s="45" t="s">
        <v>352</v>
      </c>
      <c r="L537" s="149"/>
      <c r="M537" s="149"/>
      <c r="N537" s="157" t="s">
        <v>447</v>
      </c>
      <c r="O537" s="115" t="s">
        <v>198</v>
      </c>
      <c r="P537" s="151"/>
      <c r="Q537" s="44" t="s">
        <v>448</v>
      </c>
    </row>
    <row r="538" ht="39.75" hidden="1" customHeight="1">
      <c r="A538" s="94" t="s">
        <v>1319</v>
      </c>
      <c r="B538" s="96" t="s">
        <v>82</v>
      </c>
      <c r="C538" s="94" t="s">
        <v>348</v>
      </c>
      <c r="D538" s="97">
        <v>3.0</v>
      </c>
      <c r="E538" s="97" t="s">
        <v>500</v>
      </c>
      <c r="F538" s="97" t="s">
        <v>148</v>
      </c>
      <c r="G538" s="97" t="s">
        <v>149</v>
      </c>
      <c r="H538" s="97" t="s">
        <v>151</v>
      </c>
      <c r="I538" s="173" t="s">
        <v>1303</v>
      </c>
      <c r="J538" s="100" t="s">
        <v>351</v>
      </c>
      <c r="K538" s="101" t="s">
        <v>352</v>
      </c>
      <c r="L538" s="125" t="s">
        <v>92</v>
      </c>
      <c r="M538" s="50" t="s">
        <v>64</v>
      </c>
      <c r="N538" s="43" t="s">
        <v>55</v>
      </c>
      <c r="O538" s="105" t="s">
        <v>166</v>
      </c>
      <c r="P538" s="101" t="s">
        <v>1189</v>
      </c>
      <c r="Q538" s="107" t="s">
        <v>1190</v>
      </c>
    </row>
    <row r="539" ht="39.75" hidden="1" customHeight="1">
      <c r="A539" s="73" t="s">
        <v>1321</v>
      </c>
      <c r="B539" s="75" t="s">
        <v>82</v>
      </c>
      <c r="C539" s="73" t="s">
        <v>348</v>
      </c>
      <c r="D539" s="77">
        <v>3.0</v>
      </c>
      <c r="E539" s="77" t="s">
        <v>500</v>
      </c>
      <c r="F539" s="77" t="s">
        <v>148</v>
      </c>
      <c r="G539" s="77" t="s">
        <v>149</v>
      </c>
      <c r="H539" s="77" t="s">
        <v>151</v>
      </c>
      <c r="I539" s="173" t="s">
        <v>1303</v>
      </c>
      <c r="J539" s="81" t="s">
        <v>351</v>
      </c>
      <c r="K539" s="45" t="s">
        <v>352</v>
      </c>
      <c r="L539" s="140" t="s">
        <v>52</v>
      </c>
      <c r="M539" s="138" t="s">
        <v>199</v>
      </c>
      <c r="N539" s="43" t="s">
        <v>55</v>
      </c>
      <c r="O539" s="59" t="s">
        <v>166</v>
      </c>
      <c r="P539" s="45" t="s">
        <v>1189</v>
      </c>
      <c r="Q539" s="44" t="s">
        <v>1323</v>
      </c>
    </row>
    <row r="540" ht="30.0" hidden="1" customHeight="1">
      <c r="A540" s="94" t="s">
        <v>1324</v>
      </c>
      <c r="B540" s="96" t="s">
        <v>82</v>
      </c>
      <c r="C540" s="94" t="s">
        <v>348</v>
      </c>
      <c r="D540" s="97">
        <v>3.0</v>
      </c>
      <c r="E540" s="97" t="s">
        <v>500</v>
      </c>
      <c r="F540" s="97" t="s">
        <v>148</v>
      </c>
      <c r="G540" s="97" t="s">
        <v>149</v>
      </c>
      <c r="H540" s="97" t="s">
        <v>151</v>
      </c>
      <c r="I540" s="173" t="s">
        <v>1303</v>
      </c>
      <c r="J540" s="100" t="s">
        <v>351</v>
      </c>
      <c r="K540" s="101" t="s">
        <v>352</v>
      </c>
      <c r="L540" s="88" t="s">
        <v>63</v>
      </c>
      <c r="M540" s="50" t="s">
        <v>64</v>
      </c>
      <c r="N540" s="43" t="s">
        <v>55</v>
      </c>
      <c r="O540" s="124" t="s">
        <v>56</v>
      </c>
      <c r="P540" s="101" t="s">
        <v>1327</v>
      </c>
      <c r="Q540" s="107"/>
    </row>
    <row r="541" ht="39.75" hidden="1" customHeight="1">
      <c r="A541" s="73" t="s">
        <v>1259</v>
      </c>
      <c r="B541" s="75" t="s">
        <v>82</v>
      </c>
      <c r="C541" s="73" t="s">
        <v>348</v>
      </c>
      <c r="D541" s="77">
        <v>3.0</v>
      </c>
      <c r="E541" s="77" t="s">
        <v>540</v>
      </c>
      <c r="F541" s="77" t="s">
        <v>148</v>
      </c>
      <c r="G541" s="77" t="s">
        <v>149</v>
      </c>
      <c r="H541" s="77" t="s">
        <v>151</v>
      </c>
      <c r="I541" s="173" t="s">
        <v>1303</v>
      </c>
      <c r="J541" s="81" t="s">
        <v>351</v>
      </c>
      <c r="K541" s="45" t="s">
        <v>352</v>
      </c>
      <c r="L541" s="137" t="s">
        <v>164</v>
      </c>
      <c r="M541" s="50" t="s">
        <v>64</v>
      </c>
      <c r="N541" s="43" t="s">
        <v>55</v>
      </c>
      <c r="O541" s="59" t="s">
        <v>166</v>
      </c>
      <c r="P541" s="45" t="s">
        <v>1189</v>
      </c>
      <c r="Q541" s="44" t="s">
        <v>1190</v>
      </c>
    </row>
    <row r="542" ht="39.75" hidden="1" customHeight="1">
      <c r="A542" s="94" t="s">
        <v>1270</v>
      </c>
      <c r="B542" s="96" t="s">
        <v>82</v>
      </c>
      <c r="C542" s="94" t="s">
        <v>348</v>
      </c>
      <c r="D542" s="97">
        <v>3.0</v>
      </c>
      <c r="E542" s="97" t="s">
        <v>540</v>
      </c>
      <c r="F542" s="97" t="s">
        <v>148</v>
      </c>
      <c r="G542" s="97" t="s">
        <v>149</v>
      </c>
      <c r="H542" s="97" t="s">
        <v>151</v>
      </c>
      <c r="I542" s="173" t="s">
        <v>1303</v>
      </c>
      <c r="J542" s="100" t="s">
        <v>351</v>
      </c>
      <c r="K542" s="101" t="s">
        <v>352</v>
      </c>
      <c r="L542" s="149"/>
      <c r="M542" s="149"/>
      <c r="N542" s="157" t="s">
        <v>447</v>
      </c>
      <c r="O542" s="124" t="s">
        <v>198</v>
      </c>
      <c r="P542" s="159"/>
      <c r="Q542" s="107" t="s">
        <v>448</v>
      </c>
    </row>
    <row r="543" ht="39.75" hidden="1" customHeight="1">
      <c r="A543" s="73" t="s">
        <v>1298</v>
      </c>
      <c r="B543" s="75" t="s">
        <v>82</v>
      </c>
      <c r="C543" s="73" t="s">
        <v>348</v>
      </c>
      <c r="D543" s="77">
        <v>3.0</v>
      </c>
      <c r="E543" s="77" t="s">
        <v>540</v>
      </c>
      <c r="F543" s="77" t="s">
        <v>148</v>
      </c>
      <c r="G543" s="77" t="s">
        <v>149</v>
      </c>
      <c r="H543" s="77" t="s">
        <v>151</v>
      </c>
      <c r="I543" s="173" t="s">
        <v>1303</v>
      </c>
      <c r="J543" s="81" t="s">
        <v>351</v>
      </c>
      <c r="K543" s="45" t="s">
        <v>352</v>
      </c>
      <c r="L543" s="149"/>
      <c r="M543" s="149"/>
      <c r="N543" s="157" t="s">
        <v>447</v>
      </c>
      <c r="O543" s="115" t="s">
        <v>198</v>
      </c>
      <c r="P543" s="151"/>
      <c r="Q543" s="44" t="s">
        <v>448</v>
      </c>
    </row>
    <row r="544" ht="39.75" hidden="1" customHeight="1">
      <c r="A544" s="94" t="s">
        <v>1335</v>
      </c>
      <c r="B544" s="96" t="s">
        <v>82</v>
      </c>
      <c r="C544" s="94" t="s">
        <v>348</v>
      </c>
      <c r="D544" s="97">
        <v>3.0</v>
      </c>
      <c r="E544" s="97" t="s">
        <v>540</v>
      </c>
      <c r="F544" s="97" t="s">
        <v>148</v>
      </c>
      <c r="G544" s="97" t="s">
        <v>149</v>
      </c>
      <c r="H544" s="97" t="s">
        <v>151</v>
      </c>
      <c r="I544" s="173" t="s">
        <v>1303</v>
      </c>
      <c r="J544" s="100" t="s">
        <v>351</v>
      </c>
      <c r="K544" s="101" t="s">
        <v>352</v>
      </c>
      <c r="L544" s="88" t="s">
        <v>63</v>
      </c>
      <c r="M544" s="50" t="s">
        <v>64</v>
      </c>
      <c r="N544" s="43" t="s">
        <v>55</v>
      </c>
      <c r="O544" s="105" t="s">
        <v>166</v>
      </c>
      <c r="P544" s="101" t="s">
        <v>1189</v>
      </c>
      <c r="Q544" s="107" t="s">
        <v>1190</v>
      </c>
    </row>
    <row r="545" ht="39.75" hidden="1" customHeight="1">
      <c r="A545" s="73" t="s">
        <v>1338</v>
      </c>
      <c r="B545" s="75" t="s">
        <v>82</v>
      </c>
      <c r="C545" s="73" t="s">
        <v>348</v>
      </c>
      <c r="D545" s="77">
        <v>3.0</v>
      </c>
      <c r="E545" s="77" t="s">
        <v>540</v>
      </c>
      <c r="F545" s="77" t="s">
        <v>148</v>
      </c>
      <c r="G545" s="77" t="s">
        <v>149</v>
      </c>
      <c r="H545" s="77" t="s">
        <v>151</v>
      </c>
      <c r="I545" s="173" t="s">
        <v>1303</v>
      </c>
      <c r="J545" s="81" t="s">
        <v>351</v>
      </c>
      <c r="K545" s="45" t="s">
        <v>352</v>
      </c>
      <c r="L545" s="149"/>
      <c r="M545" s="149"/>
      <c r="N545" s="157" t="s">
        <v>447</v>
      </c>
      <c r="O545" s="115" t="s">
        <v>198</v>
      </c>
      <c r="P545" s="151"/>
      <c r="Q545" s="44" t="s">
        <v>448</v>
      </c>
    </row>
    <row r="546" ht="39.75" hidden="1" customHeight="1">
      <c r="A546" s="94" t="s">
        <v>1342</v>
      </c>
      <c r="B546" s="96" t="s">
        <v>82</v>
      </c>
      <c r="C546" s="94" t="s">
        <v>348</v>
      </c>
      <c r="D546" s="97">
        <v>3.0</v>
      </c>
      <c r="E546" s="97" t="s">
        <v>540</v>
      </c>
      <c r="F546" s="97" t="s">
        <v>148</v>
      </c>
      <c r="G546" s="97" t="s">
        <v>149</v>
      </c>
      <c r="H546" s="97" t="s">
        <v>151</v>
      </c>
      <c r="I546" s="173" t="s">
        <v>1303</v>
      </c>
      <c r="J546" s="100" t="s">
        <v>351</v>
      </c>
      <c r="K546" s="101" t="s">
        <v>352</v>
      </c>
      <c r="L546" s="174" t="s">
        <v>180</v>
      </c>
      <c r="M546" s="62" t="s">
        <v>92</v>
      </c>
      <c r="N546" s="43" t="s">
        <v>55</v>
      </c>
      <c r="O546" s="105" t="s">
        <v>166</v>
      </c>
      <c r="P546" s="101" t="s">
        <v>1189</v>
      </c>
      <c r="Q546" s="107" t="s">
        <v>1190</v>
      </c>
    </row>
    <row r="547" ht="39.75" hidden="1" customHeight="1">
      <c r="A547" s="73" t="s">
        <v>1345</v>
      </c>
      <c r="B547" s="75" t="s">
        <v>82</v>
      </c>
      <c r="C547" s="73" t="s">
        <v>348</v>
      </c>
      <c r="D547" s="77">
        <v>3.0</v>
      </c>
      <c r="E547" s="77" t="s">
        <v>540</v>
      </c>
      <c r="F547" s="77" t="s">
        <v>148</v>
      </c>
      <c r="G547" s="77" t="s">
        <v>149</v>
      </c>
      <c r="H547" s="77" t="s">
        <v>151</v>
      </c>
      <c r="I547" s="173" t="s">
        <v>1303</v>
      </c>
      <c r="J547" s="81" t="s">
        <v>351</v>
      </c>
      <c r="K547" s="45" t="s">
        <v>352</v>
      </c>
      <c r="L547" s="148" t="s">
        <v>199</v>
      </c>
      <c r="M547" s="50" t="s">
        <v>64</v>
      </c>
      <c r="N547" s="43" t="s">
        <v>55</v>
      </c>
      <c r="O547" s="59" t="s">
        <v>166</v>
      </c>
      <c r="P547" s="45" t="s">
        <v>1189</v>
      </c>
      <c r="Q547" s="44" t="s">
        <v>1190</v>
      </c>
    </row>
    <row r="548" ht="39.75" hidden="1" customHeight="1">
      <c r="A548" s="94" t="s">
        <v>1347</v>
      </c>
      <c r="B548" s="96" t="s">
        <v>82</v>
      </c>
      <c r="C548" s="94" t="s">
        <v>348</v>
      </c>
      <c r="D548" s="97">
        <v>3.0</v>
      </c>
      <c r="E548" s="97" t="s">
        <v>540</v>
      </c>
      <c r="F548" s="97" t="s">
        <v>148</v>
      </c>
      <c r="G548" s="97" t="s">
        <v>149</v>
      </c>
      <c r="H548" s="97" t="s">
        <v>151</v>
      </c>
      <c r="I548" s="173" t="s">
        <v>1303</v>
      </c>
      <c r="J548" s="100" t="s">
        <v>351</v>
      </c>
      <c r="K548" s="101" t="s">
        <v>352</v>
      </c>
      <c r="L548" s="149"/>
      <c r="M548" s="149"/>
      <c r="N548" s="157" t="s">
        <v>447</v>
      </c>
      <c r="O548" s="124" t="s">
        <v>198</v>
      </c>
      <c r="P548" s="159"/>
      <c r="Q548" s="107" t="s">
        <v>448</v>
      </c>
    </row>
    <row r="549" ht="39.75" hidden="1" customHeight="1">
      <c r="A549" s="73" t="s">
        <v>1350</v>
      </c>
      <c r="B549" s="75" t="s">
        <v>82</v>
      </c>
      <c r="C549" s="73" t="s">
        <v>348</v>
      </c>
      <c r="D549" s="77">
        <v>3.0</v>
      </c>
      <c r="E549" s="77" t="s">
        <v>540</v>
      </c>
      <c r="F549" s="77" t="s">
        <v>148</v>
      </c>
      <c r="G549" s="77" t="s">
        <v>149</v>
      </c>
      <c r="H549" s="77" t="s">
        <v>151</v>
      </c>
      <c r="I549" s="173" t="s">
        <v>1303</v>
      </c>
      <c r="J549" s="81" t="s">
        <v>351</v>
      </c>
      <c r="K549" s="45" t="s">
        <v>352</v>
      </c>
      <c r="L549" s="149"/>
      <c r="M549" s="149"/>
      <c r="N549" s="157" t="s">
        <v>447</v>
      </c>
      <c r="O549" s="115" t="s">
        <v>198</v>
      </c>
      <c r="P549" s="151"/>
      <c r="Q549" s="44" t="s">
        <v>448</v>
      </c>
    </row>
    <row r="550" ht="39.75" hidden="1" customHeight="1">
      <c r="A550" s="94" t="s">
        <v>1352</v>
      </c>
      <c r="B550" s="96" t="s">
        <v>82</v>
      </c>
      <c r="C550" s="94" t="s">
        <v>348</v>
      </c>
      <c r="D550" s="97">
        <v>3.0</v>
      </c>
      <c r="E550" s="97" t="s">
        <v>540</v>
      </c>
      <c r="F550" s="97" t="s">
        <v>148</v>
      </c>
      <c r="G550" s="97" t="s">
        <v>149</v>
      </c>
      <c r="H550" s="97" t="s">
        <v>151</v>
      </c>
      <c r="I550" s="173" t="s">
        <v>1303</v>
      </c>
      <c r="J550" s="100" t="s">
        <v>351</v>
      </c>
      <c r="K550" s="101" t="s">
        <v>352</v>
      </c>
      <c r="L550" s="149"/>
      <c r="M550" s="149"/>
      <c r="N550" s="157" t="s">
        <v>447</v>
      </c>
      <c r="O550" s="124" t="s">
        <v>198</v>
      </c>
      <c r="P550" s="159"/>
      <c r="Q550" s="107" t="s">
        <v>448</v>
      </c>
    </row>
    <row r="551" ht="39.75" hidden="1" customHeight="1">
      <c r="A551" s="73" t="s">
        <v>1354</v>
      </c>
      <c r="B551" s="75" t="s">
        <v>82</v>
      </c>
      <c r="C551" s="73" t="s">
        <v>348</v>
      </c>
      <c r="D551" s="77">
        <v>3.0</v>
      </c>
      <c r="E551" s="77" t="s">
        <v>540</v>
      </c>
      <c r="F551" s="77" t="s">
        <v>148</v>
      </c>
      <c r="G551" s="77" t="s">
        <v>149</v>
      </c>
      <c r="H551" s="77" t="s">
        <v>151</v>
      </c>
      <c r="I551" s="173" t="s">
        <v>1303</v>
      </c>
      <c r="J551" s="81" t="s">
        <v>351</v>
      </c>
      <c r="K551" s="45" t="s">
        <v>352</v>
      </c>
      <c r="L551" s="125" t="s">
        <v>92</v>
      </c>
      <c r="M551" s="50" t="s">
        <v>64</v>
      </c>
      <c r="N551" s="43" t="s">
        <v>55</v>
      </c>
      <c r="O551" s="59" t="s">
        <v>166</v>
      </c>
      <c r="P551" s="45" t="s">
        <v>1189</v>
      </c>
      <c r="Q551" s="44" t="s">
        <v>1276</v>
      </c>
    </row>
    <row r="552" ht="39.75" hidden="1" customHeight="1">
      <c r="A552" s="94" t="s">
        <v>1272</v>
      </c>
      <c r="B552" s="96" t="s">
        <v>82</v>
      </c>
      <c r="C552" s="94" t="s">
        <v>348</v>
      </c>
      <c r="D552" s="97">
        <v>3.0</v>
      </c>
      <c r="E552" s="97" t="s">
        <v>1357</v>
      </c>
      <c r="F552" s="97" t="s">
        <v>148</v>
      </c>
      <c r="G552" s="97" t="s">
        <v>149</v>
      </c>
      <c r="H552" s="97" t="s">
        <v>151</v>
      </c>
      <c r="I552" s="173" t="s">
        <v>1303</v>
      </c>
      <c r="J552" s="100" t="s">
        <v>351</v>
      </c>
      <c r="K552" s="101" t="s">
        <v>352</v>
      </c>
      <c r="L552" s="137" t="s">
        <v>164</v>
      </c>
      <c r="M552" s="50" t="s">
        <v>64</v>
      </c>
      <c r="N552" s="43" t="s">
        <v>55</v>
      </c>
      <c r="O552" s="105" t="s">
        <v>166</v>
      </c>
      <c r="P552" s="101" t="s">
        <v>1189</v>
      </c>
      <c r="Q552" s="107" t="s">
        <v>1190</v>
      </c>
    </row>
    <row r="553" ht="39.75" hidden="1" customHeight="1">
      <c r="A553" s="73" t="s">
        <v>1295</v>
      </c>
      <c r="B553" s="75" t="s">
        <v>82</v>
      </c>
      <c r="C553" s="73" t="s">
        <v>348</v>
      </c>
      <c r="D553" s="77">
        <v>3.0</v>
      </c>
      <c r="E553" s="77" t="s">
        <v>1357</v>
      </c>
      <c r="F553" s="77" t="s">
        <v>148</v>
      </c>
      <c r="G553" s="77" t="s">
        <v>149</v>
      </c>
      <c r="H553" s="77" t="s">
        <v>151</v>
      </c>
      <c r="I553" s="173" t="s">
        <v>1303</v>
      </c>
      <c r="J553" s="81" t="s">
        <v>351</v>
      </c>
      <c r="K553" s="45" t="s">
        <v>352</v>
      </c>
      <c r="L553" s="149"/>
      <c r="M553" s="149"/>
      <c r="N553" s="157" t="s">
        <v>447</v>
      </c>
      <c r="O553" s="115" t="s">
        <v>198</v>
      </c>
      <c r="P553" s="151"/>
      <c r="Q553" s="44" t="s">
        <v>448</v>
      </c>
    </row>
    <row r="554" ht="39.75" hidden="1" customHeight="1">
      <c r="A554" s="94" t="s">
        <v>1318</v>
      </c>
      <c r="B554" s="96" t="s">
        <v>82</v>
      </c>
      <c r="C554" s="94" t="s">
        <v>348</v>
      </c>
      <c r="D554" s="97">
        <v>3.0</v>
      </c>
      <c r="E554" s="97" t="s">
        <v>1357</v>
      </c>
      <c r="F554" s="97" t="s">
        <v>148</v>
      </c>
      <c r="G554" s="97" t="s">
        <v>149</v>
      </c>
      <c r="H554" s="97" t="s">
        <v>151</v>
      </c>
      <c r="I554" s="173" t="s">
        <v>1303</v>
      </c>
      <c r="J554" s="100" t="s">
        <v>351</v>
      </c>
      <c r="K554" s="101" t="s">
        <v>352</v>
      </c>
      <c r="L554" s="149"/>
      <c r="M554" s="149"/>
      <c r="N554" s="157" t="s">
        <v>447</v>
      </c>
      <c r="O554" s="124" t="s">
        <v>198</v>
      </c>
      <c r="P554" s="159"/>
      <c r="Q554" s="107" t="s">
        <v>448</v>
      </c>
    </row>
    <row r="555" ht="39.75" hidden="1" customHeight="1">
      <c r="A555" s="73" t="s">
        <v>1326</v>
      </c>
      <c r="B555" s="75" t="s">
        <v>82</v>
      </c>
      <c r="C555" s="73" t="s">
        <v>348</v>
      </c>
      <c r="D555" s="77">
        <v>3.0</v>
      </c>
      <c r="E555" s="77" t="s">
        <v>1357</v>
      </c>
      <c r="F555" s="77" t="s">
        <v>148</v>
      </c>
      <c r="G555" s="77" t="s">
        <v>149</v>
      </c>
      <c r="H555" s="77" t="s">
        <v>151</v>
      </c>
      <c r="I555" s="173" t="s">
        <v>1303</v>
      </c>
      <c r="J555" s="81" t="s">
        <v>351</v>
      </c>
      <c r="K555" s="45" t="s">
        <v>352</v>
      </c>
      <c r="L555" s="149"/>
      <c r="M555" s="149"/>
      <c r="N555" s="157" t="s">
        <v>447</v>
      </c>
      <c r="O555" s="115" t="s">
        <v>198</v>
      </c>
      <c r="P555" s="151"/>
      <c r="Q555" s="44" t="s">
        <v>448</v>
      </c>
    </row>
    <row r="556" ht="39.75" hidden="1" customHeight="1">
      <c r="A556" s="94" t="s">
        <v>1353</v>
      </c>
      <c r="B556" s="96" t="s">
        <v>82</v>
      </c>
      <c r="C556" s="94" t="s">
        <v>348</v>
      </c>
      <c r="D556" s="97">
        <v>3.0</v>
      </c>
      <c r="E556" s="97" t="s">
        <v>1357</v>
      </c>
      <c r="F556" s="97" t="s">
        <v>148</v>
      </c>
      <c r="G556" s="97" t="s">
        <v>149</v>
      </c>
      <c r="H556" s="97" t="s">
        <v>151</v>
      </c>
      <c r="I556" s="173" t="s">
        <v>1303</v>
      </c>
      <c r="J556" s="100" t="s">
        <v>351</v>
      </c>
      <c r="K556" s="101" t="s">
        <v>352</v>
      </c>
      <c r="L556" s="149"/>
      <c r="M556" s="149"/>
      <c r="N556" s="157" t="s">
        <v>447</v>
      </c>
      <c r="O556" s="124" t="s">
        <v>198</v>
      </c>
      <c r="P556" s="159"/>
      <c r="Q556" s="107" t="s">
        <v>448</v>
      </c>
    </row>
    <row r="557" ht="39.75" hidden="1" customHeight="1">
      <c r="A557" s="73" t="s">
        <v>1362</v>
      </c>
      <c r="B557" s="75" t="s">
        <v>82</v>
      </c>
      <c r="C557" s="73" t="s">
        <v>348</v>
      </c>
      <c r="D557" s="77">
        <v>3.0</v>
      </c>
      <c r="E557" s="77" t="s">
        <v>1357</v>
      </c>
      <c r="F557" s="77" t="s">
        <v>148</v>
      </c>
      <c r="G557" s="77" t="s">
        <v>149</v>
      </c>
      <c r="H557" s="77" t="s">
        <v>151</v>
      </c>
      <c r="I557" s="173" t="s">
        <v>1303</v>
      </c>
      <c r="J557" s="81" t="s">
        <v>351</v>
      </c>
      <c r="K557" s="45" t="s">
        <v>352</v>
      </c>
      <c r="L557" s="149"/>
      <c r="M557" s="149"/>
      <c r="N557" s="157" t="s">
        <v>447</v>
      </c>
      <c r="O557" s="115" t="s">
        <v>198</v>
      </c>
      <c r="P557" s="151"/>
      <c r="Q557" s="44" t="s">
        <v>448</v>
      </c>
    </row>
    <row r="558" ht="39.75" hidden="1" customHeight="1">
      <c r="A558" s="94" t="s">
        <v>1363</v>
      </c>
      <c r="B558" s="96" t="s">
        <v>82</v>
      </c>
      <c r="C558" s="94" t="s">
        <v>348</v>
      </c>
      <c r="D558" s="97">
        <v>3.0</v>
      </c>
      <c r="E558" s="97" t="s">
        <v>1357</v>
      </c>
      <c r="F558" s="97" t="s">
        <v>148</v>
      </c>
      <c r="G558" s="97" t="s">
        <v>149</v>
      </c>
      <c r="H558" s="97" t="s">
        <v>151</v>
      </c>
      <c r="I558" s="173" t="s">
        <v>1303</v>
      </c>
      <c r="J558" s="100" t="s">
        <v>351</v>
      </c>
      <c r="K558" s="101" t="s">
        <v>352</v>
      </c>
      <c r="L558" s="140" t="s">
        <v>52</v>
      </c>
      <c r="M558" s="86" t="s">
        <v>164</v>
      </c>
      <c r="N558" s="43" t="s">
        <v>55</v>
      </c>
      <c r="O558" s="105" t="s">
        <v>166</v>
      </c>
      <c r="P558" s="101" t="s">
        <v>1189</v>
      </c>
      <c r="Q558" s="107" t="s">
        <v>1190</v>
      </c>
    </row>
    <row r="559" ht="39.75" hidden="1" customHeight="1">
      <c r="A559" s="73" t="s">
        <v>1364</v>
      </c>
      <c r="B559" s="75" t="s">
        <v>82</v>
      </c>
      <c r="C559" s="73" t="s">
        <v>348</v>
      </c>
      <c r="D559" s="77">
        <v>3.0</v>
      </c>
      <c r="E559" s="77" t="s">
        <v>1357</v>
      </c>
      <c r="F559" s="77" t="s">
        <v>148</v>
      </c>
      <c r="G559" s="77" t="s">
        <v>149</v>
      </c>
      <c r="H559" s="77" t="s">
        <v>151</v>
      </c>
      <c r="I559" s="173" t="s">
        <v>1303</v>
      </c>
      <c r="J559" s="81" t="s">
        <v>351</v>
      </c>
      <c r="K559" s="45" t="s">
        <v>352</v>
      </c>
      <c r="L559" s="125" t="s">
        <v>92</v>
      </c>
      <c r="M559" s="50" t="s">
        <v>64</v>
      </c>
      <c r="N559" s="43" t="s">
        <v>55</v>
      </c>
      <c r="O559" s="59" t="s">
        <v>166</v>
      </c>
      <c r="P559" s="45" t="s">
        <v>1189</v>
      </c>
      <c r="Q559" s="44" t="s">
        <v>1190</v>
      </c>
    </row>
    <row r="560" ht="39.75" hidden="1" customHeight="1">
      <c r="A560" s="94" t="s">
        <v>1366</v>
      </c>
      <c r="B560" s="96" t="s">
        <v>82</v>
      </c>
      <c r="C560" s="94" t="s">
        <v>348</v>
      </c>
      <c r="D560" s="97">
        <v>3.0</v>
      </c>
      <c r="E560" s="97" t="s">
        <v>1357</v>
      </c>
      <c r="F560" s="97" t="s">
        <v>148</v>
      </c>
      <c r="G560" s="97" t="s">
        <v>149</v>
      </c>
      <c r="H560" s="97" t="s">
        <v>151</v>
      </c>
      <c r="I560" s="173" t="s">
        <v>1303</v>
      </c>
      <c r="J560" s="100" t="s">
        <v>351</v>
      </c>
      <c r="K560" s="101" t="s">
        <v>352</v>
      </c>
      <c r="L560" s="125" t="s">
        <v>92</v>
      </c>
      <c r="M560" s="50" t="s">
        <v>64</v>
      </c>
      <c r="N560" s="43" t="s">
        <v>55</v>
      </c>
      <c r="O560" s="105" t="s">
        <v>166</v>
      </c>
      <c r="P560" s="101" t="s">
        <v>1189</v>
      </c>
      <c r="Q560" s="107" t="s">
        <v>1190</v>
      </c>
    </row>
    <row r="561" ht="39.75" hidden="1" customHeight="1">
      <c r="A561" s="73" t="s">
        <v>1367</v>
      </c>
      <c r="B561" s="75" t="s">
        <v>82</v>
      </c>
      <c r="C561" s="73" t="s">
        <v>348</v>
      </c>
      <c r="D561" s="77">
        <v>3.0</v>
      </c>
      <c r="E561" s="77" t="s">
        <v>1357</v>
      </c>
      <c r="F561" s="77" t="s">
        <v>148</v>
      </c>
      <c r="G561" s="77" t="s">
        <v>149</v>
      </c>
      <c r="H561" s="77" t="s">
        <v>151</v>
      </c>
      <c r="I561" s="173" t="s">
        <v>1303</v>
      </c>
      <c r="J561" s="81" t="s">
        <v>351</v>
      </c>
      <c r="K561" s="45" t="s">
        <v>352</v>
      </c>
      <c r="L561" s="149"/>
      <c r="M561" s="149"/>
      <c r="N561" s="157" t="s">
        <v>447</v>
      </c>
      <c r="O561" s="115" t="s">
        <v>198</v>
      </c>
      <c r="P561" s="151"/>
      <c r="Q561" s="44" t="s">
        <v>448</v>
      </c>
    </row>
    <row r="562" ht="39.75" hidden="1" customHeight="1">
      <c r="A562" s="94" t="s">
        <v>1368</v>
      </c>
      <c r="B562" s="96" t="s">
        <v>82</v>
      </c>
      <c r="C562" s="94" t="s">
        <v>348</v>
      </c>
      <c r="D562" s="97">
        <v>3.0</v>
      </c>
      <c r="E562" s="97" t="s">
        <v>1357</v>
      </c>
      <c r="F562" s="97" t="s">
        <v>148</v>
      </c>
      <c r="G562" s="97" t="s">
        <v>149</v>
      </c>
      <c r="H562" s="97" t="s">
        <v>151</v>
      </c>
      <c r="I562" s="173" t="s">
        <v>1303</v>
      </c>
      <c r="J562" s="100" t="s">
        <v>351</v>
      </c>
      <c r="K562" s="101" t="s">
        <v>352</v>
      </c>
      <c r="L562" s="125" t="s">
        <v>92</v>
      </c>
      <c r="M562" s="49" t="s">
        <v>63</v>
      </c>
      <c r="N562" s="43" t="s">
        <v>55</v>
      </c>
      <c r="O562" s="105" t="s">
        <v>166</v>
      </c>
      <c r="P562" s="101" t="s">
        <v>1189</v>
      </c>
      <c r="Q562" s="107" t="s">
        <v>1190</v>
      </c>
    </row>
    <row r="563" ht="39.75" hidden="1" customHeight="1">
      <c r="A563" s="73" t="s">
        <v>1255</v>
      </c>
      <c r="B563" s="75" t="s">
        <v>82</v>
      </c>
      <c r="C563" s="73" t="s">
        <v>348</v>
      </c>
      <c r="D563" s="77">
        <v>3.0</v>
      </c>
      <c r="E563" s="77" t="s">
        <v>1369</v>
      </c>
      <c r="F563" s="77" t="s">
        <v>148</v>
      </c>
      <c r="G563" s="77" t="s">
        <v>149</v>
      </c>
      <c r="H563" s="77" t="s">
        <v>151</v>
      </c>
      <c r="I563" s="173" t="s">
        <v>1303</v>
      </c>
      <c r="J563" s="81" t="s">
        <v>351</v>
      </c>
      <c r="K563" s="45" t="s">
        <v>352</v>
      </c>
      <c r="L563" s="149"/>
      <c r="M563" s="149"/>
      <c r="N563" s="157" t="s">
        <v>447</v>
      </c>
      <c r="O563" s="115" t="s">
        <v>198</v>
      </c>
      <c r="P563" s="151"/>
      <c r="Q563" s="44" t="s">
        <v>448</v>
      </c>
    </row>
    <row r="564" ht="39.75" hidden="1" customHeight="1">
      <c r="A564" s="94" t="s">
        <v>1280</v>
      </c>
      <c r="B564" s="96" t="s">
        <v>82</v>
      </c>
      <c r="C564" s="94" t="s">
        <v>348</v>
      </c>
      <c r="D564" s="97">
        <v>3.0</v>
      </c>
      <c r="E564" s="97" t="s">
        <v>1369</v>
      </c>
      <c r="F564" s="97" t="s">
        <v>148</v>
      </c>
      <c r="G564" s="97" t="s">
        <v>149</v>
      </c>
      <c r="H564" s="97" t="s">
        <v>151</v>
      </c>
      <c r="I564" s="173" t="s">
        <v>1303</v>
      </c>
      <c r="J564" s="100" t="s">
        <v>351</v>
      </c>
      <c r="K564" s="101" t="s">
        <v>352</v>
      </c>
      <c r="L564" s="149"/>
      <c r="M564" s="149"/>
      <c r="N564" s="157" t="s">
        <v>447</v>
      </c>
      <c r="O564" s="124" t="s">
        <v>198</v>
      </c>
      <c r="P564" s="159"/>
      <c r="Q564" s="107" t="s">
        <v>448</v>
      </c>
    </row>
    <row r="565" ht="39.75" hidden="1" customHeight="1">
      <c r="A565" s="73" t="s">
        <v>1315</v>
      </c>
      <c r="B565" s="75" t="s">
        <v>82</v>
      </c>
      <c r="C565" s="73" t="s">
        <v>348</v>
      </c>
      <c r="D565" s="77">
        <v>3.0</v>
      </c>
      <c r="E565" s="77" t="s">
        <v>1369</v>
      </c>
      <c r="F565" s="77" t="s">
        <v>148</v>
      </c>
      <c r="G565" s="77" t="s">
        <v>149</v>
      </c>
      <c r="H565" s="77" t="s">
        <v>151</v>
      </c>
      <c r="I565" s="173" t="s">
        <v>1303</v>
      </c>
      <c r="J565" s="81" t="s">
        <v>351</v>
      </c>
      <c r="K565" s="45" t="s">
        <v>352</v>
      </c>
      <c r="L565" s="149"/>
      <c r="M565" s="149"/>
      <c r="N565" s="157" t="s">
        <v>447</v>
      </c>
      <c r="O565" s="115" t="s">
        <v>198</v>
      </c>
      <c r="P565" s="151"/>
      <c r="Q565" s="44" t="s">
        <v>448</v>
      </c>
    </row>
    <row r="566" ht="39.75" hidden="1" customHeight="1">
      <c r="A566" s="94" t="s">
        <v>1325</v>
      </c>
      <c r="B566" s="96" t="s">
        <v>82</v>
      </c>
      <c r="C566" s="94" t="s">
        <v>348</v>
      </c>
      <c r="D566" s="97">
        <v>3.0</v>
      </c>
      <c r="E566" s="97" t="s">
        <v>1369</v>
      </c>
      <c r="F566" s="97" t="s">
        <v>148</v>
      </c>
      <c r="G566" s="97" t="s">
        <v>149</v>
      </c>
      <c r="H566" s="97" t="s">
        <v>151</v>
      </c>
      <c r="I566" s="173" t="s">
        <v>1303</v>
      </c>
      <c r="J566" s="100" t="s">
        <v>351</v>
      </c>
      <c r="K566" s="101" t="s">
        <v>352</v>
      </c>
      <c r="L566" s="149"/>
      <c r="M566" s="149"/>
      <c r="N566" s="157" t="s">
        <v>447</v>
      </c>
      <c r="O566" s="124" t="s">
        <v>198</v>
      </c>
      <c r="P566" s="159"/>
      <c r="Q566" s="107" t="s">
        <v>448</v>
      </c>
    </row>
    <row r="567" ht="39.75" hidden="1" customHeight="1">
      <c r="A567" s="73" t="s">
        <v>1330</v>
      </c>
      <c r="B567" s="75" t="s">
        <v>82</v>
      </c>
      <c r="C567" s="73" t="s">
        <v>348</v>
      </c>
      <c r="D567" s="77">
        <v>3.0</v>
      </c>
      <c r="E567" s="77" t="s">
        <v>1369</v>
      </c>
      <c r="F567" s="77" t="s">
        <v>148</v>
      </c>
      <c r="G567" s="77" t="s">
        <v>149</v>
      </c>
      <c r="H567" s="77" t="s">
        <v>151</v>
      </c>
      <c r="I567" s="173" t="s">
        <v>1303</v>
      </c>
      <c r="J567" s="81" t="s">
        <v>351</v>
      </c>
      <c r="K567" s="45" t="s">
        <v>352</v>
      </c>
      <c r="L567" s="149"/>
      <c r="M567" s="149"/>
      <c r="N567" s="157" t="s">
        <v>447</v>
      </c>
      <c r="O567" s="115" t="s">
        <v>198</v>
      </c>
      <c r="P567" s="151"/>
      <c r="Q567" s="44" t="s">
        <v>448</v>
      </c>
    </row>
    <row r="568" ht="39.75" hidden="1" customHeight="1">
      <c r="A568" s="94" t="s">
        <v>1333</v>
      </c>
      <c r="B568" s="96" t="s">
        <v>82</v>
      </c>
      <c r="C568" s="94" t="s">
        <v>348</v>
      </c>
      <c r="D568" s="97">
        <v>3.0</v>
      </c>
      <c r="E568" s="97" t="s">
        <v>1369</v>
      </c>
      <c r="F568" s="97" t="s">
        <v>148</v>
      </c>
      <c r="G568" s="97" t="s">
        <v>149</v>
      </c>
      <c r="H568" s="97" t="s">
        <v>151</v>
      </c>
      <c r="I568" s="173" t="s">
        <v>1303</v>
      </c>
      <c r="J568" s="100" t="s">
        <v>351</v>
      </c>
      <c r="K568" s="101" t="s">
        <v>352</v>
      </c>
      <c r="L568" s="149"/>
      <c r="M568" s="149"/>
      <c r="N568" s="157" t="s">
        <v>447</v>
      </c>
      <c r="O568" s="124" t="s">
        <v>198</v>
      </c>
      <c r="P568" s="159"/>
      <c r="Q568" s="107" t="s">
        <v>448</v>
      </c>
    </row>
    <row r="569" ht="39.75" hidden="1" customHeight="1">
      <c r="A569" s="73" t="s">
        <v>1346</v>
      </c>
      <c r="B569" s="75" t="s">
        <v>82</v>
      </c>
      <c r="C569" s="73" t="s">
        <v>348</v>
      </c>
      <c r="D569" s="77">
        <v>3.0</v>
      </c>
      <c r="E569" s="77" t="s">
        <v>1369</v>
      </c>
      <c r="F569" s="77" t="s">
        <v>148</v>
      </c>
      <c r="G569" s="77" t="s">
        <v>149</v>
      </c>
      <c r="H569" s="77" t="s">
        <v>151</v>
      </c>
      <c r="I569" s="173" t="s">
        <v>1303</v>
      </c>
      <c r="J569" s="81" t="s">
        <v>351</v>
      </c>
      <c r="K569" s="45" t="s">
        <v>352</v>
      </c>
      <c r="L569" s="149"/>
      <c r="M569" s="149"/>
      <c r="N569" s="157" t="s">
        <v>447</v>
      </c>
      <c r="O569" s="115" t="s">
        <v>198</v>
      </c>
      <c r="P569" s="151"/>
      <c r="Q569" s="44" t="s">
        <v>448</v>
      </c>
    </row>
    <row r="570" ht="39.75" hidden="1" customHeight="1">
      <c r="A570" s="94" t="s">
        <v>1375</v>
      </c>
      <c r="B570" s="96" t="s">
        <v>82</v>
      </c>
      <c r="C570" s="94" t="s">
        <v>348</v>
      </c>
      <c r="D570" s="97">
        <v>3.0</v>
      </c>
      <c r="E570" s="97" t="s">
        <v>1369</v>
      </c>
      <c r="F570" s="97" t="s">
        <v>148</v>
      </c>
      <c r="G570" s="97" t="s">
        <v>149</v>
      </c>
      <c r="H570" s="97" t="s">
        <v>151</v>
      </c>
      <c r="I570" s="173" t="s">
        <v>1303</v>
      </c>
      <c r="J570" s="100" t="s">
        <v>351</v>
      </c>
      <c r="K570" s="101" t="s">
        <v>352</v>
      </c>
      <c r="L570" s="137" t="s">
        <v>164</v>
      </c>
      <c r="M570" s="50" t="s">
        <v>64</v>
      </c>
      <c r="N570" s="43" t="s">
        <v>55</v>
      </c>
      <c r="O570" s="105" t="s">
        <v>166</v>
      </c>
      <c r="P570" s="101" t="s">
        <v>1189</v>
      </c>
      <c r="Q570" s="107" t="s">
        <v>1190</v>
      </c>
    </row>
    <row r="571" ht="39.75" hidden="1" customHeight="1">
      <c r="A571" s="73" t="s">
        <v>1377</v>
      </c>
      <c r="B571" s="75" t="s">
        <v>82</v>
      </c>
      <c r="C571" s="73" t="s">
        <v>348</v>
      </c>
      <c r="D571" s="77">
        <v>3.0</v>
      </c>
      <c r="E571" s="77" t="s">
        <v>1369</v>
      </c>
      <c r="F571" s="77" t="s">
        <v>148</v>
      </c>
      <c r="G571" s="77" t="s">
        <v>149</v>
      </c>
      <c r="H571" s="77" t="s">
        <v>151</v>
      </c>
      <c r="I571" s="173" t="s">
        <v>1303</v>
      </c>
      <c r="J571" s="81" t="s">
        <v>351</v>
      </c>
      <c r="K571" s="45" t="s">
        <v>352</v>
      </c>
      <c r="L571" s="125" t="s">
        <v>92</v>
      </c>
      <c r="M571" s="50" t="s">
        <v>64</v>
      </c>
      <c r="N571" s="43" t="s">
        <v>55</v>
      </c>
      <c r="O571" s="59" t="s">
        <v>166</v>
      </c>
      <c r="P571" s="45" t="s">
        <v>1189</v>
      </c>
      <c r="Q571" s="44" t="s">
        <v>1190</v>
      </c>
    </row>
    <row r="572" ht="39.75" hidden="1" customHeight="1">
      <c r="A572" s="94" t="s">
        <v>1378</v>
      </c>
      <c r="B572" s="96" t="s">
        <v>82</v>
      </c>
      <c r="C572" s="94" t="s">
        <v>348</v>
      </c>
      <c r="D572" s="97">
        <v>3.0</v>
      </c>
      <c r="E572" s="97" t="s">
        <v>1369</v>
      </c>
      <c r="F572" s="97" t="s">
        <v>148</v>
      </c>
      <c r="G572" s="97" t="s">
        <v>149</v>
      </c>
      <c r="H572" s="97" t="s">
        <v>151</v>
      </c>
      <c r="I572" s="173" t="s">
        <v>1303</v>
      </c>
      <c r="J572" s="100" t="s">
        <v>351</v>
      </c>
      <c r="K572" s="101" t="s">
        <v>352</v>
      </c>
      <c r="L572" s="149"/>
      <c r="M572" s="149"/>
      <c r="N572" s="157" t="s">
        <v>447</v>
      </c>
      <c r="O572" s="124" t="s">
        <v>198</v>
      </c>
      <c r="P572" s="159"/>
      <c r="Q572" s="107" t="s">
        <v>448</v>
      </c>
    </row>
    <row r="573" ht="39.75" hidden="1" customHeight="1">
      <c r="A573" s="73" t="s">
        <v>1379</v>
      </c>
      <c r="B573" s="75" t="s">
        <v>82</v>
      </c>
      <c r="C573" s="73" t="s">
        <v>348</v>
      </c>
      <c r="D573" s="77">
        <v>3.0</v>
      </c>
      <c r="E573" s="77" t="s">
        <v>1369</v>
      </c>
      <c r="F573" s="77" t="s">
        <v>148</v>
      </c>
      <c r="G573" s="77" t="s">
        <v>149</v>
      </c>
      <c r="H573" s="77" t="s">
        <v>151</v>
      </c>
      <c r="I573" s="173" t="s">
        <v>1303</v>
      </c>
      <c r="J573" s="81" t="s">
        <v>351</v>
      </c>
      <c r="K573" s="45" t="s">
        <v>352</v>
      </c>
      <c r="L573" s="125" t="s">
        <v>92</v>
      </c>
      <c r="M573" s="49" t="s">
        <v>63</v>
      </c>
      <c r="N573" s="43" t="s">
        <v>55</v>
      </c>
      <c r="O573" s="59" t="s">
        <v>166</v>
      </c>
      <c r="P573" s="45" t="s">
        <v>1189</v>
      </c>
      <c r="Q573" s="44" t="s">
        <v>1190</v>
      </c>
    </row>
    <row r="574" ht="39.75" hidden="1" customHeight="1">
      <c r="A574" s="94" t="s">
        <v>1274</v>
      </c>
      <c r="B574" s="96" t="s">
        <v>82</v>
      </c>
      <c r="C574" s="94" t="s">
        <v>348</v>
      </c>
      <c r="D574" s="97">
        <v>3.0</v>
      </c>
      <c r="E574" s="97" t="s">
        <v>1381</v>
      </c>
      <c r="F574" s="97" t="s">
        <v>148</v>
      </c>
      <c r="G574" s="97" t="s">
        <v>149</v>
      </c>
      <c r="H574" s="97" t="s">
        <v>151</v>
      </c>
      <c r="I574" s="173" t="s">
        <v>1303</v>
      </c>
      <c r="J574" s="100" t="s">
        <v>351</v>
      </c>
      <c r="K574" s="101" t="s">
        <v>352</v>
      </c>
      <c r="L574" s="149"/>
      <c r="M574" s="149"/>
      <c r="N574" s="157" t="s">
        <v>447</v>
      </c>
      <c r="O574" s="124" t="s">
        <v>198</v>
      </c>
      <c r="P574" s="159"/>
      <c r="Q574" s="107" t="s">
        <v>448</v>
      </c>
    </row>
    <row r="575" ht="39.75" hidden="1" customHeight="1">
      <c r="A575" s="73" t="s">
        <v>1302</v>
      </c>
      <c r="B575" s="75" t="s">
        <v>82</v>
      </c>
      <c r="C575" s="73" t="s">
        <v>348</v>
      </c>
      <c r="D575" s="77">
        <v>3.0</v>
      </c>
      <c r="E575" s="77" t="s">
        <v>1381</v>
      </c>
      <c r="F575" s="77" t="s">
        <v>148</v>
      </c>
      <c r="G575" s="77" t="s">
        <v>149</v>
      </c>
      <c r="H575" s="77" t="s">
        <v>151</v>
      </c>
      <c r="I575" s="173" t="s">
        <v>1303</v>
      </c>
      <c r="J575" s="81" t="s">
        <v>351</v>
      </c>
      <c r="K575" s="45" t="s">
        <v>352</v>
      </c>
      <c r="L575" s="149"/>
      <c r="M575" s="149"/>
      <c r="N575" s="157" t="s">
        <v>447</v>
      </c>
      <c r="O575" s="115" t="s">
        <v>198</v>
      </c>
      <c r="P575" s="151"/>
      <c r="Q575" s="44" t="s">
        <v>448</v>
      </c>
    </row>
    <row r="576" ht="39.75" hidden="1" customHeight="1">
      <c r="A576" s="94" t="s">
        <v>1314</v>
      </c>
      <c r="B576" s="96" t="s">
        <v>82</v>
      </c>
      <c r="C576" s="94" t="s">
        <v>348</v>
      </c>
      <c r="D576" s="97">
        <v>3.0</v>
      </c>
      <c r="E576" s="97" t="s">
        <v>1381</v>
      </c>
      <c r="F576" s="97" t="s">
        <v>148</v>
      </c>
      <c r="G576" s="97" t="s">
        <v>149</v>
      </c>
      <c r="H576" s="97" t="s">
        <v>151</v>
      </c>
      <c r="I576" s="173" t="s">
        <v>1303</v>
      </c>
      <c r="J576" s="100" t="s">
        <v>351</v>
      </c>
      <c r="K576" s="101" t="s">
        <v>352</v>
      </c>
      <c r="L576" s="149"/>
      <c r="M576" s="149"/>
      <c r="N576" s="157" t="s">
        <v>447</v>
      </c>
      <c r="O576" s="124" t="s">
        <v>198</v>
      </c>
      <c r="P576" s="159"/>
      <c r="Q576" s="107" t="s">
        <v>448</v>
      </c>
    </row>
    <row r="577" ht="39.75" hidden="1" customHeight="1">
      <c r="A577" s="73" t="s">
        <v>1336</v>
      </c>
      <c r="B577" s="75" t="s">
        <v>82</v>
      </c>
      <c r="C577" s="73" t="s">
        <v>348</v>
      </c>
      <c r="D577" s="77">
        <v>3.0</v>
      </c>
      <c r="E577" s="77" t="s">
        <v>1381</v>
      </c>
      <c r="F577" s="77" t="s">
        <v>148</v>
      </c>
      <c r="G577" s="77" t="s">
        <v>149</v>
      </c>
      <c r="H577" s="77" t="s">
        <v>151</v>
      </c>
      <c r="I577" s="173" t="s">
        <v>1303</v>
      </c>
      <c r="J577" s="81" t="s">
        <v>351</v>
      </c>
      <c r="K577" s="45" t="s">
        <v>352</v>
      </c>
      <c r="L577" s="125" t="s">
        <v>92</v>
      </c>
      <c r="M577" s="50" t="s">
        <v>64</v>
      </c>
      <c r="N577" s="43" t="s">
        <v>55</v>
      </c>
      <c r="O577" s="59" t="s">
        <v>166</v>
      </c>
      <c r="P577" s="45" t="s">
        <v>1189</v>
      </c>
      <c r="Q577" s="44" t="s">
        <v>1276</v>
      </c>
    </row>
    <row r="578" ht="39.75" hidden="1" customHeight="1">
      <c r="A578" s="94" t="s">
        <v>1351</v>
      </c>
      <c r="B578" s="96" t="s">
        <v>82</v>
      </c>
      <c r="C578" s="94" t="s">
        <v>348</v>
      </c>
      <c r="D578" s="97">
        <v>3.0</v>
      </c>
      <c r="E578" s="97" t="s">
        <v>1381</v>
      </c>
      <c r="F578" s="97" t="s">
        <v>148</v>
      </c>
      <c r="G578" s="97" t="s">
        <v>149</v>
      </c>
      <c r="H578" s="97" t="s">
        <v>151</v>
      </c>
      <c r="I578" s="173" t="s">
        <v>1303</v>
      </c>
      <c r="J578" s="100" t="s">
        <v>351</v>
      </c>
      <c r="K578" s="101" t="s">
        <v>352</v>
      </c>
      <c r="L578" s="149"/>
      <c r="M578" s="149"/>
      <c r="N578" s="157" t="s">
        <v>447</v>
      </c>
      <c r="O578" s="124" t="s">
        <v>198</v>
      </c>
      <c r="P578" s="159"/>
      <c r="Q578" s="107" t="s">
        <v>448</v>
      </c>
    </row>
    <row r="579" ht="39.75" hidden="1" customHeight="1">
      <c r="A579" s="73" t="s">
        <v>1355</v>
      </c>
      <c r="B579" s="75" t="s">
        <v>82</v>
      </c>
      <c r="C579" s="73" t="s">
        <v>348</v>
      </c>
      <c r="D579" s="77">
        <v>3.0</v>
      </c>
      <c r="E579" s="77" t="s">
        <v>1381</v>
      </c>
      <c r="F579" s="77" t="s">
        <v>148</v>
      </c>
      <c r="G579" s="77" t="s">
        <v>149</v>
      </c>
      <c r="H579" s="77" t="s">
        <v>151</v>
      </c>
      <c r="I579" s="173" t="s">
        <v>1303</v>
      </c>
      <c r="J579" s="81" t="s">
        <v>351</v>
      </c>
      <c r="K579" s="45" t="s">
        <v>352</v>
      </c>
      <c r="L579" s="149"/>
      <c r="M579" s="149"/>
      <c r="N579" s="157" t="s">
        <v>447</v>
      </c>
      <c r="O579" s="115" t="s">
        <v>198</v>
      </c>
      <c r="P579" s="151"/>
      <c r="Q579" s="44" t="s">
        <v>448</v>
      </c>
    </row>
    <row r="580" ht="39.75" hidden="1" customHeight="1">
      <c r="A580" s="94" t="s">
        <v>1359</v>
      </c>
      <c r="B580" s="96" t="s">
        <v>82</v>
      </c>
      <c r="C580" s="94" t="s">
        <v>348</v>
      </c>
      <c r="D580" s="97">
        <v>3.0</v>
      </c>
      <c r="E580" s="97" t="s">
        <v>1381</v>
      </c>
      <c r="F580" s="97" t="s">
        <v>148</v>
      </c>
      <c r="G580" s="97" t="s">
        <v>149</v>
      </c>
      <c r="H580" s="97" t="s">
        <v>151</v>
      </c>
      <c r="I580" s="173" t="s">
        <v>1303</v>
      </c>
      <c r="J580" s="100" t="s">
        <v>351</v>
      </c>
      <c r="K580" s="101" t="s">
        <v>352</v>
      </c>
      <c r="L580" s="149"/>
      <c r="M580" s="149"/>
      <c r="N580" s="157" t="s">
        <v>447</v>
      </c>
      <c r="O580" s="124" t="s">
        <v>198</v>
      </c>
      <c r="P580" s="159"/>
      <c r="Q580" s="107" t="s">
        <v>448</v>
      </c>
    </row>
    <row r="581" ht="39.75" hidden="1" customHeight="1">
      <c r="A581" s="73" t="s">
        <v>1360</v>
      </c>
      <c r="B581" s="75" t="s">
        <v>82</v>
      </c>
      <c r="C581" s="73" t="s">
        <v>348</v>
      </c>
      <c r="D581" s="77">
        <v>3.0</v>
      </c>
      <c r="E581" s="77" t="s">
        <v>1381</v>
      </c>
      <c r="F581" s="77" t="s">
        <v>148</v>
      </c>
      <c r="G581" s="77" t="s">
        <v>149</v>
      </c>
      <c r="H581" s="77" t="s">
        <v>151</v>
      </c>
      <c r="I581" s="173" t="s">
        <v>1303</v>
      </c>
      <c r="J581" s="81" t="s">
        <v>351</v>
      </c>
      <c r="K581" s="45" t="s">
        <v>352</v>
      </c>
      <c r="L581" s="125" t="s">
        <v>92</v>
      </c>
      <c r="M581" s="50" t="s">
        <v>64</v>
      </c>
      <c r="N581" s="43" t="s">
        <v>55</v>
      </c>
      <c r="O581" s="59" t="s">
        <v>166</v>
      </c>
      <c r="P581" s="45" t="s">
        <v>1189</v>
      </c>
      <c r="Q581" s="44" t="s">
        <v>1190</v>
      </c>
    </row>
    <row r="582" ht="39.75" hidden="1" customHeight="1">
      <c r="A582" s="94" t="s">
        <v>1373</v>
      </c>
      <c r="B582" s="96" t="s">
        <v>82</v>
      </c>
      <c r="C582" s="94" t="s">
        <v>348</v>
      </c>
      <c r="D582" s="97">
        <v>3.0</v>
      </c>
      <c r="E582" s="97" t="s">
        <v>1381</v>
      </c>
      <c r="F582" s="97" t="s">
        <v>148</v>
      </c>
      <c r="G582" s="97" t="s">
        <v>149</v>
      </c>
      <c r="H582" s="97" t="s">
        <v>151</v>
      </c>
      <c r="I582" s="173" t="s">
        <v>1303</v>
      </c>
      <c r="J582" s="100" t="s">
        <v>351</v>
      </c>
      <c r="K582" s="101" t="s">
        <v>352</v>
      </c>
      <c r="L582" s="88" t="s">
        <v>63</v>
      </c>
      <c r="M582" s="50" t="s">
        <v>64</v>
      </c>
      <c r="N582" s="43" t="s">
        <v>55</v>
      </c>
      <c r="O582" s="105" t="s">
        <v>166</v>
      </c>
      <c r="P582" s="101" t="s">
        <v>1189</v>
      </c>
      <c r="Q582" s="107" t="s">
        <v>1190</v>
      </c>
    </row>
    <row r="583" ht="39.75" hidden="1" customHeight="1">
      <c r="A583" s="73" t="s">
        <v>1392</v>
      </c>
      <c r="B583" s="75" t="s">
        <v>82</v>
      </c>
      <c r="C583" s="73" t="s">
        <v>348</v>
      </c>
      <c r="D583" s="77">
        <v>3.0</v>
      </c>
      <c r="E583" s="77" t="s">
        <v>1381</v>
      </c>
      <c r="F583" s="77" t="s">
        <v>148</v>
      </c>
      <c r="G583" s="77" t="s">
        <v>149</v>
      </c>
      <c r="H583" s="77" t="s">
        <v>151</v>
      </c>
      <c r="I583" s="173" t="s">
        <v>1303</v>
      </c>
      <c r="J583" s="81" t="s">
        <v>351</v>
      </c>
      <c r="K583" s="45" t="s">
        <v>352</v>
      </c>
      <c r="L583" s="149"/>
      <c r="M583" s="149"/>
      <c r="N583" s="157" t="s">
        <v>447</v>
      </c>
      <c r="O583" s="115" t="s">
        <v>198</v>
      </c>
      <c r="P583" s="151"/>
      <c r="Q583" s="44" t="s">
        <v>448</v>
      </c>
    </row>
    <row r="584" ht="39.75" hidden="1" customHeight="1">
      <c r="A584" s="94" t="s">
        <v>1393</v>
      </c>
      <c r="B584" s="96" t="s">
        <v>82</v>
      </c>
      <c r="C584" s="94" t="s">
        <v>348</v>
      </c>
      <c r="D584" s="97">
        <v>3.0</v>
      </c>
      <c r="E584" s="97" t="s">
        <v>1381</v>
      </c>
      <c r="F584" s="97" t="s">
        <v>148</v>
      </c>
      <c r="G584" s="97" t="s">
        <v>149</v>
      </c>
      <c r="H584" s="97" t="s">
        <v>151</v>
      </c>
      <c r="I584" s="173" t="s">
        <v>1303</v>
      </c>
      <c r="J584" s="100" t="s">
        <v>351</v>
      </c>
      <c r="K584" s="101" t="s">
        <v>352</v>
      </c>
      <c r="L584" s="174" t="s">
        <v>180</v>
      </c>
      <c r="M584" s="50" t="s">
        <v>64</v>
      </c>
      <c r="N584" s="43" t="s">
        <v>55</v>
      </c>
      <c r="O584" s="105" t="s">
        <v>166</v>
      </c>
      <c r="P584" s="101" t="s">
        <v>1189</v>
      </c>
      <c r="Q584" s="107" t="s">
        <v>1394</v>
      </c>
    </row>
    <row r="585" ht="39.75" hidden="1" customHeight="1">
      <c r="A585" s="73" t="s">
        <v>1281</v>
      </c>
      <c r="B585" s="75" t="s">
        <v>82</v>
      </c>
      <c r="C585" s="73" t="s">
        <v>348</v>
      </c>
      <c r="D585" s="77">
        <v>3.0</v>
      </c>
      <c r="E585" s="77" t="s">
        <v>1396</v>
      </c>
      <c r="F585" s="77" t="s">
        <v>148</v>
      </c>
      <c r="G585" s="77" t="s">
        <v>149</v>
      </c>
      <c r="H585" s="77" t="s">
        <v>151</v>
      </c>
      <c r="I585" s="173" t="s">
        <v>1303</v>
      </c>
      <c r="J585" s="81" t="s">
        <v>351</v>
      </c>
      <c r="K585" s="45" t="s">
        <v>352</v>
      </c>
      <c r="L585" s="149"/>
      <c r="M585" s="149"/>
      <c r="N585" s="157" t="s">
        <v>447</v>
      </c>
      <c r="O585" s="115" t="s">
        <v>198</v>
      </c>
      <c r="P585" s="151"/>
      <c r="Q585" s="44" t="s">
        <v>448</v>
      </c>
    </row>
    <row r="586" ht="39.75" hidden="1" customHeight="1">
      <c r="A586" s="94" t="s">
        <v>1283</v>
      </c>
      <c r="B586" s="96" t="s">
        <v>82</v>
      </c>
      <c r="C586" s="94" t="s">
        <v>348</v>
      </c>
      <c r="D586" s="97">
        <v>3.0</v>
      </c>
      <c r="E586" s="97" t="s">
        <v>1396</v>
      </c>
      <c r="F586" s="97" t="s">
        <v>148</v>
      </c>
      <c r="G586" s="97" t="s">
        <v>149</v>
      </c>
      <c r="H586" s="97" t="s">
        <v>151</v>
      </c>
      <c r="I586" s="173" t="s">
        <v>1303</v>
      </c>
      <c r="J586" s="100" t="s">
        <v>351</v>
      </c>
      <c r="K586" s="101" t="s">
        <v>352</v>
      </c>
      <c r="L586" s="149"/>
      <c r="M586" s="149"/>
      <c r="N586" s="157" t="s">
        <v>447</v>
      </c>
      <c r="O586" s="124" t="s">
        <v>198</v>
      </c>
      <c r="P586" s="159"/>
      <c r="Q586" s="107" t="s">
        <v>448</v>
      </c>
    </row>
    <row r="587" ht="39.75" hidden="1" customHeight="1">
      <c r="A587" s="73" t="s">
        <v>1293</v>
      </c>
      <c r="B587" s="75" t="s">
        <v>82</v>
      </c>
      <c r="C587" s="73" t="s">
        <v>348</v>
      </c>
      <c r="D587" s="77">
        <v>3.0</v>
      </c>
      <c r="E587" s="77" t="s">
        <v>1396</v>
      </c>
      <c r="F587" s="77" t="s">
        <v>148</v>
      </c>
      <c r="G587" s="77" t="s">
        <v>149</v>
      </c>
      <c r="H587" s="77" t="s">
        <v>151</v>
      </c>
      <c r="I587" s="173" t="s">
        <v>1303</v>
      </c>
      <c r="J587" s="81" t="s">
        <v>351</v>
      </c>
      <c r="K587" s="45" t="s">
        <v>352</v>
      </c>
      <c r="L587" s="149"/>
      <c r="M587" s="149"/>
      <c r="N587" s="157" t="s">
        <v>447</v>
      </c>
      <c r="O587" s="115" t="s">
        <v>198</v>
      </c>
      <c r="P587" s="151"/>
      <c r="Q587" s="44" t="s">
        <v>448</v>
      </c>
    </row>
    <row r="588" ht="39.75" hidden="1" customHeight="1">
      <c r="A588" s="94" t="s">
        <v>1308</v>
      </c>
      <c r="B588" s="96" t="s">
        <v>82</v>
      </c>
      <c r="C588" s="94" t="s">
        <v>348</v>
      </c>
      <c r="D588" s="97">
        <v>3.0</v>
      </c>
      <c r="E588" s="97" t="s">
        <v>1396</v>
      </c>
      <c r="F588" s="97" t="s">
        <v>148</v>
      </c>
      <c r="G588" s="97" t="s">
        <v>149</v>
      </c>
      <c r="H588" s="97" t="s">
        <v>151</v>
      </c>
      <c r="I588" s="173" t="s">
        <v>1303</v>
      </c>
      <c r="J588" s="100" t="s">
        <v>351</v>
      </c>
      <c r="K588" s="101" t="s">
        <v>352</v>
      </c>
      <c r="L588" s="153" t="s">
        <v>210</v>
      </c>
      <c r="M588" s="50" t="s">
        <v>64</v>
      </c>
      <c r="N588" s="43" t="s">
        <v>55</v>
      </c>
      <c r="O588" s="105" t="s">
        <v>166</v>
      </c>
      <c r="P588" s="101" t="s">
        <v>1189</v>
      </c>
      <c r="Q588" s="107" t="s">
        <v>1190</v>
      </c>
    </row>
    <row r="589" ht="39.75" hidden="1" customHeight="1">
      <c r="A589" s="73" t="s">
        <v>1361</v>
      </c>
      <c r="B589" s="75" t="s">
        <v>82</v>
      </c>
      <c r="C589" s="73" t="s">
        <v>348</v>
      </c>
      <c r="D589" s="77">
        <v>3.0</v>
      </c>
      <c r="E589" s="77" t="s">
        <v>1396</v>
      </c>
      <c r="F589" s="77" t="s">
        <v>148</v>
      </c>
      <c r="G589" s="77" t="s">
        <v>149</v>
      </c>
      <c r="H589" s="77" t="s">
        <v>151</v>
      </c>
      <c r="I589" s="173" t="s">
        <v>1303</v>
      </c>
      <c r="J589" s="81" t="s">
        <v>351</v>
      </c>
      <c r="K589" s="45" t="s">
        <v>352</v>
      </c>
      <c r="L589" s="149"/>
      <c r="M589" s="149"/>
      <c r="N589" s="157" t="s">
        <v>447</v>
      </c>
      <c r="O589" s="115" t="s">
        <v>198</v>
      </c>
      <c r="P589" s="151"/>
      <c r="Q589" s="44" t="s">
        <v>448</v>
      </c>
    </row>
    <row r="590" ht="39.75" hidden="1" customHeight="1">
      <c r="A590" s="94" t="s">
        <v>1376</v>
      </c>
      <c r="B590" s="96" t="s">
        <v>82</v>
      </c>
      <c r="C590" s="94" t="s">
        <v>348</v>
      </c>
      <c r="D590" s="97">
        <v>3.0</v>
      </c>
      <c r="E590" s="97" t="s">
        <v>1396</v>
      </c>
      <c r="F590" s="97" t="s">
        <v>148</v>
      </c>
      <c r="G590" s="97" t="s">
        <v>149</v>
      </c>
      <c r="H590" s="97" t="s">
        <v>151</v>
      </c>
      <c r="I590" s="173" t="s">
        <v>1303</v>
      </c>
      <c r="J590" s="100" t="s">
        <v>351</v>
      </c>
      <c r="K590" s="101" t="s">
        <v>352</v>
      </c>
      <c r="L590" s="149"/>
      <c r="M590" s="149"/>
      <c r="N590" s="157" t="s">
        <v>447</v>
      </c>
      <c r="O590" s="124" t="s">
        <v>198</v>
      </c>
      <c r="P590" s="159"/>
      <c r="Q590" s="107" t="s">
        <v>448</v>
      </c>
    </row>
    <row r="591" ht="39.75" hidden="1" customHeight="1">
      <c r="A591" s="73" t="s">
        <v>1382</v>
      </c>
      <c r="B591" s="75" t="s">
        <v>82</v>
      </c>
      <c r="C591" s="73" t="s">
        <v>348</v>
      </c>
      <c r="D591" s="77">
        <v>3.0</v>
      </c>
      <c r="E591" s="77" t="s">
        <v>1396</v>
      </c>
      <c r="F591" s="77" t="s">
        <v>148</v>
      </c>
      <c r="G591" s="77" t="s">
        <v>149</v>
      </c>
      <c r="H591" s="77" t="s">
        <v>151</v>
      </c>
      <c r="I591" s="173" t="s">
        <v>1303</v>
      </c>
      <c r="J591" s="81" t="s">
        <v>351</v>
      </c>
      <c r="K591" s="45" t="s">
        <v>352</v>
      </c>
      <c r="L591" s="149"/>
      <c r="M591" s="149"/>
      <c r="N591" s="157" t="s">
        <v>447</v>
      </c>
      <c r="O591" s="115" t="s">
        <v>198</v>
      </c>
      <c r="P591" s="151"/>
      <c r="Q591" s="44" t="s">
        <v>448</v>
      </c>
    </row>
    <row r="592" ht="39.75" hidden="1" customHeight="1">
      <c r="A592" s="94" t="s">
        <v>1383</v>
      </c>
      <c r="B592" s="96" t="s">
        <v>82</v>
      </c>
      <c r="C592" s="94" t="s">
        <v>348</v>
      </c>
      <c r="D592" s="97">
        <v>3.0</v>
      </c>
      <c r="E592" s="97" t="s">
        <v>1396</v>
      </c>
      <c r="F592" s="97" t="s">
        <v>148</v>
      </c>
      <c r="G592" s="97" t="s">
        <v>149</v>
      </c>
      <c r="H592" s="97" t="s">
        <v>151</v>
      </c>
      <c r="I592" s="173" t="s">
        <v>1303</v>
      </c>
      <c r="J592" s="100" t="s">
        <v>351</v>
      </c>
      <c r="K592" s="101" t="s">
        <v>352</v>
      </c>
      <c r="L592" s="174" t="s">
        <v>180</v>
      </c>
      <c r="M592" s="86" t="s">
        <v>164</v>
      </c>
      <c r="N592" s="43" t="s">
        <v>55</v>
      </c>
      <c r="O592" s="105" t="s">
        <v>166</v>
      </c>
      <c r="P592" s="101" t="s">
        <v>1189</v>
      </c>
      <c r="Q592" s="107" t="s">
        <v>1190</v>
      </c>
    </row>
    <row r="593" ht="39.75" hidden="1" customHeight="1">
      <c r="A593" s="73" t="s">
        <v>1384</v>
      </c>
      <c r="B593" s="75" t="s">
        <v>82</v>
      </c>
      <c r="C593" s="73" t="s">
        <v>348</v>
      </c>
      <c r="D593" s="77">
        <v>3.0</v>
      </c>
      <c r="E593" s="77" t="s">
        <v>1396</v>
      </c>
      <c r="F593" s="77" t="s">
        <v>148</v>
      </c>
      <c r="G593" s="77" t="s">
        <v>149</v>
      </c>
      <c r="H593" s="77" t="s">
        <v>151</v>
      </c>
      <c r="I593" s="173" t="s">
        <v>1303</v>
      </c>
      <c r="J593" s="81" t="s">
        <v>351</v>
      </c>
      <c r="K593" s="45" t="s">
        <v>352</v>
      </c>
      <c r="L593" s="149"/>
      <c r="M593" s="149"/>
      <c r="N593" s="157" t="s">
        <v>447</v>
      </c>
      <c r="O593" s="115" t="s">
        <v>198</v>
      </c>
      <c r="P593" s="151"/>
      <c r="Q593" s="44" t="s">
        <v>448</v>
      </c>
    </row>
    <row r="594" ht="39.75" hidden="1" customHeight="1">
      <c r="A594" s="94" t="s">
        <v>1387</v>
      </c>
      <c r="B594" s="96" t="s">
        <v>82</v>
      </c>
      <c r="C594" s="94" t="s">
        <v>348</v>
      </c>
      <c r="D594" s="97">
        <v>3.0</v>
      </c>
      <c r="E594" s="97" t="s">
        <v>1396</v>
      </c>
      <c r="F594" s="97" t="s">
        <v>148</v>
      </c>
      <c r="G594" s="97" t="s">
        <v>149</v>
      </c>
      <c r="H594" s="97" t="s">
        <v>151</v>
      </c>
      <c r="I594" s="173" t="s">
        <v>1303</v>
      </c>
      <c r="J594" s="100" t="s">
        <v>351</v>
      </c>
      <c r="K594" s="101" t="s">
        <v>352</v>
      </c>
      <c r="L594" s="137" t="s">
        <v>164</v>
      </c>
      <c r="M594" s="50" t="s">
        <v>64</v>
      </c>
      <c r="N594" s="43" t="s">
        <v>55</v>
      </c>
      <c r="O594" s="105" t="s">
        <v>166</v>
      </c>
      <c r="P594" s="101" t="s">
        <v>1189</v>
      </c>
      <c r="Q594" s="107" t="s">
        <v>1190</v>
      </c>
    </row>
    <row r="595" ht="39.75" hidden="1" customHeight="1">
      <c r="A595" s="73" t="s">
        <v>1401</v>
      </c>
      <c r="B595" s="75" t="s">
        <v>82</v>
      </c>
      <c r="C595" s="73" t="s">
        <v>348</v>
      </c>
      <c r="D595" s="77">
        <v>3.0</v>
      </c>
      <c r="E595" s="77" t="s">
        <v>1396</v>
      </c>
      <c r="F595" s="77" t="s">
        <v>148</v>
      </c>
      <c r="G595" s="77" t="s">
        <v>149</v>
      </c>
      <c r="H595" s="77" t="s">
        <v>151</v>
      </c>
      <c r="I595" s="173" t="s">
        <v>1303</v>
      </c>
      <c r="J595" s="81" t="s">
        <v>351</v>
      </c>
      <c r="K595" s="45" t="s">
        <v>352</v>
      </c>
      <c r="L595" s="140" t="s">
        <v>52</v>
      </c>
      <c r="M595" s="86" t="s">
        <v>164</v>
      </c>
      <c r="N595" s="43" t="s">
        <v>55</v>
      </c>
      <c r="O595" s="59" t="s">
        <v>166</v>
      </c>
      <c r="P595" s="45" t="s">
        <v>1189</v>
      </c>
      <c r="Q595" s="44" t="s">
        <v>1190</v>
      </c>
    </row>
    <row r="596" ht="39.75" hidden="1" customHeight="1">
      <c r="A596" s="94" t="s">
        <v>1408</v>
      </c>
      <c r="B596" s="96" t="s">
        <v>82</v>
      </c>
      <c r="C596" s="94" t="s">
        <v>348</v>
      </c>
      <c r="D596" s="97">
        <v>3.0</v>
      </c>
      <c r="E596" s="97" t="s">
        <v>1396</v>
      </c>
      <c r="F596" s="97" t="s">
        <v>148</v>
      </c>
      <c r="G596" s="97" t="s">
        <v>149</v>
      </c>
      <c r="H596" s="97" t="s">
        <v>151</v>
      </c>
      <c r="I596" s="173" t="s">
        <v>1303</v>
      </c>
      <c r="J596" s="100" t="s">
        <v>351</v>
      </c>
      <c r="K596" s="101" t="s">
        <v>352</v>
      </c>
      <c r="L596" s="125" t="s">
        <v>92</v>
      </c>
      <c r="M596" s="49" t="s">
        <v>63</v>
      </c>
      <c r="N596" s="43" t="s">
        <v>55</v>
      </c>
      <c r="O596" s="105" t="s">
        <v>166</v>
      </c>
      <c r="P596" s="101" t="s">
        <v>1189</v>
      </c>
      <c r="Q596" s="107" t="s">
        <v>1190</v>
      </c>
    </row>
    <row r="597" ht="39.75" hidden="1" customHeight="1">
      <c r="A597" s="73" t="s">
        <v>1299</v>
      </c>
      <c r="B597" s="75" t="s">
        <v>82</v>
      </c>
      <c r="C597" s="73" t="s">
        <v>348</v>
      </c>
      <c r="D597" s="77">
        <v>3.0</v>
      </c>
      <c r="E597" s="77" t="s">
        <v>1410</v>
      </c>
      <c r="F597" s="77" t="s">
        <v>148</v>
      </c>
      <c r="G597" s="77" t="s">
        <v>149</v>
      </c>
      <c r="H597" s="77" t="s">
        <v>151</v>
      </c>
      <c r="I597" s="173" t="s">
        <v>1303</v>
      </c>
      <c r="J597" s="81" t="s">
        <v>1411</v>
      </c>
      <c r="K597" s="45" t="s">
        <v>1412</v>
      </c>
      <c r="L597" s="174" t="s">
        <v>180</v>
      </c>
      <c r="M597" s="50" t="s">
        <v>64</v>
      </c>
      <c r="N597" s="43" t="s">
        <v>55</v>
      </c>
      <c r="O597" s="59" t="s">
        <v>166</v>
      </c>
      <c r="P597" s="45" t="s">
        <v>1189</v>
      </c>
      <c r="Q597" s="44" t="s">
        <v>1190</v>
      </c>
    </row>
    <row r="598" ht="39.75" hidden="1" customHeight="1">
      <c r="A598" s="94" t="s">
        <v>1305</v>
      </c>
      <c r="B598" s="96" t="s">
        <v>82</v>
      </c>
      <c r="C598" s="94" t="s">
        <v>348</v>
      </c>
      <c r="D598" s="97">
        <v>3.0</v>
      </c>
      <c r="E598" s="97" t="s">
        <v>1410</v>
      </c>
      <c r="F598" s="97" t="s">
        <v>148</v>
      </c>
      <c r="G598" s="97" t="s">
        <v>149</v>
      </c>
      <c r="H598" s="97" t="s">
        <v>151</v>
      </c>
      <c r="I598" s="173" t="s">
        <v>1303</v>
      </c>
      <c r="J598" s="100" t="s">
        <v>1411</v>
      </c>
      <c r="K598" s="101" t="s">
        <v>1412</v>
      </c>
      <c r="L598" s="125" t="s">
        <v>92</v>
      </c>
      <c r="M598" s="50" t="s">
        <v>64</v>
      </c>
      <c r="N598" s="43" t="s">
        <v>55</v>
      </c>
      <c r="O598" s="105" t="s">
        <v>166</v>
      </c>
      <c r="P598" s="101" t="s">
        <v>1189</v>
      </c>
      <c r="Q598" s="107" t="s">
        <v>1190</v>
      </c>
    </row>
    <row r="599" ht="39.75" hidden="1" customHeight="1">
      <c r="A599" s="73" t="s">
        <v>1331</v>
      </c>
      <c r="B599" s="75" t="s">
        <v>82</v>
      </c>
      <c r="C599" s="73" t="s">
        <v>348</v>
      </c>
      <c r="D599" s="77">
        <v>3.0</v>
      </c>
      <c r="E599" s="77" t="s">
        <v>1410</v>
      </c>
      <c r="F599" s="77" t="s">
        <v>148</v>
      </c>
      <c r="G599" s="77" t="s">
        <v>149</v>
      </c>
      <c r="H599" s="77" t="s">
        <v>151</v>
      </c>
      <c r="I599" s="173" t="s">
        <v>1303</v>
      </c>
      <c r="J599" s="81" t="s">
        <v>1411</v>
      </c>
      <c r="K599" s="45" t="s">
        <v>1412</v>
      </c>
      <c r="L599" s="149"/>
      <c r="M599" s="149"/>
      <c r="N599" s="157" t="s">
        <v>447</v>
      </c>
      <c r="O599" s="115" t="s">
        <v>198</v>
      </c>
      <c r="P599" s="151"/>
      <c r="Q599" s="44" t="s">
        <v>448</v>
      </c>
    </row>
    <row r="600" ht="39.75" hidden="1" customHeight="1">
      <c r="A600" s="94" t="s">
        <v>1349</v>
      </c>
      <c r="B600" s="96" t="s">
        <v>82</v>
      </c>
      <c r="C600" s="94" t="s">
        <v>348</v>
      </c>
      <c r="D600" s="97">
        <v>3.0</v>
      </c>
      <c r="E600" s="97" t="s">
        <v>1410</v>
      </c>
      <c r="F600" s="97" t="s">
        <v>148</v>
      </c>
      <c r="G600" s="97" t="s">
        <v>149</v>
      </c>
      <c r="H600" s="97" t="s">
        <v>151</v>
      </c>
      <c r="I600" s="173" t="s">
        <v>1303</v>
      </c>
      <c r="J600" s="100" t="s">
        <v>1411</v>
      </c>
      <c r="K600" s="101" t="s">
        <v>1412</v>
      </c>
      <c r="L600" s="149"/>
      <c r="M600" s="149"/>
      <c r="N600" s="157" t="s">
        <v>447</v>
      </c>
      <c r="O600" s="124" t="s">
        <v>198</v>
      </c>
      <c r="P600" s="159"/>
      <c r="Q600" s="107" t="s">
        <v>448</v>
      </c>
    </row>
    <row r="601" ht="39.75" hidden="1" customHeight="1">
      <c r="A601" s="73" t="s">
        <v>1365</v>
      </c>
      <c r="B601" s="75" t="s">
        <v>82</v>
      </c>
      <c r="C601" s="73" t="s">
        <v>348</v>
      </c>
      <c r="D601" s="77">
        <v>3.0</v>
      </c>
      <c r="E601" s="77" t="s">
        <v>1410</v>
      </c>
      <c r="F601" s="77" t="s">
        <v>148</v>
      </c>
      <c r="G601" s="77" t="s">
        <v>149</v>
      </c>
      <c r="H601" s="77" t="s">
        <v>151</v>
      </c>
      <c r="I601" s="173" t="s">
        <v>1303</v>
      </c>
      <c r="J601" s="81" t="s">
        <v>1411</v>
      </c>
      <c r="K601" s="45" t="s">
        <v>1412</v>
      </c>
      <c r="L601" s="149"/>
      <c r="M601" s="149"/>
      <c r="N601" s="157" t="s">
        <v>447</v>
      </c>
      <c r="O601" s="115" t="s">
        <v>198</v>
      </c>
      <c r="P601" s="151"/>
      <c r="Q601" s="44" t="s">
        <v>448</v>
      </c>
    </row>
    <row r="602" ht="39.75" hidden="1" customHeight="1">
      <c r="A602" s="94" t="s">
        <v>1370</v>
      </c>
      <c r="B602" s="96" t="s">
        <v>82</v>
      </c>
      <c r="C602" s="94" t="s">
        <v>348</v>
      </c>
      <c r="D602" s="97">
        <v>3.0</v>
      </c>
      <c r="E602" s="97" t="s">
        <v>1410</v>
      </c>
      <c r="F602" s="97" t="s">
        <v>148</v>
      </c>
      <c r="G602" s="97" t="s">
        <v>149</v>
      </c>
      <c r="H602" s="97" t="s">
        <v>151</v>
      </c>
      <c r="I602" s="173" t="s">
        <v>1303</v>
      </c>
      <c r="J602" s="100" t="s">
        <v>1411</v>
      </c>
      <c r="K602" s="101" t="s">
        <v>1412</v>
      </c>
      <c r="L602" s="137" t="s">
        <v>164</v>
      </c>
      <c r="M602" s="50" t="s">
        <v>64</v>
      </c>
      <c r="N602" s="43" t="s">
        <v>55</v>
      </c>
      <c r="O602" s="105" t="s">
        <v>166</v>
      </c>
      <c r="P602" s="101" t="s">
        <v>1189</v>
      </c>
      <c r="Q602" s="107" t="s">
        <v>1190</v>
      </c>
    </row>
    <row r="603" ht="39.75" hidden="1" customHeight="1">
      <c r="A603" s="73" t="s">
        <v>1386</v>
      </c>
      <c r="B603" s="75" t="s">
        <v>82</v>
      </c>
      <c r="C603" s="73" t="s">
        <v>348</v>
      </c>
      <c r="D603" s="77">
        <v>3.0</v>
      </c>
      <c r="E603" s="77" t="s">
        <v>1410</v>
      </c>
      <c r="F603" s="77" t="s">
        <v>148</v>
      </c>
      <c r="G603" s="77" t="s">
        <v>149</v>
      </c>
      <c r="H603" s="77" t="s">
        <v>151</v>
      </c>
      <c r="I603" s="173" t="s">
        <v>1303</v>
      </c>
      <c r="J603" s="81" t="s">
        <v>1411</v>
      </c>
      <c r="K603" s="45" t="s">
        <v>1412</v>
      </c>
      <c r="L603" s="149"/>
      <c r="M603" s="149"/>
      <c r="N603" s="157" t="s">
        <v>447</v>
      </c>
      <c r="O603" s="115" t="s">
        <v>198</v>
      </c>
      <c r="P603" s="151"/>
      <c r="Q603" s="44" t="s">
        <v>448</v>
      </c>
    </row>
    <row r="604" ht="39.75" hidden="1" customHeight="1">
      <c r="A604" s="94" t="s">
        <v>1389</v>
      </c>
      <c r="B604" s="96" t="s">
        <v>82</v>
      </c>
      <c r="C604" s="94" t="s">
        <v>348</v>
      </c>
      <c r="D604" s="97">
        <v>3.0</v>
      </c>
      <c r="E604" s="97" t="s">
        <v>1410</v>
      </c>
      <c r="F604" s="97" t="s">
        <v>148</v>
      </c>
      <c r="G604" s="97" t="s">
        <v>149</v>
      </c>
      <c r="H604" s="97" t="s">
        <v>151</v>
      </c>
      <c r="I604" s="173" t="s">
        <v>1303</v>
      </c>
      <c r="J604" s="100" t="s">
        <v>1411</v>
      </c>
      <c r="K604" s="101" t="s">
        <v>1412</v>
      </c>
      <c r="L604" s="149"/>
      <c r="M604" s="149"/>
      <c r="N604" s="157" t="s">
        <v>447</v>
      </c>
      <c r="O604" s="124" t="s">
        <v>198</v>
      </c>
      <c r="P604" s="159"/>
      <c r="Q604" s="107" t="s">
        <v>448</v>
      </c>
    </row>
    <row r="605" ht="39.75" hidden="1" customHeight="1">
      <c r="A605" s="73" t="s">
        <v>1391</v>
      </c>
      <c r="B605" s="75" t="s">
        <v>82</v>
      </c>
      <c r="C605" s="73" t="s">
        <v>348</v>
      </c>
      <c r="D605" s="77">
        <v>3.0</v>
      </c>
      <c r="E605" s="77" t="s">
        <v>1410</v>
      </c>
      <c r="F605" s="77" t="s">
        <v>148</v>
      </c>
      <c r="G605" s="77" t="s">
        <v>149</v>
      </c>
      <c r="H605" s="77" t="s">
        <v>151</v>
      </c>
      <c r="I605" s="173" t="s">
        <v>1303</v>
      </c>
      <c r="J605" s="81" t="s">
        <v>1411</v>
      </c>
      <c r="K605" s="45" t="s">
        <v>1412</v>
      </c>
      <c r="L605" s="149"/>
      <c r="M605" s="149"/>
      <c r="N605" s="157" t="s">
        <v>447</v>
      </c>
      <c r="O605" s="115" t="s">
        <v>198</v>
      </c>
      <c r="P605" s="151"/>
      <c r="Q605" s="44" t="s">
        <v>448</v>
      </c>
    </row>
    <row r="606" ht="39.75" hidden="1" customHeight="1">
      <c r="A606" s="94" t="s">
        <v>1397</v>
      </c>
      <c r="B606" s="96" t="s">
        <v>82</v>
      </c>
      <c r="C606" s="94" t="s">
        <v>348</v>
      </c>
      <c r="D606" s="97">
        <v>3.0</v>
      </c>
      <c r="E606" s="97" t="s">
        <v>1410</v>
      </c>
      <c r="F606" s="97" t="s">
        <v>148</v>
      </c>
      <c r="G606" s="97" t="s">
        <v>149</v>
      </c>
      <c r="H606" s="97" t="s">
        <v>151</v>
      </c>
      <c r="I606" s="173" t="s">
        <v>1303</v>
      </c>
      <c r="J606" s="100" t="s">
        <v>1411</v>
      </c>
      <c r="K606" s="101" t="s">
        <v>1412</v>
      </c>
      <c r="L606" s="149"/>
      <c r="M606" s="149"/>
      <c r="N606" s="157" t="s">
        <v>447</v>
      </c>
      <c r="O606" s="124" t="s">
        <v>198</v>
      </c>
      <c r="P606" s="159"/>
      <c r="Q606" s="107" t="s">
        <v>448</v>
      </c>
    </row>
    <row r="607" ht="39.75" hidden="1" customHeight="1">
      <c r="A607" s="73" t="s">
        <v>1402</v>
      </c>
      <c r="B607" s="75" t="s">
        <v>82</v>
      </c>
      <c r="C607" s="73" t="s">
        <v>348</v>
      </c>
      <c r="D607" s="77">
        <v>3.0</v>
      </c>
      <c r="E607" s="77" t="s">
        <v>1410</v>
      </c>
      <c r="F607" s="77" t="s">
        <v>148</v>
      </c>
      <c r="G607" s="77" t="s">
        <v>149</v>
      </c>
      <c r="H607" s="77" t="s">
        <v>151</v>
      </c>
      <c r="I607" s="173" t="s">
        <v>1303</v>
      </c>
      <c r="J607" s="81" t="s">
        <v>1411</v>
      </c>
      <c r="K607" s="45" t="s">
        <v>1412</v>
      </c>
      <c r="L607" s="88" t="s">
        <v>63</v>
      </c>
      <c r="M607" s="50" t="s">
        <v>64</v>
      </c>
      <c r="N607" s="43" t="s">
        <v>55</v>
      </c>
      <c r="O607" s="59" t="s">
        <v>166</v>
      </c>
      <c r="P607" s="45" t="s">
        <v>1189</v>
      </c>
      <c r="Q607" s="44" t="s">
        <v>1190</v>
      </c>
    </row>
    <row r="608" ht="39.75" hidden="1" customHeight="1">
      <c r="A608" s="94" t="s">
        <v>1413</v>
      </c>
      <c r="B608" s="96" t="s">
        <v>82</v>
      </c>
      <c r="C608" s="94" t="s">
        <v>348</v>
      </c>
      <c r="D608" s="97">
        <v>3.0</v>
      </c>
      <c r="E608" s="97" t="s">
        <v>1410</v>
      </c>
      <c r="F608" s="97" t="s">
        <v>148</v>
      </c>
      <c r="G608" s="97" t="s">
        <v>149</v>
      </c>
      <c r="H608" s="97" t="s">
        <v>151</v>
      </c>
      <c r="I608" s="173" t="s">
        <v>1303</v>
      </c>
      <c r="J608" s="100" t="s">
        <v>1411</v>
      </c>
      <c r="K608" s="101" t="s">
        <v>1412</v>
      </c>
      <c r="L608" s="149"/>
      <c r="M608" s="149"/>
      <c r="N608" s="157" t="s">
        <v>447</v>
      </c>
      <c r="O608" s="124" t="s">
        <v>198</v>
      </c>
      <c r="P608" s="159"/>
      <c r="Q608" s="107" t="s">
        <v>448</v>
      </c>
    </row>
    <row r="609" ht="39.75" hidden="1" customHeight="1">
      <c r="A609" s="73" t="s">
        <v>1265</v>
      </c>
      <c r="B609" s="75" t="s">
        <v>82</v>
      </c>
      <c r="C609" s="73" t="s">
        <v>348</v>
      </c>
      <c r="D609" s="77">
        <v>3.0</v>
      </c>
      <c r="E609" s="77" t="s">
        <v>1428</v>
      </c>
      <c r="F609" s="77" t="s">
        <v>148</v>
      </c>
      <c r="G609" s="77" t="s">
        <v>149</v>
      </c>
      <c r="H609" s="77" t="s">
        <v>151</v>
      </c>
      <c r="I609" s="173" t="s">
        <v>1303</v>
      </c>
      <c r="J609" s="81" t="s">
        <v>1429</v>
      </c>
      <c r="K609" s="45" t="s">
        <v>1430</v>
      </c>
      <c r="L609" s="149"/>
      <c r="M609" s="149"/>
      <c r="N609" s="157" t="s">
        <v>447</v>
      </c>
      <c r="O609" s="115" t="s">
        <v>198</v>
      </c>
      <c r="P609" s="151"/>
      <c r="Q609" s="44" t="s">
        <v>448</v>
      </c>
    </row>
    <row r="610" ht="39.75" hidden="1" customHeight="1">
      <c r="A610" s="94" t="s">
        <v>1271</v>
      </c>
      <c r="B610" s="96" t="s">
        <v>82</v>
      </c>
      <c r="C610" s="94" t="s">
        <v>348</v>
      </c>
      <c r="D610" s="97">
        <v>3.0</v>
      </c>
      <c r="E610" s="97" t="s">
        <v>1428</v>
      </c>
      <c r="F610" s="97" t="s">
        <v>148</v>
      </c>
      <c r="G610" s="97" t="s">
        <v>149</v>
      </c>
      <c r="H610" s="97" t="s">
        <v>151</v>
      </c>
      <c r="I610" s="173" t="s">
        <v>1303</v>
      </c>
      <c r="J610" s="100" t="s">
        <v>1429</v>
      </c>
      <c r="K610" s="101" t="s">
        <v>1430</v>
      </c>
      <c r="L610" s="149"/>
      <c r="M610" s="149"/>
      <c r="N610" s="157" t="s">
        <v>447</v>
      </c>
      <c r="O610" s="124" t="s">
        <v>198</v>
      </c>
      <c r="P610" s="159"/>
      <c r="Q610" s="107" t="s">
        <v>448</v>
      </c>
    </row>
    <row r="611" ht="39.75" hidden="1" customHeight="1">
      <c r="A611" s="73" t="s">
        <v>1284</v>
      </c>
      <c r="B611" s="75" t="s">
        <v>82</v>
      </c>
      <c r="C611" s="73" t="s">
        <v>348</v>
      </c>
      <c r="D611" s="77">
        <v>3.0</v>
      </c>
      <c r="E611" s="77" t="s">
        <v>1428</v>
      </c>
      <c r="F611" s="77" t="s">
        <v>148</v>
      </c>
      <c r="G611" s="77" t="s">
        <v>149</v>
      </c>
      <c r="H611" s="77" t="s">
        <v>151</v>
      </c>
      <c r="I611" s="173" t="s">
        <v>1303</v>
      </c>
      <c r="J611" s="81" t="s">
        <v>1429</v>
      </c>
      <c r="K611" s="45" t="s">
        <v>1430</v>
      </c>
      <c r="L611" s="140" t="s">
        <v>52</v>
      </c>
      <c r="M611" s="62" t="s">
        <v>92</v>
      </c>
      <c r="N611" s="43" t="s">
        <v>55</v>
      </c>
      <c r="O611" s="59" t="s">
        <v>166</v>
      </c>
      <c r="P611" s="45" t="s">
        <v>1189</v>
      </c>
      <c r="Q611" s="44" t="s">
        <v>1190</v>
      </c>
    </row>
    <row r="612" ht="39.75" hidden="1" customHeight="1">
      <c r="A612" s="94" t="s">
        <v>1289</v>
      </c>
      <c r="B612" s="96" t="s">
        <v>82</v>
      </c>
      <c r="C612" s="94" t="s">
        <v>348</v>
      </c>
      <c r="D612" s="97">
        <v>3.0</v>
      </c>
      <c r="E612" s="97" t="s">
        <v>1428</v>
      </c>
      <c r="F612" s="97" t="s">
        <v>148</v>
      </c>
      <c r="G612" s="97" t="s">
        <v>149</v>
      </c>
      <c r="H612" s="97" t="s">
        <v>151</v>
      </c>
      <c r="I612" s="173" t="s">
        <v>1303</v>
      </c>
      <c r="J612" s="100" t="s">
        <v>1429</v>
      </c>
      <c r="K612" s="101" t="s">
        <v>1430</v>
      </c>
      <c r="L612" s="125" t="s">
        <v>92</v>
      </c>
      <c r="M612" s="50" t="s">
        <v>64</v>
      </c>
      <c r="N612" s="43" t="s">
        <v>55</v>
      </c>
      <c r="O612" s="105" t="s">
        <v>166</v>
      </c>
      <c r="P612" s="101" t="s">
        <v>1189</v>
      </c>
      <c r="Q612" s="107" t="s">
        <v>1190</v>
      </c>
    </row>
    <row r="613" ht="39.75" hidden="1" customHeight="1">
      <c r="A613" s="73" t="s">
        <v>1312</v>
      </c>
      <c r="B613" s="75" t="s">
        <v>82</v>
      </c>
      <c r="C613" s="73" t="s">
        <v>348</v>
      </c>
      <c r="D613" s="77">
        <v>3.0</v>
      </c>
      <c r="E613" s="77" t="s">
        <v>1428</v>
      </c>
      <c r="F613" s="77" t="s">
        <v>148</v>
      </c>
      <c r="G613" s="77" t="s">
        <v>149</v>
      </c>
      <c r="H613" s="77" t="s">
        <v>151</v>
      </c>
      <c r="I613" s="173" t="s">
        <v>1303</v>
      </c>
      <c r="J613" s="81" t="s">
        <v>1429</v>
      </c>
      <c r="K613" s="45" t="s">
        <v>1430</v>
      </c>
      <c r="L613" s="125" t="s">
        <v>92</v>
      </c>
      <c r="M613" s="49" t="s">
        <v>63</v>
      </c>
      <c r="N613" s="43" t="s">
        <v>55</v>
      </c>
      <c r="O613" s="59" t="s">
        <v>166</v>
      </c>
      <c r="P613" s="45" t="s">
        <v>1189</v>
      </c>
      <c r="Q613" s="44" t="s">
        <v>1190</v>
      </c>
    </row>
    <row r="614" ht="39.75" hidden="1" customHeight="1">
      <c r="A614" s="94" t="s">
        <v>1320</v>
      </c>
      <c r="B614" s="96" t="s">
        <v>82</v>
      </c>
      <c r="C614" s="94" t="s">
        <v>348</v>
      </c>
      <c r="D614" s="97">
        <v>3.0</v>
      </c>
      <c r="E614" s="97" t="s">
        <v>1428</v>
      </c>
      <c r="F614" s="97" t="s">
        <v>148</v>
      </c>
      <c r="G614" s="97" t="s">
        <v>149</v>
      </c>
      <c r="H614" s="97" t="s">
        <v>151</v>
      </c>
      <c r="I614" s="173" t="s">
        <v>1303</v>
      </c>
      <c r="J614" s="100" t="s">
        <v>1429</v>
      </c>
      <c r="K614" s="101" t="s">
        <v>1430</v>
      </c>
      <c r="L614" s="149"/>
      <c r="M614" s="149"/>
      <c r="N614" s="157" t="s">
        <v>447</v>
      </c>
      <c r="O614" s="124" t="s">
        <v>198</v>
      </c>
      <c r="P614" s="159"/>
      <c r="Q614" s="107" t="s">
        <v>448</v>
      </c>
    </row>
    <row r="615" ht="39.75" hidden="1" customHeight="1">
      <c r="A615" s="73" t="s">
        <v>1322</v>
      </c>
      <c r="B615" s="75" t="s">
        <v>82</v>
      </c>
      <c r="C615" s="73" t="s">
        <v>348</v>
      </c>
      <c r="D615" s="77">
        <v>3.0</v>
      </c>
      <c r="E615" s="77" t="s">
        <v>1428</v>
      </c>
      <c r="F615" s="77" t="s">
        <v>148</v>
      </c>
      <c r="G615" s="77" t="s">
        <v>149</v>
      </c>
      <c r="H615" s="77" t="s">
        <v>151</v>
      </c>
      <c r="I615" s="173" t="s">
        <v>1303</v>
      </c>
      <c r="J615" s="81" t="s">
        <v>1429</v>
      </c>
      <c r="K615" s="45" t="s">
        <v>1430</v>
      </c>
      <c r="L615" s="125" t="s">
        <v>92</v>
      </c>
      <c r="M615" s="50" t="s">
        <v>64</v>
      </c>
      <c r="N615" s="43" t="s">
        <v>55</v>
      </c>
      <c r="O615" s="59" t="s">
        <v>166</v>
      </c>
      <c r="P615" s="45" t="s">
        <v>1189</v>
      </c>
      <c r="Q615" s="44" t="s">
        <v>1190</v>
      </c>
    </row>
    <row r="616" ht="39.75" hidden="1" customHeight="1">
      <c r="A616" s="94" t="s">
        <v>1334</v>
      </c>
      <c r="B616" s="96" t="s">
        <v>82</v>
      </c>
      <c r="C616" s="94" t="s">
        <v>348</v>
      </c>
      <c r="D616" s="97">
        <v>3.0</v>
      </c>
      <c r="E616" s="97" t="s">
        <v>1428</v>
      </c>
      <c r="F616" s="97" t="s">
        <v>148</v>
      </c>
      <c r="G616" s="97" t="s">
        <v>149</v>
      </c>
      <c r="H616" s="97" t="s">
        <v>151</v>
      </c>
      <c r="I616" s="173" t="s">
        <v>1303</v>
      </c>
      <c r="J616" s="100" t="s">
        <v>1429</v>
      </c>
      <c r="K616" s="101" t="s">
        <v>1430</v>
      </c>
      <c r="L616" s="125" t="s">
        <v>92</v>
      </c>
      <c r="M616" s="50" t="s">
        <v>64</v>
      </c>
      <c r="N616" s="43" t="s">
        <v>55</v>
      </c>
      <c r="O616" s="105" t="s">
        <v>166</v>
      </c>
      <c r="P616" s="101" t="s">
        <v>1189</v>
      </c>
      <c r="Q616" s="107" t="s">
        <v>1190</v>
      </c>
    </row>
    <row r="617" ht="39.75" hidden="1" customHeight="1">
      <c r="A617" s="73" t="s">
        <v>1340</v>
      </c>
      <c r="B617" s="75" t="s">
        <v>82</v>
      </c>
      <c r="C617" s="73" t="s">
        <v>348</v>
      </c>
      <c r="D617" s="77">
        <v>3.0</v>
      </c>
      <c r="E617" s="77" t="s">
        <v>1428</v>
      </c>
      <c r="F617" s="77" t="s">
        <v>148</v>
      </c>
      <c r="G617" s="77" t="s">
        <v>149</v>
      </c>
      <c r="H617" s="77" t="s">
        <v>151</v>
      </c>
      <c r="I617" s="173" t="s">
        <v>1303</v>
      </c>
      <c r="J617" s="81" t="s">
        <v>1429</v>
      </c>
      <c r="K617" s="45" t="s">
        <v>1430</v>
      </c>
      <c r="L617" s="140" t="s">
        <v>52</v>
      </c>
      <c r="M617" s="49" t="s">
        <v>63</v>
      </c>
      <c r="N617" s="43" t="s">
        <v>55</v>
      </c>
      <c r="O617" s="59" t="s">
        <v>166</v>
      </c>
      <c r="P617" s="45" t="s">
        <v>1189</v>
      </c>
      <c r="Q617" s="44" t="s">
        <v>1190</v>
      </c>
    </row>
    <row r="618" ht="39.75" hidden="1" customHeight="1">
      <c r="A618" s="94" t="s">
        <v>1344</v>
      </c>
      <c r="B618" s="96" t="s">
        <v>82</v>
      </c>
      <c r="C618" s="94" t="s">
        <v>348</v>
      </c>
      <c r="D618" s="97">
        <v>3.0</v>
      </c>
      <c r="E618" s="97" t="s">
        <v>1428</v>
      </c>
      <c r="F618" s="97" t="s">
        <v>148</v>
      </c>
      <c r="G618" s="97" t="s">
        <v>149</v>
      </c>
      <c r="H618" s="97" t="s">
        <v>151</v>
      </c>
      <c r="I618" s="173" t="s">
        <v>1303</v>
      </c>
      <c r="J618" s="100" t="s">
        <v>1429</v>
      </c>
      <c r="K618" s="101" t="s">
        <v>1430</v>
      </c>
      <c r="L618" s="125" t="s">
        <v>92</v>
      </c>
      <c r="M618" s="50" t="s">
        <v>64</v>
      </c>
      <c r="N618" s="43" t="s">
        <v>55</v>
      </c>
      <c r="O618" s="105" t="s">
        <v>166</v>
      </c>
      <c r="P618" s="101" t="s">
        <v>1189</v>
      </c>
      <c r="Q618" s="107" t="s">
        <v>1190</v>
      </c>
    </row>
    <row r="619" ht="39.75" hidden="1" customHeight="1">
      <c r="A619" s="73" t="s">
        <v>1395</v>
      </c>
      <c r="B619" s="75" t="s">
        <v>82</v>
      </c>
      <c r="C619" s="73" t="s">
        <v>348</v>
      </c>
      <c r="D619" s="77">
        <v>3.0</v>
      </c>
      <c r="E619" s="77" t="s">
        <v>1428</v>
      </c>
      <c r="F619" s="77" t="s">
        <v>148</v>
      </c>
      <c r="G619" s="77" t="s">
        <v>149</v>
      </c>
      <c r="H619" s="77" t="s">
        <v>151</v>
      </c>
      <c r="I619" s="173" t="s">
        <v>1303</v>
      </c>
      <c r="J619" s="81" t="s">
        <v>1429</v>
      </c>
      <c r="K619" s="45" t="s">
        <v>1430</v>
      </c>
      <c r="L619" s="125" t="s">
        <v>92</v>
      </c>
      <c r="M619" s="49" t="s">
        <v>63</v>
      </c>
      <c r="N619" s="43" t="s">
        <v>55</v>
      </c>
      <c r="O619" s="59" t="s">
        <v>166</v>
      </c>
      <c r="P619" s="45" t="s">
        <v>1189</v>
      </c>
      <c r="Q619" s="44" t="s">
        <v>1190</v>
      </c>
    </row>
    <row r="620" ht="30.0" hidden="1" customHeight="1">
      <c r="A620" s="94" t="s">
        <v>1404</v>
      </c>
      <c r="B620" s="96" t="s">
        <v>82</v>
      </c>
      <c r="C620" s="94" t="s">
        <v>348</v>
      </c>
      <c r="D620" s="97">
        <v>3.0</v>
      </c>
      <c r="E620" s="97" t="s">
        <v>1428</v>
      </c>
      <c r="F620" s="97" t="s">
        <v>148</v>
      </c>
      <c r="G620" s="97" t="s">
        <v>149</v>
      </c>
      <c r="H620" s="97" t="s">
        <v>151</v>
      </c>
      <c r="I620" s="173" t="s">
        <v>1303</v>
      </c>
      <c r="J620" s="100" t="s">
        <v>1429</v>
      </c>
      <c r="K620" s="101" t="s">
        <v>1430</v>
      </c>
      <c r="L620" s="176" t="s">
        <v>189</v>
      </c>
      <c r="M620" s="50" t="s">
        <v>64</v>
      </c>
      <c r="N620" s="43" t="s">
        <v>55</v>
      </c>
      <c r="O620" s="124" t="s">
        <v>56</v>
      </c>
      <c r="P620" s="101" t="s">
        <v>1406</v>
      </c>
      <c r="Q620" s="107"/>
    </row>
    <row r="621" ht="39.75" hidden="1" customHeight="1">
      <c r="A621" s="73" t="s">
        <v>1254</v>
      </c>
      <c r="B621" s="75" t="s">
        <v>82</v>
      </c>
      <c r="C621" s="73" t="s">
        <v>348</v>
      </c>
      <c r="D621" s="77">
        <v>3.0</v>
      </c>
      <c r="E621" s="77" t="s">
        <v>1470</v>
      </c>
      <c r="F621" s="77" t="s">
        <v>148</v>
      </c>
      <c r="G621" s="77" t="s">
        <v>149</v>
      </c>
      <c r="H621" s="77" t="s">
        <v>151</v>
      </c>
      <c r="I621" s="173" t="s">
        <v>1303</v>
      </c>
      <c r="J621" s="81" t="s">
        <v>351</v>
      </c>
      <c r="K621" s="45" t="s">
        <v>352</v>
      </c>
      <c r="L621" s="149"/>
      <c r="M621" s="149"/>
      <c r="N621" s="157" t="s">
        <v>447</v>
      </c>
      <c r="O621" s="115" t="s">
        <v>198</v>
      </c>
      <c r="P621" s="151"/>
      <c r="Q621" s="44" t="s">
        <v>448</v>
      </c>
    </row>
    <row r="622" ht="39.75" hidden="1" customHeight="1">
      <c r="A622" s="94" t="s">
        <v>1301</v>
      </c>
      <c r="B622" s="96" t="s">
        <v>82</v>
      </c>
      <c r="C622" s="94" t="s">
        <v>348</v>
      </c>
      <c r="D622" s="97">
        <v>3.0</v>
      </c>
      <c r="E622" s="97" t="s">
        <v>1470</v>
      </c>
      <c r="F622" s="97" t="s">
        <v>148</v>
      </c>
      <c r="G622" s="97" t="s">
        <v>149</v>
      </c>
      <c r="H622" s="97" t="s">
        <v>151</v>
      </c>
      <c r="I622" s="173" t="s">
        <v>1303</v>
      </c>
      <c r="J622" s="100" t="s">
        <v>351</v>
      </c>
      <c r="K622" s="101" t="s">
        <v>352</v>
      </c>
      <c r="L622" s="149"/>
      <c r="M622" s="149"/>
      <c r="N622" s="157" t="s">
        <v>447</v>
      </c>
      <c r="O622" s="124" t="s">
        <v>198</v>
      </c>
      <c r="P622" s="159"/>
      <c r="Q622" s="107" t="s">
        <v>448</v>
      </c>
    </row>
    <row r="623" ht="39.75" hidden="1" customHeight="1">
      <c r="A623" s="73" t="s">
        <v>1304</v>
      </c>
      <c r="B623" s="75" t="s">
        <v>82</v>
      </c>
      <c r="C623" s="73" t="s">
        <v>348</v>
      </c>
      <c r="D623" s="77">
        <v>3.0</v>
      </c>
      <c r="E623" s="77" t="s">
        <v>1470</v>
      </c>
      <c r="F623" s="77" t="s">
        <v>148</v>
      </c>
      <c r="G623" s="77" t="s">
        <v>149</v>
      </c>
      <c r="H623" s="77" t="s">
        <v>151</v>
      </c>
      <c r="I623" s="173" t="s">
        <v>1303</v>
      </c>
      <c r="J623" s="81" t="s">
        <v>351</v>
      </c>
      <c r="K623" s="45" t="s">
        <v>352</v>
      </c>
      <c r="L623" s="125" t="s">
        <v>92</v>
      </c>
      <c r="M623" s="50" t="s">
        <v>64</v>
      </c>
      <c r="N623" s="43" t="s">
        <v>55</v>
      </c>
      <c r="O623" s="59" t="s">
        <v>166</v>
      </c>
      <c r="P623" s="45" t="s">
        <v>1189</v>
      </c>
      <c r="Q623" s="44" t="s">
        <v>1190</v>
      </c>
    </row>
    <row r="624" ht="39.75" hidden="1" customHeight="1">
      <c r="A624" s="94" t="s">
        <v>1332</v>
      </c>
      <c r="B624" s="96" t="s">
        <v>82</v>
      </c>
      <c r="C624" s="94" t="s">
        <v>348</v>
      </c>
      <c r="D624" s="97">
        <v>3.0</v>
      </c>
      <c r="E624" s="97" t="s">
        <v>1470</v>
      </c>
      <c r="F624" s="97" t="s">
        <v>148</v>
      </c>
      <c r="G624" s="97" t="s">
        <v>149</v>
      </c>
      <c r="H624" s="97" t="s">
        <v>151</v>
      </c>
      <c r="I624" s="173" t="s">
        <v>1303</v>
      </c>
      <c r="J624" s="100" t="s">
        <v>351</v>
      </c>
      <c r="K624" s="101" t="s">
        <v>352</v>
      </c>
      <c r="L624" s="88" t="s">
        <v>63</v>
      </c>
      <c r="M624" s="50" t="s">
        <v>64</v>
      </c>
      <c r="N624" s="43" t="s">
        <v>55</v>
      </c>
      <c r="O624" s="105" t="s">
        <v>166</v>
      </c>
      <c r="P624" s="101" t="s">
        <v>1189</v>
      </c>
      <c r="Q624" s="107" t="s">
        <v>1190</v>
      </c>
    </row>
    <row r="625" ht="39.75" hidden="1" customHeight="1">
      <c r="A625" s="73" t="s">
        <v>1341</v>
      </c>
      <c r="B625" s="75" t="s">
        <v>82</v>
      </c>
      <c r="C625" s="73" t="s">
        <v>348</v>
      </c>
      <c r="D625" s="77">
        <v>3.0</v>
      </c>
      <c r="E625" s="77" t="s">
        <v>1470</v>
      </c>
      <c r="F625" s="77" t="s">
        <v>148</v>
      </c>
      <c r="G625" s="77" t="s">
        <v>149</v>
      </c>
      <c r="H625" s="77" t="s">
        <v>151</v>
      </c>
      <c r="I625" s="173" t="s">
        <v>1303</v>
      </c>
      <c r="J625" s="81" t="s">
        <v>351</v>
      </c>
      <c r="K625" s="45" t="s">
        <v>352</v>
      </c>
      <c r="L625" s="149"/>
      <c r="M625" s="149"/>
      <c r="N625" s="157" t="s">
        <v>447</v>
      </c>
      <c r="O625" s="115" t="s">
        <v>198</v>
      </c>
      <c r="P625" s="151"/>
      <c r="Q625" s="44" t="s">
        <v>448</v>
      </c>
    </row>
    <row r="626" ht="39.75" hidden="1" customHeight="1">
      <c r="A626" s="94" t="s">
        <v>1343</v>
      </c>
      <c r="B626" s="96" t="s">
        <v>82</v>
      </c>
      <c r="C626" s="94" t="s">
        <v>348</v>
      </c>
      <c r="D626" s="97">
        <v>3.0</v>
      </c>
      <c r="E626" s="97" t="s">
        <v>1470</v>
      </c>
      <c r="F626" s="97" t="s">
        <v>148</v>
      </c>
      <c r="G626" s="97" t="s">
        <v>149</v>
      </c>
      <c r="H626" s="97" t="s">
        <v>151</v>
      </c>
      <c r="I626" s="173" t="s">
        <v>1303</v>
      </c>
      <c r="J626" s="100" t="s">
        <v>351</v>
      </c>
      <c r="K626" s="101" t="s">
        <v>352</v>
      </c>
      <c r="L626" s="140" t="s">
        <v>52</v>
      </c>
      <c r="M626" s="86" t="s">
        <v>164</v>
      </c>
      <c r="N626" s="43" t="s">
        <v>55</v>
      </c>
      <c r="O626" s="105" t="s">
        <v>166</v>
      </c>
      <c r="P626" s="101" t="s">
        <v>1189</v>
      </c>
      <c r="Q626" s="107" t="s">
        <v>1190</v>
      </c>
    </row>
    <row r="627" ht="39.75" hidden="1" customHeight="1">
      <c r="A627" s="73" t="s">
        <v>1371</v>
      </c>
      <c r="B627" s="75" t="s">
        <v>82</v>
      </c>
      <c r="C627" s="73" t="s">
        <v>348</v>
      </c>
      <c r="D627" s="77">
        <v>3.0</v>
      </c>
      <c r="E627" s="77" t="s">
        <v>1470</v>
      </c>
      <c r="F627" s="77" t="s">
        <v>148</v>
      </c>
      <c r="G627" s="77" t="s">
        <v>149</v>
      </c>
      <c r="H627" s="77" t="s">
        <v>151</v>
      </c>
      <c r="I627" s="173" t="s">
        <v>1303</v>
      </c>
      <c r="J627" s="81" t="s">
        <v>351</v>
      </c>
      <c r="K627" s="45" t="s">
        <v>352</v>
      </c>
      <c r="L627" s="149"/>
      <c r="M627" s="149"/>
      <c r="N627" s="157" t="s">
        <v>447</v>
      </c>
      <c r="O627" s="115" t="s">
        <v>198</v>
      </c>
      <c r="P627" s="151"/>
      <c r="Q627" s="44" t="s">
        <v>448</v>
      </c>
    </row>
    <row r="628" ht="39.75" hidden="1" customHeight="1">
      <c r="A628" s="94" t="s">
        <v>1374</v>
      </c>
      <c r="B628" s="96" t="s">
        <v>82</v>
      </c>
      <c r="C628" s="94" t="s">
        <v>348</v>
      </c>
      <c r="D628" s="97">
        <v>3.0</v>
      </c>
      <c r="E628" s="97" t="s">
        <v>1470</v>
      </c>
      <c r="F628" s="97" t="s">
        <v>148</v>
      </c>
      <c r="G628" s="97" t="s">
        <v>149</v>
      </c>
      <c r="H628" s="97" t="s">
        <v>151</v>
      </c>
      <c r="I628" s="173" t="s">
        <v>1303</v>
      </c>
      <c r="J628" s="100" t="s">
        <v>351</v>
      </c>
      <c r="K628" s="101" t="s">
        <v>352</v>
      </c>
      <c r="L628" s="149"/>
      <c r="M628" s="149"/>
      <c r="N628" s="157" t="s">
        <v>447</v>
      </c>
      <c r="O628" s="124" t="s">
        <v>198</v>
      </c>
      <c r="P628" s="159"/>
      <c r="Q628" s="107" t="s">
        <v>448</v>
      </c>
    </row>
    <row r="629" ht="39.75" hidden="1" customHeight="1">
      <c r="A629" s="73" t="s">
        <v>1388</v>
      </c>
      <c r="B629" s="75" t="s">
        <v>82</v>
      </c>
      <c r="C629" s="73" t="s">
        <v>348</v>
      </c>
      <c r="D629" s="77">
        <v>3.0</v>
      </c>
      <c r="E629" s="77" t="s">
        <v>1470</v>
      </c>
      <c r="F629" s="77" t="s">
        <v>148</v>
      </c>
      <c r="G629" s="77" t="s">
        <v>149</v>
      </c>
      <c r="H629" s="77" t="s">
        <v>151</v>
      </c>
      <c r="I629" s="173" t="s">
        <v>1303</v>
      </c>
      <c r="J629" s="81" t="s">
        <v>351</v>
      </c>
      <c r="K629" s="45" t="s">
        <v>352</v>
      </c>
      <c r="L629" s="125" t="s">
        <v>92</v>
      </c>
      <c r="M629" s="50" t="s">
        <v>64</v>
      </c>
      <c r="N629" s="43" t="s">
        <v>55</v>
      </c>
      <c r="O629" s="59" t="s">
        <v>166</v>
      </c>
      <c r="P629" s="45" t="s">
        <v>1189</v>
      </c>
      <c r="Q629" s="44" t="s">
        <v>1190</v>
      </c>
    </row>
    <row r="630" ht="39.75" hidden="1" customHeight="1">
      <c r="A630" s="94" t="s">
        <v>1409</v>
      </c>
      <c r="B630" s="96" t="s">
        <v>82</v>
      </c>
      <c r="C630" s="94" t="s">
        <v>348</v>
      </c>
      <c r="D630" s="97">
        <v>3.0</v>
      </c>
      <c r="E630" s="97" t="s">
        <v>1470</v>
      </c>
      <c r="F630" s="97" t="s">
        <v>148</v>
      </c>
      <c r="G630" s="97" t="s">
        <v>149</v>
      </c>
      <c r="H630" s="97" t="s">
        <v>151</v>
      </c>
      <c r="I630" s="173" t="s">
        <v>1303</v>
      </c>
      <c r="J630" s="100" t="s">
        <v>351</v>
      </c>
      <c r="K630" s="101" t="s">
        <v>352</v>
      </c>
      <c r="L630" s="149"/>
      <c r="M630" s="149"/>
      <c r="N630" s="157" t="s">
        <v>447</v>
      </c>
      <c r="O630" s="124" t="s">
        <v>198</v>
      </c>
      <c r="P630" s="159"/>
      <c r="Q630" s="107" t="s">
        <v>448</v>
      </c>
    </row>
    <row r="631" ht="39.75" hidden="1" customHeight="1">
      <c r="A631" s="73" t="s">
        <v>1414</v>
      </c>
      <c r="B631" s="75" t="s">
        <v>82</v>
      </c>
      <c r="C631" s="73" t="s">
        <v>348</v>
      </c>
      <c r="D631" s="77">
        <v>3.0</v>
      </c>
      <c r="E631" s="77" t="s">
        <v>1470</v>
      </c>
      <c r="F631" s="77" t="s">
        <v>148</v>
      </c>
      <c r="G631" s="77" t="s">
        <v>149</v>
      </c>
      <c r="H631" s="77" t="s">
        <v>151</v>
      </c>
      <c r="I631" s="173" t="s">
        <v>1303</v>
      </c>
      <c r="J631" s="81" t="s">
        <v>351</v>
      </c>
      <c r="K631" s="45" t="s">
        <v>352</v>
      </c>
      <c r="L631" s="149"/>
      <c r="M631" s="149"/>
      <c r="N631" s="157" t="s">
        <v>447</v>
      </c>
      <c r="O631" s="115" t="s">
        <v>198</v>
      </c>
      <c r="P631" s="151"/>
      <c r="Q631" s="44" t="s">
        <v>448</v>
      </c>
    </row>
    <row r="632" ht="39.75" hidden="1" customHeight="1">
      <c r="A632" s="94" t="s">
        <v>1256</v>
      </c>
      <c r="B632" s="96" t="s">
        <v>82</v>
      </c>
      <c r="C632" s="94" t="s">
        <v>348</v>
      </c>
      <c r="D632" s="97">
        <v>3.0</v>
      </c>
      <c r="E632" s="97" t="s">
        <v>1501</v>
      </c>
      <c r="F632" s="97" t="s">
        <v>148</v>
      </c>
      <c r="G632" s="97" t="s">
        <v>149</v>
      </c>
      <c r="H632" s="97" t="s">
        <v>151</v>
      </c>
      <c r="I632" s="173" t="s">
        <v>1303</v>
      </c>
      <c r="J632" s="100" t="s">
        <v>1504</v>
      </c>
      <c r="K632" s="101" t="s">
        <v>1505</v>
      </c>
      <c r="L632" s="149"/>
      <c r="M632" s="149"/>
      <c r="N632" s="157" t="s">
        <v>447</v>
      </c>
      <c r="O632" s="124" t="s">
        <v>198</v>
      </c>
      <c r="P632" s="159"/>
      <c r="Q632" s="107" t="s">
        <v>448</v>
      </c>
    </row>
    <row r="633" ht="39.75" hidden="1" customHeight="1">
      <c r="A633" s="73" t="s">
        <v>1267</v>
      </c>
      <c r="B633" s="75" t="s">
        <v>82</v>
      </c>
      <c r="C633" s="73" t="s">
        <v>348</v>
      </c>
      <c r="D633" s="77">
        <v>3.0</v>
      </c>
      <c r="E633" s="77" t="s">
        <v>1501</v>
      </c>
      <c r="F633" s="77" t="s">
        <v>148</v>
      </c>
      <c r="G633" s="77" t="s">
        <v>149</v>
      </c>
      <c r="H633" s="77" t="s">
        <v>151</v>
      </c>
      <c r="I633" s="173" t="s">
        <v>1303</v>
      </c>
      <c r="J633" s="81" t="s">
        <v>1504</v>
      </c>
      <c r="K633" s="45" t="s">
        <v>1505</v>
      </c>
      <c r="L633" s="125" t="s">
        <v>92</v>
      </c>
      <c r="M633" s="50" t="s">
        <v>64</v>
      </c>
      <c r="N633" s="43" t="s">
        <v>55</v>
      </c>
      <c r="O633" s="59" t="s">
        <v>166</v>
      </c>
      <c r="P633" s="45" t="s">
        <v>1189</v>
      </c>
      <c r="Q633" s="44" t="s">
        <v>1190</v>
      </c>
    </row>
    <row r="634" ht="39.75" hidden="1" customHeight="1">
      <c r="A634" s="94" t="s">
        <v>1309</v>
      </c>
      <c r="B634" s="96" t="s">
        <v>82</v>
      </c>
      <c r="C634" s="94" t="s">
        <v>348</v>
      </c>
      <c r="D634" s="97">
        <v>3.0</v>
      </c>
      <c r="E634" s="97" t="s">
        <v>1501</v>
      </c>
      <c r="F634" s="97" t="s">
        <v>148</v>
      </c>
      <c r="G634" s="97" t="s">
        <v>149</v>
      </c>
      <c r="H634" s="97" t="s">
        <v>151</v>
      </c>
      <c r="I634" s="173" t="s">
        <v>1303</v>
      </c>
      <c r="J634" s="100" t="s">
        <v>1504</v>
      </c>
      <c r="K634" s="101" t="s">
        <v>1505</v>
      </c>
      <c r="L634" s="149"/>
      <c r="M634" s="149"/>
      <c r="N634" s="157" t="s">
        <v>447</v>
      </c>
      <c r="O634" s="124" t="s">
        <v>198</v>
      </c>
      <c r="P634" s="159"/>
      <c r="Q634" s="107" t="s">
        <v>448</v>
      </c>
    </row>
    <row r="635" ht="39.75" hidden="1" customHeight="1">
      <c r="A635" s="73" t="s">
        <v>1311</v>
      </c>
      <c r="B635" s="75" t="s">
        <v>82</v>
      </c>
      <c r="C635" s="73" t="s">
        <v>348</v>
      </c>
      <c r="D635" s="77">
        <v>3.0</v>
      </c>
      <c r="E635" s="77" t="s">
        <v>1501</v>
      </c>
      <c r="F635" s="77" t="s">
        <v>148</v>
      </c>
      <c r="G635" s="77" t="s">
        <v>149</v>
      </c>
      <c r="H635" s="77" t="s">
        <v>151</v>
      </c>
      <c r="I635" s="173" t="s">
        <v>1303</v>
      </c>
      <c r="J635" s="81" t="s">
        <v>1504</v>
      </c>
      <c r="K635" s="45" t="s">
        <v>1505</v>
      </c>
      <c r="L635" s="149"/>
      <c r="M635" s="149"/>
      <c r="N635" s="157" t="s">
        <v>447</v>
      </c>
      <c r="O635" s="115" t="s">
        <v>198</v>
      </c>
      <c r="P635" s="151"/>
      <c r="Q635" s="44" t="s">
        <v>448</v>
      </c>
    </row>
    <row r="636" ht="39.75" hidden="1" customHeight="1">
      <c r="A636" s="94" t="s">
        <v>1328</v>
      </c>
      <c r="B636" s="96" t="s">
        <v>82</v>
      </c>
      <c r="C636" s="94" t="s">
        <v>348</v>
      </c>
      <c r="D636" s="97">
        <v>3.0</v>
      </c>
      <c r="E636" s="97" t="s">
        <v>1501</v>
      </c>
      <c r="F636" s="97" t="s">
        <v>148</v>
      </c>
      <c r="G636" s="97" t="s">
        <v>149</v>
      </c>
      <c r="H636" s="97" t="s">
        <v>151</v>
      </c>
      <c r="I636" s="173" t="s">
        <v>1303</v>
      </c>
      <c r="J636" s="100" t="s">
        <v>1504</v>
      </c>
      <c r="K636" s="101" t="s">
        <v>1505</v>
      </c>
      <c r="L636" s="149"/>
      <c r="M636" s="149"/>
      <c r="N636" s="157" t="s">
        <v>447</v>
      </c>
      <c r="O636" s="124" t="s">
        <v>198</v>
      </c>
      <c r="P636" s="159"/>
      <c r="Q636" s="107" t="s">
        <v>448</v>
      </c>
    </row>
    <row r="637" ht="39.75" hidden="1" customHeight="1">
      <c r="A637" s="73" t="s">
        <v>1329</v>
      </c>
      <c r="B637" s="75" t="s">
        <v>82</v>
      </c>
      <c r="C637" s="73" t="s">
        <v>348</v>
      </c>
      <c r="D637" s="77">
        <v>3.0</v>
      </c>
      <c r="E637" s="77" t="s">
        <v>1501</v>
      </c>
      <c r="F637" s="77" t="s">
        <v>148</v>
      </c>
      <c r="G637" s="77" t="s">
        <v>149</v>
      </c>
      <c r="H637" s="77" t="s">
        <v>151</v>
      </c>
      <c r="I637" s="173" t="s">
        <v>1303</v>
      </c>
      <c r="J637" s="81" t="s">
        <v>1504</v>
      </c>
      <c r="K637" s="45" t="s">
        <v>1505</v>
      </c>
      <c r="L637" s="140" t="s">
        <v>52</v>
      </c>
      <c r="M637" s="86" t="s">
        <v>164</v>
      </c>
      <c r="N637" s="43" t="s">
        <v>55</v>
      </c>
      <c r="O637" s="59" t="s">
        <v>166</v>
      </c>
      <c r="P637" s="45" t="s">
        <v>1189</v>
      </c>
      <c r="Q637" s="44" t="s">
        <v>1190</v>
      </c>
    </row>
    <row r="638" ht="39.75" hidden="1" customHeight="1">
      <c r="A638" s="94" t="s">
        <v>1337</v>
      </c>
      <c r="B638" s="96" t="s">
        <v>82</v>
      </c>
      <c r="C638" s="94" t="s">
        <v>348</v>
      </c>
      <c r="D638" s="97">
        <v>3.0</v>
      </c>
      <c r="E638" s="97" t="s">
        <v>1501</v>
      </c>
      <c r="F638" s="97" t="s">
        <v>148</v>
      </c>
      <c r="G638" s="97" t="s">
        <v>149</v>
      </c>
      <c r="H638" s="97" t="s">
        <v>151</v>
      </c>
      <c r="I638" s="173" t="s">
        <v>1303</v>
      </c>
      <c r="J638" s="100" t="s">
        <v>1504</v>
      </c>
      <c r="K638" s="101" t="s">
        <v>1505</v>
      </c>
      <c r="L638" s="149"/>
      <c r="M638" s="149"/>
      <c r="N638" s="157" t="s">
        <v>447</v>
      </c>
      <c r="O638" s="124" t="s">
        <v>198</v>
      </c>
      <c r="P638" s="159"/>
      <c r="Q638" s="107" t="s">
        <v>448</v>
      </c>
    </row>
    <row r="639" ht="39.75" hidden="1" customHeight="1">
      <c r="A639" s="73" t="s">
        <v>1380</v>
      </c>
      <c r="B639" s="75" t="s">
        <v>82</v>
      </c>
      <c r="C639" s="73" t="s">
        <v>348</v>
      </c>
      <c r="D639" s="77">
        <v>3.0</v>
      </c>
      <c r="E639" s="77" t="s">
        <v>1501</v>
      </c>
      <c r="F639" s="77" t="s">
        <v>148</v>
      </c>
      <c r="G639" s="77" t="s">
        <v>149</v>
      </c>
      <c r="H639" s="77" t="s">
        <v>151</v>
      </c>
      <c r="I639" s="173" t="s">
        <v>1303</v>
      </c>
      <c r="J639" s="81" t="s">
        <v>1504</v>
      </c>
      <c r="K639" s="45" t="s">
        <v>1505</v>
      </c>
      <c r="L639" s="149"/>
      <c r="M639" s="149"/>
      <c r="N639" s="157" t="s">
        <v>447</v>
      </c>
      <c r="O639" s="115" t="s">
        <v>198</v>
      </c>
      <c r="P639" s="151"/>
      <c r="Q639" s="44" t="s">
        <v>448</v>
      </c>
    </row>
    <row r="640" ht="39.75" hidden="1" customHeight="1">
      <c r="A640" s="94" t="s">
        <v>1385</v>
      </c>
      <c r="B640" s="96" t="s">
        <v>82</v>
      </c>
      <c r="C640" s="94" t="s">
        <v>348</v>
      </c>
      <c r="D640" s="97">
        <v>3.0</v>
      </c>
      <c r="E640" s="97" t="s">
        <v>1501</v>
      </c>
      <c r="F640" s="97" t="s">
        <v>148</v>
      </c>
      <c r="G640" s="97" t="s">
        <v>149</v>
      </c>
      <c r="H640" s="97" t="s">
        <v>151</v>
      </c>
      <c r="I640" s="173" t="s">
        <v>1303</v>
      </c>
      <c r="J640" s="100" t="s">
        <v>1504</v>
      </c>
      <c r="K640" s="101" t="s">
        <v>1505</v>
      </c>
      <c r="L640" s="149"/>
      <c r="M640" s="149"/>
      <c r="N640" s="157" t="s">
        <v>447</v>
      </c>
      <c r="O640" s="124" t="s">
        <v>198</v>
      </c>
      <c r="P640" s="159"/>
      <c r="Q640" s="107" t="s">
        <v>448</v>
      </c>
    </row>
    <row r="641" ht="39.75" hidden="1" customHeight="1">
      <c r="A641" s="73" t="s">
        <v>1403</v>
      </c>
      <c r="B641" s="75" t="s">
        <v>82</v>
      </c>
      <c r="C641" s="73" t="s">
        <v>348</v>
      </c>
      <c r="D641" s="77">
        <v>3.0</v>
      </c>
      <c r="E641" s="77" t="s">
        <v>1501</v>
      </c>
      <c r="F641" s="77" t="s">
        <v>148</v>
      </c>
      <c r="G641" s="77" t="s">
        <v>149</v>
      </c>
      <c r="H641" s="77" t="s">
        <v>151</v>
      </c>
      <c r="I641" s="173" t="s">
        <v>1303</v>
      </c>
      <c r="J641" s="81" t="s">
        <v>1504</v>
      </c>
      <c r="K641" s="45" t="s">
        <v>1505</v>
      </c>
      <c r="L641" s="88" t="s">
        <v>63</v>
      </c>
      <c r="M641" s="50" t="s">
        <v>64</v>
      </c>
      <c r="N641" s="43" t="s">
        <v>55</v>
      </c>
      <c r="O641" s="59" t="s">
        <v>166</v>
      </c>
      <c r="P641" s="45" t="s">
        <v>1189</v>
      </c>
      <c r="Q641" s="44" t="s">
        <v>1190</v>
      </c>
    </row>
    <row r="642" ht="39.75" hidden="1" customHeight="1">
      <c r="A642" s="94" t="s">
        <v>1407</v>
      </c>
      <c r="B642" s="96" t="s">
        <v>82</v>
      </c>
      <c r="C642" s="94" t="s">
        <v>348</v>
      </c>
      <c r="D642" s="97">
        <v>3.0</v>
      </c>
      <c r="E642" s="97" t="s">
        <v>1501</v>
      </c>
      <c r="F642" s="97" t="s">
        <v>148</v>
      </c>
      <c r="G642" s="97" t="s">
        <v>149</v>
      </c>
      <c r="H642" s="97" t="s">
        <v>151</v>
      </c>
      <c r="I642" s="173" t="s">
        <v>1303</v>
      </c>
      <c r="J642" s="100" t="s">
        <v>1504</v>
      </c>
      <c r="K642" s="101" t="s">
        <v>1505</v>
      </c>
      <c r="L642" s="149"/>
      <c r="M642" s="149"/>
      <c r="N642" s="157" t="s">
        <v>447</v>
      </c>
      <c r="O642" s="124" t="s">
        <v>198</v>
      </c>
      <c r="P642" s="159"/>
      <c r="Q642" s="107" t="s">
        <v>448</v>
      </c>
    </row>
    <row r="643" ht="39.75" hidden="1" customHeight="1">
      <c r="A643" s="73" t="s">
        <v>1415</v>
      </c>
      <c r="B643" s="75" t="s">
        <v>82</v>
      </c>
      <c r="C643" s="73" t="s">
        <v>348</v>
      </c>
      <c r="D643" s="77">
        <v>3.0</v>
      </c>
      <c r="E643" s="77" t="s">
        <v>1501</v>
      </c>
      <c r="F643" s="77" t="s">
        <v>148</v>
      </c>
      <c r="G643" s="77" t="s">
        <v>149</v>
      </c>
      <c r="H643" s="77" t="s">
        <v>151</v>
      </c>
      <c r="I643" s="173" t="s">
        <v>1303</v>
      </c>
      <c r="J643" s="81" t="s">
        <v>1504</v>
      </c>
      <c r="K643" s="45" t="s">
        <v>1505</v>
      </c>
      <c r="L643" s="149"/>
      <c r="M643" s="149"/>
      <c r="N643" s="157" t="s">
        <v>447</v>
      </c>
      <c r="O643" s="115" t="s">
        <v>198</v>
      </c>
      <c r="P643" s="151"/>
      <c r="Q643" s="44" t="s">
        <v>448</v>
      </c>
    </row>
    <row r="644" ht="30.0" customHeight="1">
      <c r="A644" s="94" t="s">
        <v>1418</v>
      </c>
      <c r="B644" s="96" t="s">
        <v>88</v>
      </c>
      <c r="C644" s="94" t="s">
        <v>354</v>
      </c>
      <c r="D644" s="97">
        <v>1.0</v>
      </c>
      <c r="E644" s="97" t="s">
        <v>146</v>
      </c>
      <c r="F644" s="97" t="s">
        <v>355</v>
      </c>
      <c r="G644" s="97" t="s">
        <v>149</v>
      </c>
      <c r="H644" s="97" t="s">
        <v>151</v>
      </c>
      <c r="I644" s="96"/>
      <c r="J644" s="100" t="s">
        <v>356</v>
      </c>
      <c r="K644" s="101" t="s">
        <v>357</v>
      </c>
      <c r="L644" s="143" t="s">
        <v>150</v>
      </c>
      <c r="M644" s="50" t="s">
        <v>64</v>
      </c>
      <c r="N644" s="43" t="s">
        <v>55</v>
      </c>
      <c r="O644" s="124" t="s">
        <v>56</v>
      </c>
      <c r="P644" s="101" t="s">
        <v>1420</v>
      </c>
      <c r="Q644" s="107"/>
    </row>
    <row r="645" ht="30.0" customHeight="1">
      <c r="A645" s="73" t="s">
        <v>1427</v>
      </c>
      <c r="B645" s="75" t="s">
        <v>88</v>
      </c>
      <c r="C645" s="73" t="s">
        <v>354</v>
      </c>
      <c r="D645" s="77">
        <v>1.0</v>
      </c>
      <c r="E645" s="77" t="s">
        <v>146</v>
      </c>
      <c r="F645" s="77" t="s">
        <v>355</v>
      </c>
      <c r="G645" s="77" t="s">
        <v>149</v>
      </c>
      <c r="H645" s="77" t="s">
        <v>151</v>
      </c>
      <c r="I645" s="75"/>
      <c r="J645" s="81" t="s">
        <v>356</v>
      </c>
      <c r="K645" s="45" t="s">
        <v>357</v>
      </c>
      <c r="L645" s="125" t="s">
        <v>92</v>
      </c>
      <c r="M645" s="86" t="s">
        <v>164</v>
      </c>
      <c r="N645" s="43" t="s">
        <v>55</v>
      </c>
      <c r="O645" s="115" t="s">
        <v>56</v>
      </c>
      <c r="P645" s="45" t="s">
        <v>1432</v>
      </c>
      <c r="Q645" s="44" t="s">
        <v>881</v>
      </c>
    </row>
    <row r="646" ht="30.0" customHeight="1">
      <c r="A646" s="94" t="s">
        <v>1438</v>
      </c>
      <c r="B646" s="96" t="s">
        <v>88</v>
      </c>
      <c r="C646" s="94" t="s">
        <v>354</v>
      </c>
      <c r="D646" s="97">
        <v>1.0</v>
      </c>
      <c r="E646" s="97" t="s">
        <v>146</v>
      </c>
      <c r="F646" s="97" t="s">
        <v>355</v>
      </c>
      <c r="G646" s="97" t="s">
        <v>149</v>
      </c>
      <c r="H646" s="97" t="s">
        <v>151</v>
      </c>
      <c r="I646" s="96"/>
      <c r="J646" s="100" t="s">
        <v>356</v>
      </c>
      <c r="K646" s="101" t="s">
        <v>357</v>
      </c>
      <c r="L646" s="137" t="s">
        <v>164</v>
      </c>
      <c r="M646" s="50" t="s">
        <v>64</v>
      </c>
      <c r="N646" s="43" t="s">
        <v>55</v>
      </c>
      <c r="O646" s="124" t="s">
        <v>173</v>
      </c>
      <c r="P646" s="101" t="s">
        <v>1440</v>
      </c>
      <c r="Q646" s="107" t="s">
        <v>1441</v>
      </c>
    </row>
    <row r="647" ht="30.0" customHeight="1">
      <c r="A647" s="73" t="s">
        <v>1442</v>
      </c>
      <c r="B647" s="75" t="s">
        <v>88</v>
      </c>
      <c r="C647" s="73" t="s">
        <v>354</v>
      </c>
      <c r="D647" s="77">
        <v>1.0</v>
      </c>
      <c r="E647" s="77" t="s">
        <v>146</v>
      </c>
      <c r="F647" s="77" t="s">
        <v>355</v>
      </c>
      <c r="G647" s="77" t="s">
        <v>149</v>
      </c>
      <c r="H647" s="77" t="s">
        <v>151</v>
      </c>
      <c r="I647" s="75"/>
      <c r="J647" s="81" t="s">
        <v>356</v>
      </c>
      <c r="K647" s="45" t="s">
        <v>357</v>
      </c>
      <c r="L647" s="88" t="s">
        <v>63</v>
      </c>
      <c r="M647" s="50" t="s">
        <v>64</v>
      </c>
      <c r="N647" s="43" t="s">
        <v>55</v>
      </c>
      <c r="O647" s="115" t="s">
        <v>56</v>
      </c>
      <c r="P647" s="45" t="s">
        <v>1444</v>
      </c>
      <c r="Q647" s="44"/>
    </row>
    <row r="648" ht="30.0" customHeight="1">
      <c r="A648" s="94" t="s">
        <v>1445</v>
      </c>
      <c r="B648" s="96" t="s">
        <v>88</v>
      </c>
      <c r="C648" s="94" t="s">
        <v>354</v>
      </c>
      <c r="D648" s="97">
        <v>1.0</v>
      </c>
      <c r="E648" s="97" t="s">
        <v>146</v>
      </c>
      <c r="F648" s="97" t="s">
        <v>355</v>
      </c>
      <c r="G648" s="97" t="s">
        <v>149</v>
      </c>
      <c r="H648" s="97" t="s">
        <v>151</v>
      </c>
      <c r="I648" s="96"/>
      <c r="J648" s="100" t="s">
        <v>356</v>
      </c>
      <c r="K648" s="101" t="s">
        <v>357</v>
      </c>
      <c r="L648" s="125" t="s">
        <v>92</v>
      </c>
      <c r="M648" s="50" t="s">
        <v>64</v>
      </c>
      <c r="N648" s="43" t="s">
        <v>55</v>
      </c>
      <c r="O648" s="124" t="s">
        <v>56</v>
      </c>
      <c r="P648" s="101" t="s">
        <v>1447</v>
      </c>
      <c r="Q648" s="107"/>
    </row>
    <row r="649" ht="30.0" customHeight="1">
      <c r="A649" s="73" t="s">
        <v>1450</v>
      </c>
      <c r="B649" s="75" t="s">
        <v>88</v>
      </c>
      <c r="C649" s="73" t="s">
        <v>354</v>
      </c>
      <c r="D649" s="77">
        <v>1.0</v>
      </c>
      <c r="E649" s="77" t="s">
        <v>146</v>
      </c>
      <c r="F649" s="77" t="s">
        <v>355</v>
      </c>
      <c r="G649" s="77" t="s">
        <v>149</v>
      </c>
      <c r="H649" s="77" t="s">
        <v>151</v>
      </c>
      <c r="I649" s="75"/>
      <c r="J649" s="81" t="s">
        <v>356</v>
      </c>
      <c r="K649" s="45" t="s">
        <v>357</v>
      </c>
      <c r="L649" s="140" t="s">
        <v>52</v>
      </c>
      <c r="M649" s="62" t="s">
        <v>92</v>
      </c>
      <c r="N649" s="43" t="s">
        <v>55</v>
      </c>
      <c r="O649" s="115" t="s">
        <v>56</v>
      </c>
      <c r="P649" s="45" t="s">
        <v>1452</v>
      </c>
      <c r="Q649" s="44"/>
    </row>
    <row r="650" ht="30.0" customHeight="1">
      <c r="A650" s="94" t="s">
        <v>1453</v>
      </c>
      <c r="B650" s="96" t="s">
        <v>88</v>
      </c>
      <c r="C650" s="94" t="s">
        <v>354</v>
      </c>
      <c r="D650" s="97">
        <v>1.0</v>
      </c>
      <c r="E650" s="97" t="s">
        <v>146</v>
      </c>
      <c r="F650" s="97" t="s">
        <v>355</v>
      </c>
      <c r="G650" s="97" t="s">
        <v>149</v>
      </c>
      <c r="H650" s="97" t="s">
        <v>151</v>
      </c>
      <c r="I650" s="96"/>
      <c r="J650" s="100" t="s">
        <v>356</v>
      </c>
      <c r="K650" s="101" t="s">
        <v>357</v>
      </c>
      <c r="L650" s="148" t="s">
        <v>199</v>
      </c>
      <c r="M650" s="50" t="s">
        <v>64</v>
      </c>
      <c r="N650" s="43" t="s">
        <v>55</v>
      </c>
      <c r="O650" s="124" t="s">
        <v>56</v>
      </c>
      <c r="P650" s="101" t="s">
        <v>1455</v>
      </c>
      <c r="Q650" s="107"/>
    </row>
    <row r="651" ht="30.0" customHeight="1">
      <c r="A651" s="73" t="s">
        <v>1456</v>
      </c>
      <c r="B651" s="75" t="s">
        <v>88</v>
      </c>
      <c r="C651" s="73" t="s">
        <v>354</v>
      </c>
      <c r="D651" s="77">
        <v>1.0</v>
      </c>
      <c r="E651" s="77" t="s">
        <v>146</v>
      </c>
      <c r="F651" s="77" t="s">
        <v>355</v>
      </c>
      <c r="G651" s="77" t="s">
        <v>149</v>
      </c>
      <c r="H651" s="77" t="s">
        <v>151</v>
      </c>
      <c r="I651" s="75"/>
      <c r="J651" s="81" t="s">
        <v>356</v>
      </c>
      <c r="K651" s="45" t="s">
        <v>357</v>
      </c>
      <c r="L651" s="140" t="s">
        <v>52</v>
      </c>
      <c r="M651" s="138" t="s">
        <v>199</v>
      </c>
      <c r="N651" s="43" t="s">
        <v>55</v>
      </c>
      <c r="O651" s="115" t="s">
        <v>173</v>
      </c>
      <c r="P651" s="45" t="s">
        <v>1458</v>
      </c>
      <c r="Q651" s="44" t="s">
        <v>1459</v>
      </c>
    </row>
    <row r="652" ht="30.0" customHeight="1">
      <c r="A652" s="94" t="s">
        <v>1477</v>
      </c>
      <c r="B652" s="96" t="s">
        <v>88</v>
      </c>
      <c r="C652" s="94" t="s">
        <v>354</v>
      </c>
      <c r="D652" s="97">
        <v>1.0</v>
      </c>
      <c r="E652" s="97" t="s">
        <v>146</v>
      </c>
      <c r="F652" s="97" t="s">
        <v>355</v>
      </c>
      <c r="G652" s="97" t="s">
        <v>149</v>
      </c>
      <c r="H652" s="97" t="s">
        <v>151</v>
      </c>
      <c r="I652" s="96"/>
      <c r="J652" s="100" t="s">
        <v>356</v>
      </c>
      <c r="K652" s="101" t="s">
        <v>357</v>
      </c>
      <c r="L652" s="140" t="s">
        <v>52</v>
      </c>
      <c r="M652" s="86" t="s">
        <v>164</v>
      </c>
      <c r="N652" s="43" t="s">
        <v>55</v>
      </c>
      <c r="O652" s="124" t="s">
        <v>56</v>
      </c>
      <c r="P652" s="101" t="s">
        <v>1479</v>
      </c>
      <c r="Q652" s="107"/>
    </row>
    <row r="653" ht="30.0" customHeight="1">
      <c r="A653" s="73" t="s">
        <v>1508</v>
      </c>
      <c r="B653" s="75" t="s">
        <v>88</v>
      </c>
      <c r="C653" s="73" t="s">
        <v>354</v>
      </c>
      <c r="D653" s="77">
        <v>1.0</v>
      </c>
      <c r="E653" s="77" t="s">
        <v>146</v>
      </c>
      <c r="F653" s="77" t="s">
        <v>355</v>
      </c>
      <c r="G653" s="77" t="s">
        <v>149</v>
      </c>
      <c r="H653" s="77" t="s">
        <v>151</v>
      </c>
      <c r="I653" s="75"/>
      <c r="J653" s="81" t="s">
        <v>356</v>
      </c>
      <c r="K653" s="45" t="s">
        <v>357</v>
      </c>
      <c r="L653" s="137" t="s">
        <v>164</v>
      </c>
      <c r="M653" s="164" t="s">
        <v>196</v>
      </c>
      <c r="N653" s="43" t="s">
        <v>55</v>
      </c>
      <c r="O653" s="115" t="s">
        <v>56</v>
      </c>
      <c r="P653" s="45" t="s">
        <v>1510</v>
      </c>
      <c r="Q653" s="44" t="s">
        <v>269</v>
      </c>
    </row>
    <row r="654" ht="30.0" customHeight="1">
      <c r="A654" s="94" t="s">
        <v>1516</v>
      </c>
      <c r="B654" s="96" t="s">
        <v>88</v>
      </c>
      <c r="C654" s="94" t="s">
        <v>354</v>
      </c>
      <c r="D654" s="97">
        <v>1.0</v>
      </c>
      <c r="E654" s="97" t="s">
        <v>146</v>
      </c>
      <c r="F654" s="97" t="s">
        <v>355</v>
      </c>
      <c r="G654" s="97" t="s">
        <v>149</v>
      </c>
      <c r="H654" s="97" t="s">
        <v>151</v>
      </c>
      <c r="I654" s="96"/>
      <c r="J654" s="100" t="s">
        <v>356</v>
      </c>
      <c r="K654" s="101" t="s">
        <v>357</v>
      </c>
      <c r="L654" s="137" t="s">
        <v>164</v>
      </c>
      <c r="M654" s="50" t="s">
        <v>64</v>
      </c>
      <c r="N654" s="43" t="s">
        <v>55</v>
      </c>
      <c r="O654" s="124" t="s">
        <v>56</v>
      </c>
      <c r="P654" s="101" t="s">
        <v>1518</v>
      </c>
      <c r="Q654" s="107"/>
    </row>
    <row r="655" ht="30.0" customHeight="1">
      <c r="A655" s="73" t="s">
        <v>1527</v>
      </c>
      <c r="B655" s="75" t="s">
        <v>88</v>
      </c>
      <c r="C655" s="73" t="s">
        <v>354</v>
      </c>
      <c r="D655" s="77">
        <v>1.0</v>
      </c>
      <c r="E655" s="77" t="s">
        <v>146</v>
      </c>
      <c r="F655" s="77" t="s">
        <v>355</v>
      </c>
      <c r="G655" s="77" t="s">
        <v>149</v>
      </c>
      <c r="H655" s="77" t="s">
        <v>151</v>
      </c>
      <c r="I655" s="75"/>
      <c r="J655" s="81" t="s">
        <v>356</v>
      </c>
      <c r="K655" s="45" t="s">
        <v>357</v>
      </c>
      <c r="L655" s="137" t="s">
        <v>164</v>
      </c>
      <c r="M655" s="50" t="s">
        <v>64</v>
      </c>
      <c r="N655" s="43" t="s">
        <v>55</v>
      </c>
      <c r="O655" s="115" t="s">
        <v>56</v>
      </c>
      <c r="P655" s="45" t="s">
        <v>1529</v>
      </c>
      <c r="Q655" s="44"/>
    </row>
    <row r="656" ht="30.0" hidden="1" customHeight="1">
      <c r="A656" s="94" t="s">
        <v>1421</v>
      </c>
      <c r="B656" s="96" t="s">
        <v>88</v>
      </c>
      <c r="C656" s="94" t="s">
        <v>359</v>
      </c>
      <c r="D656" s="97">
        <v>2.0</v>
      </c>
      <c r="E656" s="97" t="s">
        <v>146</v>
      </c>
      <c r="F656" s="97" t="s">
        <v>355</v>
      </c>
      <c r="G656" s="97" t="s">
        <v>149</v>
      </c>
      <c r="H656" s="97" t="s">
        <v>151</v>
      </c>
      <c r="I656" s="96"/>
      <c r="J656" s="100" t="s">
        <v>360</v>
      </c>
      <c r="K656" s="101" t="s">
        <v>361</v>
      </c>
      <c r="L656" s="148" t="s">
        <v>199</v>
      </c>
      <c r="M656" s="50" t="s">
        <v>64</v>
      </c>
      <c r="N656" s="43" t="s">
        <v>55</v>
      </c>
      <c r="O656" s="124" t="s">
        <v>56</v>
      </c>
      <c r="P656" s="101" t="s">
        <v>1423</v>
      </c>
      <c r="Q656" s="107"/>
    </row>
    <row r="657" ht="30.0" hidden="1" customHeight="1">
      <c r="A657" s="73" t="s">
        <v>1424</v>
      </c>
      <c r="B657" s="75" t="s">
        <v>88</v>
      </c>
      <c r="C657" s="73" t="s">
        <v>359</v>
      </c>
      <c r="D657" s="77">
        <v>2.0</v>
      </c>
      <c r="E657" s="77" t="s">
        <v>146</v>
      </c>
      <c r="F657" s="77" t="s">
        <v>355</v>
      </c>
      <c r="G657" s="77" t="s">
        <v>149</v>
      </c>
      <c r="H657" s="77" t="s">
        <v>151</v>
      </c>
      <c r="I657" s="75"/>
      <c r="J657" s="81" t="s">
        <v>360</v>
      </c>
      <c r="K657" s="45" t="s">
        <v>361</v>
      </c>
      <c r="L657" s="127" t="s">
        <v>64</v>
      </c>
      <c r="M657" s="86" t="s">
        <v>164</v>
      </c>
      <c r="N657" s="43" t="s">
        <v>55</v>
      </c>
      <c r="O657" s="115" t="s">
        <v>56</v>
      </c>
      <c r="P657" s="45" t="s">
        <v>1426</v>
      </c>
      <c r="Q657" s="44"/>
    </row>
    <row r="658" ht="30.0" hidden="1" customHeight="1">
      <c r="A658" s="94" t="s">
        <v>1448</v>
      </c>
      <c r="B658" s="96" t="s">
        <v>88</v>
      </c>
      <c r="C658" s="94" t="s">
        <v>359</v>
      </c>
      <c r="D658" s="97">
        <v>2.0</v>
      </c>
      <c r="E658" s="97" t="s">
        <v>146</v>
      </c>
      <c r="F658" s="97" t="s">
        <v>355</v>
      </c>
      <c r="G658" s="97" t="s">
        <v>149</v>
      </c>
      <c r="H658" s="154" t="s">
        <v>466</v>
      </c>
      <c r="I658" s="96"/>
      <c r="J658" s="100" t="s">
        <v>360</v>
      </c>
      <c r="K658" s="101" t="s">
        <v>361</v>
      </c>
      <c r="L658" s="125" t="s">
        <v>92</v>
      </c>
      <c r="M658" s="50" t="s">
        <v>64</v>
      </c>
      <c r="N658" s="43" t="s">
        <v>55</v>
      </c>
      <c r="O658" s="105" t="s">
        <v>187</v>
      </c>
      <c r="P658" s="101" t="s">
        <v>1447</v>
      </c>
      <c r="Q658" s="107" t="s">
        <v>1449</v>
      </c>
    </row>
    <row r="659" ht="30.0" hidden="1" customHeight="1">
      <c r="A659" s="73" t="s">
        <v>1460</v>
      </c>
      <c r="B659" s="75" t="s">
        <v>88</v>
      </c>
      <c r="C659" s="73" t="s">
        <v>359</v>
      </c>
      <c r="D659" s="77">
        <v>2.0</v>
      </c>
      <c r="E659" s="77" t="s">
        <v>146</v>
      </c>
      <c r="F659" s="77" t="s">
        <v>355</v>
      </c>
      <c r="G659" s="77" t="s">
        <v>149</v>
      </c>
      <c r="H659" s="77" t="s">
        <v>151</v>
      </c>
      <c r="I659" s="75"/>
      <c r="J659" s="81" t="s">
        <v>360</v>
      </c>
      <c r="K659" s="45" t="s">
        <v>361</v>
      </c>
      <c r="L659" s="88" t="s">
        <v>63</v>
      </c>
      <c r="M659" s="86" t="s">
        <v>164</v>
      </c>
      <c r="N659" s="43" t="s">
        <v>55</v>
      </c>
      <c r="O659" s="115" t="s">
        <v>56</v>
      </c>
      <c r="P659" s="45" t="s">
        <v>1462</v>
      </c>
      <c r="Q659" s="44"/>
    </row>
    <row r="660" ht="30.0" hidden="1" customHeight="1">
      <c r="A660" s="94" t="s">
        <v>1467</v>
      </c>
      <c r="B660" s="96" t="s">
        <v>88</v>
      </c>
      <c r="C660" s="94" t="s">
        <v>359</v>
      </c>
      <c r="D660" s="97">
        <v>2.0</v>
      </c>
      <c r="E660" s="97" t="s">
        <v>146</v>
      </c>
      <c r="F660" s="97" t="s">
        <v>355</v>
      </c>
      <c r="G660" s="97" t="s">
        <v>149</v>
      </c>
      <c r="H660" s="97" t="s">
        <v>151</v>
      </c>
      <c r="I660" s="96"/>
      <c r="J660" s="100" t="s">
        <v>360</v>
      </c>
      <c r="K660" s="101" t="s">
        <v>361</v>
      </c>
      <c r="L660" s="125" t="s">
        <v>92</v>
      </c>
      <c r="M660" s="50" t="s">
        <v>64</v>
      </c>
      <c r="N660" s="43" t="s">
        <v>55</v>
      </c>
      <c r="O660" s="124" t="s">
        <v>56</v>
      </c>
      <c r="P660" s="101" t="s">
        <v>1469</v>
      </c>
      <c r="Q660" s="107"/>
    </row>
    <row r="661" ht="30.0" hidden="1" customHeight="1">
      <c r="A661" s="73" t="s">
        <v>1474</v>
      </c>
      <c r="B661" s="75" t="s">
        <v>88</v>
      </c>
      <c r="C661" s="73" t="s">
        <v>359</v>
      </c>
      <c r="D661" s="77">
        <v>2.0</v>
      </c>
      <c r="E661" s="77" t="s">
        <v>146</v>
      </c>
      <c r="F661" s="77" t="s">
        <v>355</v>
      </c>
      <c r="G661" s="77" t="s">
        <v>149</v>
      </c>
      <c r="H661" s="77" t="s">
        <v>151</v>
      </c>
      <c r="I661" s="75"/>
      <c r="J661" s="81" t="s">
        <v>360</v>
      </c>
      <c r="K661" s="45" t="s">
        <v>361</v>
      </c>
      <c r="L661" s="148" t="s">
        <v>199</v>
      </c>
      <c r="M661" s="50" t="s">
        <v>64</v>
      </c>
      <c r="N661" s="43" t="s">
        <v>55</v>
      </c>
      <c r="O661" s="115" t="s">
        <v>191</v>
      </c>
      <c r="P661" s="45" t="s">
        <v>1476</v>
      </c>
      <c r="Q661" s="44"/>
    </row>
    <row r="662" ht="30.0" hidden="1" customHeight="1">
      <c r="A662" s="94" t="s">
        <v>1482</v>
      </c>
      <c r="B662" s="96" t="s">
        <v>88</v>
      </c>
      <c r="C662" s="94" t="s">
        <v>359</v>
      </c>
      <c r="D662" s="97">
        <v>2.0</v>
      </c>
      <c r="E662" s="97" t="s">
        <v>146</v>
      </c>
      <c r="F662" s="97" t="s">
        <v>355</v>
      </c>
      <c r="G662" s="97" t="s">
        <v>149</v>
      </c>
      <c r="H662" s="97" t="s">
        <v>151</v>
      </c>
      <c r="I662" s="96"/>
      <c r="J662" s="100" t="s">
        <v>360</v>
      </c>
      <c r="K662" s="101" t="s">
        <v>361</v>
      </c>
      <c r="L662" s="137" t="s">
        <v>164</v>
      </c>
      <c r="M662" s="50" t="s">
        <v>64</v>
      </c>
      <c r="N662" s="43" t="s">
        <v>55</v>
      </c>
      <c r="O662" s="124" t="s">
        <v>191</v>
      </c>
      <c r="P662" s="101" t="s">
        <v>1484</v>
      </c>
      <c r="Q662" s="107" t="s">
        <v>1485</v>
      </c>
    </row>
    <row r="663" ht="30.0" hidden="1" customHeight="1">
      <c r="A663" s="73" t="s">
        <v>1486</v>
      </c>
      <c r="B663" s="75" t="s">
        <v>88</v>
      </c>
      <c r="C663" s="73" t="s">
        <v>359</v>
      </c>
      <c r="D663" s="77">
        <v>2.0</v>
      </c>
      <c r="E663" s="77" t="s">
        <v>146</v>
      </c>
      <c r="F663" s="77" t="s">
        <v>355</v>
      </c>
      <c r="G663" s="77" t="s">
        <v>149</v>
      </c>
      <c r="H663" s="77" t="s">
        <v>151</v>
      </c>
      <c r="I663" s="75"/>
      <c r="J663" s="81" t="s">
        <v>360</v>
      </c>
      <c r="K663" s="45" t="s">
        <v>361</v>
      </c>
      <c r="L663" s="125" t="s">
        <v>92</v>
      </c>
      <c r="M663" s="50" t="s">
        <v>64</v>
      </c>
      <c r="N663" s="43" t="s">
        <v>55</v>
      </c>
      <c r="O663" s="115" t="s">
        <v>173</v>
      </c>
      <c r="P663" s="45" t="s">
        <v>1488</v>
      </c>
      <c r="Q663" s="44"/>
    </row>
    <row r="664" ht="30.0" hidden="1" customHeight="1">
      <c r="A664" s="94" t="s">
        <v>1493</v>
      </c>
      <c r="B664" s="96" t="s">
        <v>88</v>
      </c>
      <c r="C664" s="94" t="s">
        <v>359</v>
      </c>
      <c r="D664" s="97">
        <v>2.0</v>
      </c>
      <c r="E664" s="97" t="s">
        <v>146</v>
      </c>
      <c r="F664" s="97" t="s">
        <v>355</v>
      </c>
      <c r="G664" s="97" t="s">
        <v>149</v>
      </c>
      <c r="H664" s="97" t="s">
        <v>151</v>
      </c>
      <c r="I664" s="96"/>
      <c r="J664" s="100" t="s">
        <v>360</v>
      </c>
      <c r="K664" s="101" t="s">
        <v>361</v>
      </c>
      <c r="L664" s="88" t="s">
        <v>63</v>
      </c>
      <c r="M664" s="86" t="s">
        <v>164</v>
      </c>
      <c r="N664" s="43" t="s">
        <v>55</v>
      </c>
      <c r="O664" s="124" t="s">
        <v>173</v>
      </c>
      <c r="P664" s="101" t="s">
        <v>1495</v>
      </c>
      <c r="Q664" s="107"/>
    </row>
    <row r="665" ht="30.0" hidden="1" customHeight="1">
      <c r="A665" s="73" t="s">
        <v>1511</v>
      </c>
      <c r="B665" s="75" t="s">
        <v>88</v>
      </c>
      <c r="C665" s="73" t="s">
        <v>359</v>
      </c>
      <c r="D665" s="77">
        <v>2.0</v>
      </c>
      <c r="E665" s="77" t="s">
        <v>146</v>
      </c>
      <c r="F665" s="77" t="s">
        <v>355</v>
      </c>
      <c r="G665" s="77" t="s">
        <v>149</v>
      </c>
      <c r="H665" s="158" t="s">
        <v>466</v>
      </c>
      <c r="I665" s="75"/>
      <c r="J665" s="81" t="s">
        <v>360</v>
      </c>
      <c r="K665" s="45" t="s">
        <v>361</v>
      </c>
      <c r="L665" s="137" t="s">
        <v>164</v>
      </c>
      <c r="M665" s="164" t="s">
        <v>196</v>
      </c>
      <c r="N665" s="43" t="s">
        <v>55</v>
      </c>
      <c r="O665" s="59" t="s">
        <v>187</v>
      </c>
      <c r="P665" s="45" t="s">
        <v>1510</v>
      </c>
      <c r="Q665" s="44" t="s">
        <v>1512</v>
      </c>
    </row>
    <row r="666" ht="39.75" hidden="1" customHeight="1">
      <c r="A666" s="94" t="s">
        <v>1433</v>
      </c>
      <c r="B666" s="96" t="s">
        <v>88</v>
      </c>
      <c r="C666" s="94" t="s">
        <v>364</v>
      </c>
      <c r="D666" s="97">
        <v>3.0</v>
      </c>
      <c r="E666" s="97" t="s">
        <v>146</v>
      </c>
      <c r="F666" s="97" t="s">
        <v>355</v>
      </c>
      <c r="G666" s="97" t="s">
        <v>149</v>
      </c>
      <c r="H666" s="154" t="s">
        <v>466</v>
      </c>
      <c r="I666" s="96"/>
      <c r="J666" s="100" t="s">
        <v>367</v>
      </c>
      <c r="K666" s="101" t="s">
        <v>368</v>
      </c>
      <c r="L666" s="125" t="s">
        <v>92</v>
      </c>
      <c r="M666" s="86" t="s">
        <v>164</v>
      </c>
      <c r="N666" s="43" t="s">
        <v>55</v>
      </c>
      <c r="O666" s="105" t="s">
        <v>187</v>
      </c>
      <c r="P666" s="101" t="s">
        <v>1432</v>
      </c>
      <c r="Q666" s="107" t="s">
        <v>1434</v>
      </c>
    </row>
    <row r="667" ht="30.0" hidden="1" customHeight="1">
      <c r="A667" s="73" t="s">
        <v>1435</v>
      </c>
      <c r="B667" s="75" t="s">
        <v>88</v>
      </c>
      <c r="C667" s="73" t="s">
        <v>364</v>
      </c>
      <c r="D667" s="77">
        <v>3.0</v>
      </c>
      <c r="E667" s="77" t="s">
        <v>146</v>
      </c>
      <c r="F667" s="77" t="s">
        <v>355</v>
      </c>
      <c r="G667" s="77" t="s">
        <v>149</v>
      </c>
      <c r="H667" s="77" t="s">
        <v>151</v>
      </c>
      <c r="I667" s="75"/>
      <c r="J667" s="81" t="s">
        <v>367</v>
      </c>
      <c r="K667" s="45" t="s">
        <v>368</v>
      </c>
      <c r="L667" s="88" t="s">
        <v>63</v>
      </c>
      <c r="M667" s="50" t="s">
        <v>64</v>
      </c>
      <c r="N667" s="43" t="s">
        <v>55</v>
      </c>
      <c r="O667" s="115" t="s">
        <v>56</v>
      </c>
      <c r="P667" s="45" t="s">
        <v>1437</v>
      </c>
      <c r="Q667" s="44"/>
    </row>
    <row r="668" ht="30.0" hidden="1" customHeight="1">
      <c r="A668" s="94" t="s">
        <v>1464</v>
      </c>
      <c r="B668" s="96" t="s">
        <v>88</v>
      </c>
      <c r="C668" s="94" t="s">
        <v>364</v>
      </c>
      <c r="D668" s="97">
        <v>3.0</v>
      </c>
      <c r="E668" s="97" t="s">
        <v>146</v>
      </c>
      <c r="F668" s="97" t="s">
        <v>355</v>
      </c>
      <c r="G668" s="97" t="s">
        <v>149</v>
      </c>
      <c r="H668" s="97" t="s">
        <v>151</v>
      </c>
      <c r="I668" s="96"/>
      <c r="J668" s="100" t="s">
        <v>367</v>
      </c>
      <c r="K668" s="101" t="s">
        <v>368</v>
      </c>
      <c r="L668" s="143" t="s">
        <v>150</v>
      </c>
      <c r="M668" s="49" t="s">
        <v>63</v>
      </c>
      <c r="N668" s="43" t="s">
        <v>55</v>
      </c>
      <c r="O668" s="124" t="s">
        <v>191</v>
      </c>
      <c r="P668" s="101" t="s">
        <v>1466</v>
      </c>
      <c r="Q668" s="107"/>
    </row>
    <row r="669" ht="30.0" hidden="1" customHeight="1">
      <c r="A669" s="73" t="s">
        <v>1471</v>
      </c>
      <c r="B669" s="75" t="s">
        <v>88</v>
      </c>
      <c r="C669" s="73" t="s">
        <v>364</v>
      </c>
      <c r="D669" s="77">
        <v>3.0</v>
      </c>
      <c r="E669" s="77" t="s">
        <v>146</v>
      </c>
      <c r="F669" s="77" t="s">
        <v>355</v>
      </c>
      <c r="G669" s="77" t="s">
        <v>149</v>
      </c>
      <c r="H669" s="77" t="s">
        <v>151</v>
      </c>
      <c r="I669" s="75"/>
      <c r="J669" s="81" t="s">
        <v>367</v>
      </c>
      <c r="K669" s="45" t="s">
        <v>368</v>
      </c>
      <c r="L669" s="148" t="s">
        <v>199</v>
      </c>
      <c r="M669" s="50" t="s">
        <v>64</v>
      </c>
      <c r="N669" s="43" t="s">
        <v>55</v>
      </c>
      <c r="O669" s="115" t="s">
        <v>56</v>
      </c>
      <c r="P669" s="45" t="s">
        <v>1473</v>
      </c>
      <c r="Q669" s="44"/>
    </row>
    <row r="670" ht="30.0" hidden="1" customHeight="1">
      <c r="A670" s="94" t="s">
        <v>1480</v>
      </c>
      <c r="B670" s="96" t="s">
        <v>88</v>
      </c>
      <c r="C670" s="94" t="s">
        <v>364</v>
      </c>
      <c r="D670" s="97">
        <v>3.0</v>
      </c>
      <c r="E670" s="97" t="s">
        <v>146</v>
      </c>
      <c r="F670" s="97" t="s">
        <v>355</v>
      </c>
      <c r="G670" s="97" t="s">
        <v>149</v>
      </c>
      <c r="H670" s="154" t="s">
        <v>466</v>
      </c>
      <c r="I670" s="96"/>
      <c r="J670" s="100" t="s">
        <v>367</v>
      </c>
      <c r="K670" s="101" t="s">
        <v>368</v>
      </c>
      <c r="L670" s="140" t="s">
        <v>52</v>
      </c>
      <c r="M670" s="86" t="s">
        <v>164</v>
      </c>
      <c r="N670" s="43" t="s">
        <v>55</v>
      </c>
      <c r="O670" s="105" t="s">
        <v>187</v>
      </c>
      <c r="P670" s="101" t="s">
        <v>1479</v>
      </c>
      <c r="Q670" s="107" t="s">
        <v>1481</v>
      </c>
    </row>
    <row r="671" ht="39.75" hidden="1" customHeight="1">
      <c r="A671" s="73" t="s">
        <v>1489</v>
      </c>
      <c r="B671" s="75" t="s">
        <v>88</v>
      </c>
      <c r="C671" s="73" t="s">
        <v>364</v>
      </c>
      <c r="D671" s="77">
        <v>3.0</v>
      </c>
      <c r="E671" s="77" t="s">
        <v>146</v>
      </c>
      <c r="F671" s="77" t="s">
        <v>355</v>
      </c>
      <c r="G671" s="77" t="s">
        <v>149</v>
      </c>
      <c r="H671" s="77" t="s">
        <v>151</v>
      </c>
      <c r="I671" s="75"/>
      <c r="J671" s="81" t="s">
        <v>367</v>
      </c>
      <c r="K671" s="45" t="s">
        <v>368</v>
      </c>
      <c r="L671" s="140" t="s">
        <v>52</v>
      </c>
      <c r="M671" s="62" t="s">
        <v>92</v>
      </c>
      <c r="N671" s="43" t="s">
        <v>55</v>
      </c>
      <c r="O671" s="115" t="s">
        <v>191</v>
      </c>
      <c r="P671" s="45" t="s">
        <v>1491</v>
      </c>
      <c r="Q671" s="44" t="s">
        <v>1492</v>
      </c>
    </row>
    <row r="672" ht="39.75" hidden="1" customHeight="1">
      <c r="A672" s="94" t="s">
        <v>1497</v>
      </c>
      <c r="B672" s="96" t="s">
        <v>88</v>
      </c>
      <c r="C672" s="94" t="s">
        <v>364</v>
      </c>
      <c r="D672" s="97">
        <v>3.0</v>
      </c>
      <c r="E672" s="97" t="s">
        <v>146</v>
      </c>
      <c r="F672" s="97" t="s">
        <v>355</v>
      </c>
      <c r="G672" s="97" t="s">
        <v>149</v>
      </c>
      <c r="H672" s="97" t="s">
        <v>151</v>
      </c>
      <c r="I672" s="96"/>
      <c r="J672" s="100" t="s">
        <v>367</v>
      </c>
      <c r="K672" s="101" t="s">
        <v>368</v>
      </c>
      <c r="L672" s="149"/>
      <c r="M672" s="149"/>
      <c r="N672" s="157" t="s">
        <v>447</v>
      </c>
      <c r="O672" s="124" t="s">
        <v>198</v>
      </c>
      <c r="P672" s="159"/>
      <c r="Q672" s="107" t="s">
        <v>448</v>
      </c>
    </row>
    <row r="673" ht="30.0" hidden="1" customHeight="1">
      <c r="A673" s="73" t="s">
        <v>1498</v>
      </c>
      <c r="B673" s="75" t="s">
        <v>88</v>
      </c>
      <c r="C673" s="73" t="s">
        <v>364</v>
      </c>
      <c r="D673" s="77">
        <v>3.0</v>
      </c>
      <c r="E673" s="77" t="s">
        <v>146</v>
      </c>
      <c r="F673" s="77" t="s">
        <v>355</v>
      </c>
      <c r="G673" s="77" t="s">
        <v>149</v>
      </c>
      <c r="H673" s="77" t="s">
        <v>151</v>
      </c>
      <c r="I673" s="75"/>
      <c r="J673" s="81" t="s">
        <v>367</v>
      </c>
      <c r="K673" s="45" t="s">
        <v>368</v>
      </c>
      <c r="L673" s="125" t="s">
        <v>92</v>
      </c>
      <c r="M673" s="50" t="s">
        <v>64</v>
      </c>
      <c r="N673" s="43" t="s">
        <v>55</v>
      </c>
      <c r="O673" s="115" t="s">
        <v>191</v>
      </c>
      <c r="P673" s="45" t="s">
        <v>1500</v>
      </c>
      <c r="Q673" s="44"/>
    </row>
    <row r="674" ht="30.0" hidden="1" customHeight="1">
      <c r="A674" s="94" t="s">
        <v>1502</v>
      </c>
      <c r="B674" s="96" t="s">
        <v>88</v>
      </c>
      <c r="C674" s="94" t="s">
        <v>364</v>
      </c>
      <c r="D674" s="97">
        <v>3.0</v>
      </c>
      <c r="E674" s="97" t="s">
        <v>146</v>
      </c>
      <c r="F674" s="97" t="s">
        <v>355</v>
      </c>
      <c r="G674" s="97" t="s">
        <v>149</v>
      </c>
      <c r="H674" s="97" t="s">
        <v>151</v>
      </c>
      <c r="I674" s="96"/>
      <c r="J674" s="100" t="s">
        <v>367</v>
      </c>
      <c r="K674" s="101" t="s">
        <v>368</v>
      </c>
      <c r="L674" s="125" t="s">
        <v>92</v>
      </c>
      <c r="M674" s="50" t="s">
        <v>64</v>
      </c>
      <c r="N674" s="43" t="s">
        <v>55</v>
      </c>
      <c r="O674" s="124" t="s">
        <v>56</v>
      </c>
      <c r="P674" s="101" t="s">
        <v>1507</v>
      </c>
      <c r="Q674" s="107"/>
    </row>
    <row r="675" ht="30.0" hidden="1" customHeight="1">
      <c r="A675" s="73" t="s">
        <v>1513</v>
      </c>
      <c r="B675" s="75" t="s">
        <v>88</v>
      </c>
      <c r="C675" s="73" t="s">
        <v>364</v>
      </c>
      <c r="D675" s="77">
        <v>3.0</v>
      </c>
      <c r="E675" s="77" t="s">
        <v>146</v>
      </c>
      <c r="F675" s="77" t="s">
        <v>355</v>
      </c>
      <c r="G675" s="77" t="s">
        <v>149</v>
      </c>
      <c r="H675" s="77" t="s">
        <v>151</v>
      </c>
      <c r="I675" s="75"/>
      <c r="J675" s="81" t="s">
        <v>367</v>
      </c>
      <c r="K675" s="45" t="s">
        <v>368</v>
      </c>
      <c r="L675" s="125" t="s">
        <v>92</v>
      </c>
      <c r="M675" s="138" t="s">
        <v>199</v>
      </c>
      <c r="N675" s="43" t="s">
        <v>55</v>
      </c>
      <c r="O675" s="115" t="s">
        <v>56</v>
      </c>
      <c r="P675" s="45" t="s">
        <v>1515</v>
      </c>
      <c r="Q675" s="44" t="s">
        <v>269</v>
      </c>
    </row>
    <row r="676" ht="30.0" hidden="1" customHeight="1">
      <c r="A676" s="94" t="s">
        <v>1519</v>
      </c>
      <c r="B676" s="96" t="s">
        <v>88</v>
      </c>
      <c r="C676" s="94" t="s">
        <v>364</v>
      </c>
      <c r="D676" s="97">
        <v>3.0</v>
      </c>
      <c r="E676" s="97" t="s">
        <v>146</v>
      </c>
      <c r="F676" s="97" t="s">
        <v>355</v>
      </c>
      <c r="G676" s="97" t="s">
        <v>149</v>
      </c>
      <c r="H676" s="97" t="s">
        <v>151</v>
      </c>
      <c r="I676" s="96"/>
      <c r="J676" s="100" t="s">
        <v>367</v>
      </c>
      <c r="K676" s="101" t="s">
        <v>368</v>
      </c>
      <c r="L676" s="88" t="s">
        <v>63</v>
      </c>
      <c r="M676" s="138" t="s">
        <v>199</v>
      </c>
      <c r="N676" s="43" t="s">
        <v>55</v>
      </c>
      <c r="O676" s="124" t="s">
        <v>56</v>
      </c>
      <c r="P676" s="101" t="s">
        <v>1521</v>
      </c>
      <c r="Q676" s="107" t="s">
        <v>1522</v>
      </c>
    </row>
    <row r="677" ht="39.75" hidden="1" customHeight="1">
      <c r="A677" s="73" t="s">
        <v>1523</v>
      </c>
      <c r="B677" s="75" t="s">
        <v>88</v>
      </c>
      <c r="C677" s="73" t="s">
        <v>364</v>
      </c>
      <c r="D677" s="77">
        <v>3.0</v>
      </c>
      <c r="E677" s="77" t="s">
        <v>146</v>
      </c>
      <c r="F677" s="77" t="s">
        <v>355</v>
      </c>
      <c r="G677" s="77" t="s">
        <v>149</v>
      </c>
      <c r="H677" s="77" t="s">
        <v>151</v>
      </c>
      <c r="I677" s="75"/>
      <c r="J677" s="81" t="s">
        <v>367</v>
      </c>
      <c r="K677" s="45" t="s">
        <v>368</v>
      </c>
      <c r="L677" s="127" t="s">
        <v>64</v>
      </c>
      <c r="M677" s="86" t="s">
        <v>164</v>
      </c>
      <c r="N677" s="43" t="s">
        <v>55</v>
      </c>
      <c r="O677" s="115" t="s">
        <v>179</v>
      </c>
      <c r="P677" s="45" t="s">
        <v>1525</v>
      </c>
      <c r="Q677" s="44" t="s">
        <v>1526</v>
      </c>
    </row>
    <row r="678" ht="39.75" hidden="1" customHeight="1">
      <c r="A678" s="94" t="s">
        <v>1186</v>
      </c>
      <c r="B678" s="96" t="s">
        <v>82</v>
      </c>
      <c r="C678" s="94" t="s">
        <v>369</v>
      </c>
      <c r="D678" s="97" t="s">
        <v>370</v>
      </c>
      <c r="E678" s="97" t="s">
        <v>1688</v>
      </c>
      <c r="F678" s="97" t="s">
        <v>148</v>
      </c>
      <c r="G678" s="97" t="s">
        <v>106</v>
      </c>
      <c r="H678" s="97" t="s">
        <v>151</v>
      </c>
      <c r="I678" s="96"/>
      <c r="J678" s="100" t="s">
        <v>373</v>
      </c>
      <c r="K678" s="101" t="s">
        <v>374</v>
      </c>
      <c r="L678" s="140" t="s">
        <v>52</v>
      </c>
      <c r="M678" s="86" t="s">
        <v>164</v>
      </c>
      <c r="N678" s="43" t="s">
        <v>55</v>
      </c>
      <c r="O678" s="105" t="s">
        <v>166</v>
      </c>
      <c r="P678" s="101" t="s">
        <v>1189</v>
      </c>
      <c r="Q678" s="107" t="s">
        <v>1190</v>
      </c>
    </row>
    <row r="679" ht="31.5" hidden="1" customHeight="1">
      <c r="A679" s="73" t="s">
        <v>61</v>
      </c>
      <c r="B679" s="75" t="s">
        <v>24</v>
      </c>
      <c r="C679" s="73" t="s">
        <v>369</v>
      </c>
      <c r="D679" s="77" t="s">
        <v>370</v>
      </c>
      <c r="E679" s="77" t="s">
        <v>1688</v>
      </c>
      <c r="F679" s="77" t="s">
        <v>148</v>
      </c>
      <c r="G679" s="77" t="s">
        <v>106</v>
      </c>
      <c r="H679" s="77" t="s">
        <v>151</v>
      </c>
      <c r="I679" s="75"/>
      <c r="J679" s="81" t="s">
        <v>373</v>
      </c>
      <c r="K679" s="45" t="s">
        <v>374</v>
      </c>
      <c r="L679" s="88" t="s">
        <v>63</v>
      </c>
      <c r="M679" s="50" t="s">
        <v>64</v>
      </c>
      <c r="N679" s="43" t="s">
        <v>55</v>
      </c>
      <c r="O679" s="59" t="s">
        <v>68</v>
      </c>
      <c r="P679" s="45" t="s">
        <v>70</v>
      </c>
      <c r="Q679" s="44" t="s">
        <v>74</v>
      </c>
    </row>
    <row r="680" ht="31.5" hidden="1" customHeight="1">
      <c r="A680" s="94" t="s">
        <v>75</v>
      </c>
      <c r="B680" s="96" t="s">
        <v>24</v>
      </c>
      <c r="C680" s="94" t="s">
        <v>369</v>
      </c>
      <c r="D680" s="97" t="s">
        <v>370</v>
      </c>
      <c r="E680" s="97" t="s">
        <v>1688</v>
      </c>
      <c r="F680" s="97" t="s">
        <v>148</v>
      </c>
      <c r="G680" s="97" t="s">
        <v>106</v>
      </c>
      <c r="H680" s="97" t="s">
        <v>151</v>
      </c>
      <c r="I680" s="96"/>
      <c r="J680" s="100" t="s">
        <v>373</v>
      </c>
      <c r="K680" s="101" t="s">
        <v>374</v>
      </c>
      <c r="L680" s="103" t="s">
        <v>76</v>
      </c>
      <c r="M680" s="57" t="s">
        <v>78</v>
      </c>
      <c r="N680" s="43" t="s">
        <v>55</v>
      </c>
      <c r="O680" s="105" t="s">
        <v>68</v>
      </c>
      <c r="P680" s="101" t="s">
        <v>70</v>
      </c>
      <c r="Q680" s="107" t="s">
        <v>74</v>
      </c>
    </row>
    <row r="681" ht="39.75" hidden="1" customHeight="1">
      <c r="A681" s="73" t="s">
        <v>407</v>
      </c>
      <c r="B681" s="75" t="s">
        <v>39</v>
      </c>
      <c r="C681" s="73" t="s">
        <v>369</v>
      </c>
      <c r="D681" s="77" t="s">
        <v>370</v>
      </c>
      <c r="E681" s="77" t="s">
        <v>1688</v>
      </c>
      <c r="F681" s="77" t="s">
        <v>148</v>
      </c>
      <c r="G681" s="77" t="s">
        <v>106</v>
      </c>
      <c r="H681" s="77" t="s">
        <v>151</v>
      </c>
      <c r="I681" s="75"/>
      <c r="J681" s="81" t="s">
        <v>373</v>
      </c>
      <c r="K681" s="45" t="s">
        <v>374</v>
      </c>
      <c r="L681" s="88" t="s">
        <v>63</v>
      </c>
      <c r="M681" s="50" t="s">
        <v>64</v>
      </c>
      <c r="N681" s="43" t="s">
        <v>55</v>
      </c>
      <c r="O681" s="59" t="s">
        <v>68</v>
      </c>
      <c r="P681" s="45" t="s">
        <v>404</v>
      </c>
      <c r="Q681" s="44" t="s">
        <v>411</v>
      </c>
    </row>
    <row r="682" ht="39.75" hidden="1" customHeight="1">
      <c r="A682" s="94" t="s">
        <v>412</v>
      </c>
      <c r="B682" s="96" t="s">
        <v>39</v>
      </c>
      <c r="C682" s="94" t="s">
        <v>369</v>
      </c>
      <c r="D682" s="97" t="s">
        <v>370</v>
      </c>
      <c r="E682" s="97" t="s">
        <v>1688</v>
      </c>
      <c r="F682" s="97" t="s">
        <v>148</v>
      </c>
      <c r="G682" s="97" t="s">
        <v>106</v>
      </c>
      <c r="H682" s="97" t="s">
        <v>151</v>
      </c>
      <c r="I682" s="96"/>
      <c r="J682" s="100" t="s">
        <v>373</v>
      </c>
      <c r="K682" s="101" t="s">
        <v>374</v>
      </c>
      <c r="L682" s="125" t="s">
        <v>92</v>
      </c>
      <c r="M682" s="56" t="s">
        <v>76</v>
      </c>
      <c r="N682" s="43" t="s">
        <v>55</v>
      </c>
      <c r="O682" s="105" t="s">
        <v>68</v>
      </c>
      <c r="P682" s="101" t="s">
        <v>404</v>
      </c>
      <c r="Q682" s="107" t="s">
        <v>409</v>
      </c>
    </row>
    <row r="683" ht="39.75" hidden="1" customHeight="1">
      <c r="A683" s="73" t="s">
        <v>717</v>
      </c>
      <c r="B683" s="75" t="s">
        <v>60</v>
      </c>
      <c r="C683" s="73" t="s">
        <v>369</v>
      </c>
      <c r="D683" s="77" t="s">
        <v>370</v>
      </c>
      <c r="E683" s="77" t="s">
        <v>1688</v>
      </c>
      <c r="F683" s="77" t="s">
        <v>148</v>
      </c>
      <c r="G683" s="77" t="s">
        <v>106</v>
      </c>
      <c r="H683" s="77" t="s">
        <v>151</v>
      </c>
      <c r="I683" s="75"/>
      <c r="J683" s="81" t="s">
        <v>373</v>
      </c>
      <c r="K683" s="45" t="s">
        <v>374</v>
      </c>
      <c r="L683" s="88" t="s">
        <v>63</v>
      </c>
      <c r="M683" s="50" t="s">
        <v>64</v>
      </c>
      <c r="N683" s="43" t="s">
        <v>55</v>
      </c>
      <c r="O683" s="59" t="s">
        <v>68</v>
      </c>
      <c r="P683" s="45" t="s">
        <v>706</v>
      </c>
      <c r="Q683" s="44" t="s">
        <v>709</v>
      </c>
    </row>
    <row r="684" ht="31.5" hidden="1" customHeight="1">
      <c r="A684" s="94" t="s">
        <v>1530</v>
      </c>
      <c r="B684" s="96" t="s">
        <v>1531</v>
      </c>
      <c r="C684" s="94" t="s">
        <v>369</v>
      </c>
      <c r="D684" s="97" t="s">
        <v>370</v>
      </c>
      <c r="E684" s="97" t="s">
        <v>1688</v>
      </c>
      <c r="F684" s="97" t="s">
        <v>148</v>
      </c>
      <c r="G684" s="97" t="s">
        <v>106</v>
      </c>
      <c r="H684" s="97" t="s">
        <v>151</v>
      </c>
      <c r="I684" s="96"/>
      <c r="J684" s="100" t="s">
        <v>373</v>
      </c>
      <c r="K684" s="101" t="s">
        <v>374</v>
      </c>
      <c r="L684" s="140" t="s">
        <v>52</v>
      </c>
      <c r="M684" s="86" t="s">
        <v>164</v>
      </c>
      <c r="N684" s="43" t="s">
        <v>55</v>
      </c>
      <c r="O684" s="124" t="s">
        <v>56</v>
      </c>
      <c r="P684" s="101" t="s">
        <v>1533</v>
      </c>
      <c r="Q684" s="107"/>
    </row>
    <row r="685" ht="39.75" hidden="1" customHeight="1">
      <c r="A685" s="73" t="s">
        <v>720</v>
      </c>
      <c r="B685" s="75" t="s">
        <v>60</v>
      </c>
      <c r="C685" s="73" t="s">
        <v>369</v>
      </c>
      <c r="D685" s="77" t="s">
        <v>370</v>
      </c>
      <c r="E685" s="77" t="s">
        <v>1688</v>
      </c>
      <c r="F685" s="77" t="s">
        <v>148</v>
      </c>
      <c r="G685" s="77" t="s">
        <v>106</v>
      </c>
      <c r="H685" s="77" t="s">
        <v>151</v>
      </c>
      <c r="I685" s="75"/>
      <c r="J685" s="81" t="s">
        <v>373</v>
      </c>
      <c r="K685" s="45" t="s">
        <v>374</v>
      </c>
      <c r="L685" s="140" t="s">
        <v>52</v>
      </c>
      <c r="M685" s="86" t="s">
        <v>164</v>
      </c>
      <c r="N685" s="43" t="s">
        <v>55</v>
      </c>
      <c r="O685" s="59" t="s">
        <v>68</v>
      </c>
      <c r="P685" s="45" t="s">
        <v>706</v>
      </c>
      <c r="Q685" s="44" t="s">
        <v>709</v>
      </c>
    </row>
    <row r="686" ht="31.5" hidden="1" customHeight="1">
      <c r="A686" s="94" t="s">
        <v>1546</v>
      </c>
      <c r="B686" s="96" t="s">
        <v>1541</v>
      </c>
      <c r="C686" s="94" t="s">
        <v>369</v>
      </c>
      <c r="D686" s="97" t="s">
        <v>370</v>
      </c>
      <c r="E686" s="97" t="s">
        <v>1688</v>
      </c>
      <c r="F686" s="97" t="s">
        <v>148</v>
      </c>
      <c r="G686" s="97" t="s">
        <v>106</v>
      </c>
      <c r="H686" s="97" t="s">
        <v>151</v>
      </c>
      <c r="I686" s="96"/>
      <c r="J686" s="100" t="s">
        <v>373</v>
      </c>
      <c r="K686" s="101" t="s">
        <v>374</v>
      </c>
      <c r="L686" s="125" t="s">
        <v>92</v>
      </c>
      <c r="M686" s="86" t="s">
        <v>164</v>
      </c>
      <c r="N686" s="43" t="s">
        <v>55</v>
      </c>
      <c r="O686" s="105" t="s">
        <v>166</v>
      </c>
      <c r="P686" s="101" t="s">
        <v>1543</v>
      </c>
      <c r="Q686" s="107" t="s">
        <v>1545</v>
      </c>
    </row>
    <row r="687" ht="39.75" hidden="1" customHeight="1">
      <c r="A687" s="73" t="s">
        <v>596</v>
      </c>
      <c r="B687" s="75" t="s">
        <v>51</v>
      </c>
      <c r="C687" s="73" t="s">
        <v>369</v>
      </c>
      <c r="D687" s="77" t="s">
        <v>370</v>
      </c>
      <c r="E687" s="77" t="s">
        <v>1688</v>
      </c>
      <c r="F687" s="77" t="s">
        <v>148</v>
      </c>
      <c r="G687" s="77" t="s">
        <v>106</v>
      </c>
      <c r="H687" s="77" t="s">
        <v>151</v>
      </c>
      <c r="I687" s="75"/>
      <c r="J687" s="81" t="s">
        <v>373</v>
      </c>
      <c r="K687" s="45" t="s">
        <v>374</v>
      </c>
      <c r="L687" s="125" t="s">
        <v>92</v>
      </c>
      <c r="M687" s="50" t="s">
        <v>64</v>
      </c>
      <c r="N687" s="43" t="s">
        <v>55</v>
      </c>
      <c r="O687" s="59" t="s">
        <v>68</v>
      </c>
      <c r="P687" s="45" t="s">
        <v>550</v>
      </c>
      <c r="Q687" s="44" t="s">
        <v>552</v>
      </c>
    </row>
    <row r="688" ht="31.5" hidden="1" customHeight="1">
      <c r="A688" s="94" t="s">
        <v>1557</v>
      </c>
      <c r="B688" s="96" t="s">
        <v>1553</v>
      </c>
      <c r="C688" s="94" t="s">
        <v>369</v>
      </c>
      <c r="D688" s="97" t="s">
        <v>370</v>
      </c>
      <c r="E688" s="97" t="s">
        <v>1688</v>
      </c>
      <c r="F688" s="97" t="s">
        <v>148</v>
      </c>
      <c r="G688" s="97" t="s">
        <v>106</v>
      </c>
      <c r="H688" s="97" t="s">
        <v>151</v>
      </c>
      <c r="I688" s="96"/>
      <c r="J688" s="100" t="s">
        <v>373</v>
      </c>
      <c r="K688" s="101" t="s">
        <v>374</v>
      </c>
      <c r="L688" s="140" t="s">
        <v>52</v>
      </c>
      <c r="M688" s="79" t="s">
        <v>150</v>
      </c>
      <c r="N688" s="43" t="s">
        <v>55</v>
      </c>
      <c r="O688" s="105" t="s">
        <v>166</v>
      </c>
      <c r="P688" s="101" t="s">
        <v>1555</v>
      </c>
      <c r="Q688" s="107" t="s">
        <v>1556</v>
      </c>
    </row>
    <row r="689" ht="39.75" hidden="1" customHeight="1">
      <c r="A689" s="73" t="s">
        <v>1572</v>
      </c>
      <c r="B689" s="75" t="s">
        <v>1563</v>
      </c>
      <c r="C689" s="73" t="s">
        <v>369</v>
      </c>
      <c r="D689" s="77" t="s">
        <v>370</v>
      </c>
      <c r="E689" s="77" t="s">
        <v>1688</v>
      </c>
      <c r="F689" s="77" t="s">
        <v>148</v>
      </c>
      <c r="G689" s="77" t="s">
        <v>106</v>
      </c>
      <c r="H689" s="77" t="s">
        <v>151</v>
      </c>
      <c r="I689" s="75"/>
      <c r="J689" s="81" t="s">
        <v>373</v>
      </c>
      <c r="K689" s="45" t="s">
        <v>374</v>
      </c>
      <c r="L689" s="88" t="s">
        <v>63</v>
      </c>
      <c r="M689" s="50" t="s">
        <v>64</v>
      </c>
      <c r="N689" s="43" t="s">
        <v>55</v>
      </c>
      <c r="O689" s="59" t="s">
        <v>68</v>
      </c>
      <c r="P689" s="45" t="s">
        <v>1565</v>
      </c>
      <c r="Q689" s="44" t="s">
        <v>1573</v>
      </c>
    </row>
    <row r="690" ht="31.5" hidden="1" customHeight="1">
      <c r="A690" s="94" t="s">
        <v>1558</v>
      </c>
      <c r="B690" s="96" t="s">
        <v>1553</v>
      </c>
      <c r="C690" s="94" t="s">
        <v>369</v>
      </c>
      <c r="D690" s="97" t="s">
        <v>370</v>
      </c>
      <c r="E690" s="97" t="s">
        <v>1688</v>
      </c>
      <c r="F690" s="97" t="s">
        <v>148</v>
      </c>
      <c r="G690" s="97" t="s">
        <v>106</v>
      </c>
      <c r="H690" s="97" t="s">
        <v>151</v>
      </c>
      <c r="I690" s="96"/>
      <c r="J690" s="100" t="s">
        <v>373</v>
      </c>
      <c r="K690" s="101" t="s">
        <v>374</v>
      </c>
      <c r="L690" s="88" t="s">
        <v>63</v>
      </c>
      <c r="M690" s="41" t="s">
        <v>52</v>
      </c>
      <c r="N690" s="43" t="s">
        <v>55</v>
      </c>
      <c r="O690" s="105" t="s">
        <v>166</v>
      </c>
      <c r="P690" s="101" t="s">
        <v>1555</v>
      </c>
      <c r="Q690" s="107" t="s">
        <v>1556</v>
      </c>
    </row>
    <row r="691" ht="39.75" hidden="1" customHeight="1">
      <c r="A691" s="73" t="s">
        <v>627</v>
      </c>
      <c r="B691" s="75" t="s">
        <v>51</v>
      </c>
      <c r="C691" s="73" t="s">
        <v>369</v>
      </c>
      <c r="D691" s="77" t="s">
        <v>370</v>
      </c>
      <c r="E691" s="77" t="s">
        <v>1688</v>
      </c>
      <c r="F691" s="77" t="s">
        <v>148</v>
      </c>
      <c r="G691" s="77" t="s">
        <v>106</v>
      </c>
      <c r="H691" s="77" t="s">
        <v>151</v>
      </c>
      <c r="I691" s="75"/>
      <c r="J691" s="81" t="s">
        <v>373</v>
      </c>
      <c r="K691" s="45" t="s">
        <v>374</v>
      </c>
      <c r="L691" s="125" t="s">
        <v>92</v>
      </c>
      <c r="M691" s="86" t="s">
        <v>164</v>
      </c>
      <c r="N691" s="43" t="s">
        <v>55</v>
      </c>
      <c r="O691" s="59" t="s">
        <v>68</v>
      </c>
      <c r="P691" s="45" t="s">
        <v>550</v>
      </c>
      <c r="Q691" s="44" t="s">
        <v>552</v>
      </c>
    </row>
    <row r="692" ht="31.5" hidden="1" customHeight="1">
      <c r="A692" s="94" t="s">
        <v>1579</v>
      </c>
      <c r="B692" s="96" t="s">
        <v>1580</v>
      </c>
      <c r="C692" s="94" t="s">
        <v>369</v>
      </c>
      <c r="D692" s="97" t="s">
        <v>370</v>
      </c>
      <c r="E692" s="97" t="s">
        <v>1688</v>
      </c>
      <c r="F692" s="97" t="s">
        <v>148</v>
      </c>
      <c r="G692" s="97" t="s">
        <v>106</v>
      </c>
      <c r="H692" s="97" t="s">
        <v>151</v>
      </c>
      <c r="I692" s="96"/>
      <c r="J692" s="100" t="s">
        <v>373</v>
      </c>
      <c r="K692" s="101" t="s">
        <v>374</v>
      </c>
      <c r="L692" s="137" t="s">
        <v>164</v>
      </c>
      <c r="M692" s="50" t="s">
        <v>64</v>
      </c>
      <c r="N692" s="43" t="s">
        <v>55</v>
      </c>
      <c r="O692" s="124" t="s">
        <v>56</v>
      </c>
      <c r="P692" s="101" t="s">
        <v>1582</v>
      </c>
      <c r="Q692" s="107" t="s">
        <v>1583</v>
      </c>
    </row>
    <row r="693" ht="39.75" hidden="1" customHeight="1">
      <c r="A693" s="73" t="s">
        <v>940</v>
      </c>
      <c r="B693" s="75" t="s">
        <v>66</v>
      </c>
      <c r="C693" s="73" t="s">
        <v>369</v>
      </c>
      <c r="D693" s="77" t="s">
        <v>370</v>
      </c>
      <c r="E693" s="77" t="s">
        <v>1688</v>
      </c>
      <c r="F693" s="77" t="s">
        <v>148</v>
      </c>
      <c r="G693" s="77" t="s">
        <v>106</v>
      </c>
      <c r="H693" s="77" t="s">
        <v>151</v>
      </c>
      <c r="I693" s="75"/>
      <c r="J693" s="81" t="s">
        <v>373</v>
      </c>
      <c r="K693" s="45" t="s">
        <v>374</v>
      </c>
      <c r="L693" s="88" t="s">
        <v>63</v>
      </c>
      <c r="M693" s="41" t="s">
        <v>52</v>
      </c>
      <c r="N693" s="43" t="s">
        <v>55</v>
      </c>
      <c r="O693" s="59" t="s">
        <v>68</v>
      </c>
      <c r="P693" s="45" t="s">
        <v>891</v>
      </c>
      <c r="Q693" s="44" t="s">
        <v>893</v>
      </c>
    </row>
    <row r="694" ht="39.75" hidden="1" customHeight="1">
      <c r="A694" s="94" t="s">
        <v>941</v>
      </c>
      <c r="B694" s="96" t="s">
        <v>66</v>
      </c>
      <c r="C694" s="94" t="s">
        <v>369</v>
      </c>
      <c r="D694" s="97" t="s">
        <v>370</v>
      </c>
      <c r="E694" s="97" t="s">
        <v>1688</v>
      </c>
      <c r="F694" s="97" t="s">
        <v>148</v>
      </c>
      <c r="G694" s="97" t="s">
        <v>106</v>
      </c>
      <c r="H694" s="97" t="s">
        <v>151</v>
      </c>
      <c r="I694" s="96"/>
      <c r="J694" s="100" t="s">
        <v>373</v>
      </c>
      <c r="K694" s="101" t="s">
        <v>374</v>
      </c>
      <c r="L694" s="88" t="s">
        <v>63</v>
      </c>
      <c r="M694" s="50" t="s">
        <v>64</v>
      </c>
      <c r="N694" s="43" t="s">
        <v>55</v>
      </c>
      <c r="O694" s="105" t="s">
        <v>68</v>
      </c>
      <c r="P694" s="101" t="s">
        <v>891</v>
      </c>
      <c r="Q694" s="107" t="s">
        <v>893</v>
      </c>
    </row>
    <row r="695" ht="31.5" hidden="1" customHeight="1">
      <c r="A695" s="73" t="s">
        <v>258</v>
      </c>
      <c r="B695" s="75" t="s">
        <v>24</v>
      </c>
      <c r="C695" s="73" t="s">
        <v>369</v>
      </c>
      <c r="D695" s="77" t="s">
        <v>370</v>
      </c>
      <c r="E695" s="77" t="s">
        <v>1688</v>
      </c>
      <c r="F695" s="77" t="s">
        <v>148</v>
      </c>
      <c r="G695" s="77" t="s">
        <v>106</v>
      </c>
      <c r="H695" s="77" t="s">
        <v>151</v>
      </c>
      <c r="I695" s="75"/>
      <c r="J695" s="81" t="s">
        <v>373</v>
      </c>
      <c r="K695" s="45" t="s">
        <v>374</v>
      </c>
      <c r="L695" s="88" t="s">
        <v>63</v>
      </c>
      <c r="M695" s="50" t="s">
        <v>64</v>
      </c>
      <c r="N695" s="43" t="s">
        <v>55</v>
      </c>
      <c r="O695" s="115" t="s">
        <v>56</v>
      </c>
      <c r="P695" s="45" t="s">
        <v>261</v>
      </c>
      <c r="Q695" s="44" t="s">
        <v>262</v>
      </c>
    </row>
    <row r="696" ht="31.5" hidden="1" customHeight="1">
      <c r="A696" s="94" t="s">
        <v>270</v>
      </c>
      <c r="B696" s="96" t="s">
        <v>24</v>
      </c>
      <c r="C696" s="94" t="s">
        <v>369</v>
      </c>
      <c r="D696" s="97" t="s">
        <v>370</v>
      </c>
      <c r="E696" s="97" t="s">
        <v>1688</v>
      </c>
      <c r="F696" s="97" t="s">
        <v>148</v>
      </c>
      <c r="G696" s="97" t="s">
        <v>106</v>
      </c>
      <c r="H696" s="97" t="s">
        <v>151</v>
      </c>
      <c r="I696" s="96"/>
      <c r="J696" s="100" t="s">
        <v>373</v>
      </c>
      <c r="K696" s="101" t="s">
        <v>374</v>
      </c>
      <c r="L696" s="126" t="s">
        <v>78</v>
      </c>
      <c r="M696" s="50" t="s">
        <v>64</v>
      </c>
      <c r="N696" s="43" t="s">
        <v>55</v>
      </c>
      <c r="O696" s="105" t="s">
        <v>68</v>
      </c>
      <c r="P696" s="101" t="s">
        <v>70</v>
      </c>
      <c r="Q696" s="107" t="s">
        <v>74</v>
      </c>
    </row>
    <row r="697" ht="39.75" hidden="1" customHeight="1">
      <c r="A697" s="73" t="s">
        <v>275</v>
      </c>
      <c r="B697" s="75" t="s">
        <v>24</v>
      </c>
      <c r="C697" s="73" t="s">
        <v>369</v>
      </c>
      <c r="D697" s="77" t="s">
        <v>370</v>
      </c>
      <c r="E697" s="77" t="s">
        <v>1688</v>
      </c>
      <c r="F697" s="77" t="s">
        <v>148</v>
      </c>
      <c r="G697" s="77" t="s">
        <v>106</v>
      </c>
      <c r="H697" s="77" t="s">
        <v>151</v>
      </c>
      <c r="I697" s="75"/>
      <c r="J697" s="81" t="s">
        <v>373</v>
      </c>
      <c r="K697" s="45" t="s">
        <v>374</v>
      </c>
      <c r="L697" s="88" t="s">
        <v>63</v>
      </c>
      <c r="M697" s="50" t="s">
        <v>64</v>
      </c>
      <c r="N697" s="43" t="s">
        <v>55</v>
      </c>
      <c r="O697" s="59" t="s">
        <v>68</v>
      </c>
      <c r="P697" s="45" t="s">
        <v>70</v>
      </c>
      <c r="Q697" s="44" t="s">
        <v>277</v>
      </c>
    </row>
    <row r="698" ht="39.75" hidden="1" customHeight="1">
      <c r="A698" s="94" t="s">
        <v>652</v>
      </c>
      <c r="B698" s="96" t="s">
        <v>51</v>
      </c>
      <c r="C698" s="94" t="s">
        <v>369</v>
      </c>
      <c r="D698" s="97" t="s">
        <v>370</v>
      </c>
      <c r="E698" s="97" t="s">
        <v>1688</v>
      </c>
      <c r="F698" s="97" t="s">
        <v>148</v>
      </c>
      <c r="G698" s="97" t="s">
        <v>106</v>
      </c>
      <c r="H698" s="97" t="s">
        <v>151</v>
      </c>
      <c r="I698" s="96"/>
      <c r="J698" s="100" t="s">
        <v>373</v>
      </c>
      <c r="K698" s="101" t="s">
        <v>374</v>
      </c>
      <c r="L698" s="126" t="s">
        <v>78</v>
      </c>
      <c r="M698" s="50" t="s">
        <v>64</v>
      </c>
      <c r="N698" s="43" t="s">
        <v>55</v>
      </c>
      <c r="O698" s="105" t="s">
        <v>68</v>
      </c>
      <c r="P698" s="101" t="s">
        <v>550</v>
      </c>
      <c r="Q698" s="107" t="s">
        <v>552</v>
      </c>
    </row>
    <row r="699" ht="39.75" hidden="1" customHeight="1">
      <c r="A699" s="73" t="s">
        <v>966</v>
      </c>
      <c r="B699" s="75" t="s">
        <v>66</v>
      </c>
      <c r="C699" s="73" t="s">
        <v>369</v>
      </c>
      <c r="D699" s="77" t="s">
        <v>370</v>
      </c>
      <c r="E699" s="77" t="s">
        <v>1688</v>
      </c>
      <c r="F699" s="77" t="s">
        <v>148</v>
      </c>
      <c r="G699" s="77" t="s">
        <v>106</v>
      </c>
      <c r="H699" s="77" t="s">
        <v>151</v>
      </c>
      <c r="I699" s="75"/>
      <c r="J699" s="81" t="s">
        <v>373</v>
      </c>
      <c r="K699" s="45" t="s">
        <v>374</v>
      </c>
      <c r="L699" s="125" t="s">
        <v>92</v>
      </c>
      <c r="M699" s="49" t="s">
        <v>63</v>
      </c>
      <c r="N699" s="43" t="s">
        <v>55</v>
      </c>
      <c r="O699" s="59" t="s">
        <v>68</v>
      </c>
      <c r="P699" s="45" t="s">
        <v>891</v>
      </c>
      <c r="Q699" s="44" t="s">
        <v>967</v>
      </c>
    </row>
    <row r="700" ht="31.5" hidden="1" customHeight="1">
      <c r="A700" s="94" t="s">
        <v>1595</v>
      </c>
      <c r="B700" s="96" t="s">
        <v>1591</v>
      </c>
      <c r="C700" s="94" t="s">
        <v>369</v>
      </c>
      <c r="D700" s="97" t="s">
        <v>370</v>
      </c>
      <c r="E700" s="97" t="s">
        <v>1688</v>
      </c>
      <c r="F700" s="97" t="s">
        <v>148</v>
      </c>
      <c r="G700" s="97" t="s">
        <v>106</v>
      </c>
      <c r="H700" s="97" t="s">
        <v>151</v>
      </c>
      <c r="I700" s="96"/>
      <c r="J700" s="100" t="s">
        <v>373</v>
      </c>
      <c r="K700" s="101" t="s">
        <v>374</v>
      </c>
      <c r="L700" s="125" t="s">
        <v>92</v>
      </c>
      <c r="M700" s="50" t="s">
        <v>64</v>
      </c>
      <c r="N700" s="43" t="s">
        <v>55</v>
      </c>
      <c r="O700" s="105" t="s">
        <v>68</v>
      </c>
      <c r="P700" s="101" t="s">
        <v>1593</v>
      </c>
      <c r="Q700" s="107" t="s">
        <v>1566</v>
      </c>
    </row>
    <row r="701" ht="39.75" hidden="1" customHeight="1">
      <c r="A701" s="73" t="s">
        <v>1578</v>
      </c>
      <c r="B701" s="75" t="s">
        <v>1563</v>
      </c>
      <c r="C701" s="73" t="s">
        <v>369</v>
      </c>
      <c r="D701" s="77" t="s">
        <v>370</v>
      </c>
      <c r="E701" s="77" t="s">
        <v>1688</v>
      </c>
      <c r="F701" s="77" t="s">
        <v>148</v>
      </c>
      <c r="G701" s="77" t="s">
        <v>106</v>
      </c>
      <c r="H701" s="77" t="s">
        <v>151</v>
      </c>
      <c r="I701" s="75"/>
      <c r="J701" s="81" t="s">
        <v>373</v>
      </c>
      <c r="K701" s="45" t="s">
        <v>374</v>
      </c>
      <c r="L701" s="88" t="s">
        <v>63</v>
      </c>
      <c r="M701" s="50" t="s">
        <v>64</v>
      </c>
      <c r="N701" s="43" t="s">
        <v>55</v>
      </c>
      <c r="O701" s="59" t="s">
        <v>68</v>
      </c>
      <c r="P701" s="45" t="s">
        <v>1565</v>
      </c>
      <c r="Q701" s="44" t="s">
        <v>1573</v>
      </c>
    </row>
    <row r="702" ht="31.5" hidden="1" customHeight="1">
      <c r="A702" s="94" t="s">
        <v>763</v>
      </c>
      <c r="B702" s="96" t="s">
        <v>60</v>
      </c>
      <c r="C702" s="94" t="s">
        <v>369</v>
      </c>
      <c r="D702" s="97" t="s">
        <v>370</v>
      </c>
      <c r="E702" s="97" t="s">
        <v>1688</v>
      </c>
      <c r="F702" s="97" t="s">
        <v>148</v>
      </c>
      <c r="G702" s="97" t="s">
        <v>106</v>
      </c>
      <c r="H702" s="97" t="s">
        <v>151</v>
      </c>
      <c r="I702" s="96"/>
      <c r="J702" s="100" t="s">
        <v>373</v>
      </c>
      <c r="K702" s="101" t="s">
        <v>374</v>
      </c>
      <c r="L702" s="88" t="s">
        <v>63</v>
      </c>
      <c r="M702" s="50" t="s">
        <v>64</v>
      </c>
      <c r="N702" s="43" t="s">
        <v>55</v>
      </c>
      <c r="O702" s="124" t="s">
        <v>56</v>
      </c>
      <c r="P702" s="101" t="s">
        <v>768</v>
      </c>
      <c r="Q702" s="107"/>
    </row>
    <row r="703" ht="39.75" hidden="1" customHeight="1">
      <c r="A703" s="73" t="s">
        <v>443</v>
      </c>
      <c r="B703" s="75" t="s">
        <v>39</v>
      </c>
      <c r="C703" s="73" t="s">
        <v>369</v>
      </c>
      <c r="D703" s="77" t="s">
        <v>370</v>
      </c>
      <c r="E703" s="77" t="s">
        <v>1688</v>
      </c>
      <c r="F703" s="77" t="s">
        <v>148</v>
      </c>
      <c r="G703" s="77" t="s">
        <v>106</v>
      </c>
      <c r="H703" s="77" t="s">
        <v>151</v>
      </c>
      <c r="I703" s="75"/>
      <c r="J703" s="81" t="s">
        <v>373</v>
      </c>
      <c r="K703" s="45" t="s">
        <v>374</v>
      </c>
      <c r="L703" s="148" t="s">
        <v>199</v>
      </c>
      <c r="M703" s="50" t="s">
        <v>64</v>
      </c>
      <c r="N703" s="43" t="s">
        <v>55</v>
      </c>
      <c r="O703" s="59" t="s">
        <v>68</v>
      </c>
      <c r="P703" s="45" t="s">
        <v>404</v>
      </c>
      <c r="Q703" s="44" t="s">
        <v>409</v>
      </c>
    </row>
    <row r="704" ht="39.75" hidden="1" customHeight="1">
      <c r="A704" s="94" t="s">
        <v>446</v>
      </c>
      <c r="B704" s="96" t="s">
        <v>39</v>
      </c>
      <c r="C704" s="94" t="s">
        <v>369</v>
      </c>
      <c r="D704" s="97" t="s">
        <v>370</v>
      </c>
      <c r="E704" s="97" t="s">
        <v>1688</v>
      </c>
      <c r="F704" s="97" t="s">
        <v>148</v>
      </c>
      <c r="G704" s="97" t="s">
        <v>106</v>
      </c>
      <c r="H704" s="97" t="s">
        <v>151</v>
      </c>
      <c r="I704" s="96"/>
      <c r="J704" s="100" t="s">
        <v>373</v>
      </c>
      <c r="K704" s="101" t="s">
        <v>374</v>
      </c>
      <c r="L704" s="127" t="s">
        <v>64</v>
      </c>
      <c r="M704" s="152" t="s">
        <v>218</v>
      </c>
      <c r="N704" s="43" t="s">
        <v>55</v>
      </c>
      <c r="O704" s="105" t="s">
        <v>68</v>
      </c>
      <c r="P704" s="101" t="s">
        <v>404</v>
      </c>
      <c r="Q704" s="107" t="s">
        <v>409</v>
      </c>
    </row>
    <row r="705" ht="39.75" hidden="1" customHeight="1">
      <c r="A705" s="73" t="s">
        <v>659</v>
      </c>
      <c r="B705" s="75" t="s">
        <v>51</v>
      </c>
      <c r="C705" s="73" t="s">
        <v>369</v>
      </c>
      <c r="D705" s="77" t="s">
        <v>370</v>
      </c>
      <c r="E705" s="77" t="s">
        <v>1688</v>
      </c>
      <c r="F705" s="77" t="s">
        <v>148</v>
      </c>
      <c r="G705" s="77" t="s">
        <v>106</v>
      </c>
      <c r="H705" s="77" t="s">
        <v>151</v>
      </c>
      <c r="I705" s="75"/>
      <c r="J705" s="81" t="s">
        <v>373</v>
      </c>
      <c r="K705" s="45" t="s">
        <v>374</v>
      </c>
      <c r="L705" s="163" t="s">
        <v>176</v>
      </c>
      <c r="M705" s="164" t="s">
        <v>196</v>
      </c>
      <c r="N705" s="43" t="s">
        <v>55</v>
      </c>
      <c r="O705" s="59" t="s">
        <v>68</v>
      </c>
      <c r="P705" s="45" t="s">
        <v>550</v>
      </c>
      <c r="Q705" s="44" t="s">
        <v>552</v>
      </c>
    </row>
    <row r="706" ht="31.5" hidden="1" customHeight="1">
      <c r="A706" s="94" t="s">
        <v>1598</v>
      </c>
      <c r="B706" s="96" t="s">
        <v>1599</v>
      </c>
      <c r="C706" s="94" t="s">
        <v>369</v>
      </c>
      <c r="D706" s="97" t="s">
        <v>370</v>
      </c>
      <c r="E706" s="97" t="s">
        <v>1688</v>
      </c>
      <c r="F706" s="97" t="s">
        <v>148</v>
      </c>
      <c r="G706" s="97" t="s">
        <v>106</v>
      </c>
      <c r="H706" s="97" t="s">
        <v>151</v>
      </c>
      <c r="I706" s="96"/>
      <c r="J706" s="100" t="s">
        <v>373</v>
      </c>
      <c r="K706" s="101" t="s">
        <v>374</v>
      </c>
      <c r="L706" s="137" t="s">
        <v>164</v>
      </c>
      <c r="M706" s="162" t="s">
        <v>212</v>
      </c>
      <c r="N706" s="43" t="s">
        <v>55</v>
      </c>
      <c r="O706" s="124" t="s">
        <v>56</v>
      </c>
      <c r="P706" s="101" t="s">
        <v>1601</v>
      </c>
      <c r="Q706" s="107" t="s">
        <v>1602</v>
      </c>
    </row>
    <row r="707" ht="31.5" hidden="1" customHeight="1">
      <c r="A707" s="73" t="s">
        <v>1603</v>
      </c>
      <c r="B707" s="75" t="s">
        <v>1604</v>
      </c>
      <c r="C707" s="73" t="s">
        <v>369</v>
      </c>
      <c r="D707" s="77" t="s">
        <v>370</v>
      </c>
      <c r="E707" s="77" t="s">
        <v>1688</v>
      </c>
      <c r="F707" s="77" t="s">
        <v>148</v>
      </c>
      <c r="G707" s="77" t="s">
        <v>106</v>
      </c>
      <c r="H707" s="77" t="s">
        <v>151</v>
      </c>
      <c r="I707" s="75"/>
      <c r="J707" s="81" t="s">
        <v>373</v>
      </c>
      <c r="K707" s="45" t="s">
        <v>374</v>
      </c>
      <c r="L707" s="153" t="s">
        <v>210</v>
      </c>
      <c r="M707" s="86" t="s">
        <v>164</v>
      </c>
      <c r="N707" s="43" t="s">
        <v>55</v>
      </c>
      <c r="O707" s="115" t="s">
        <v>56</v>
      </c>
      <c r="P707" s="45" t="s">
        <v>1606</v>
      </c>
      <c r="Q707" s="44"/>
    </row>
    <row r="708" ht="31.5" hidden="1" customHeight="1">
      <c r="A708" s="94" t="s">
        <v>1611</v>
      </c>
      <c r="B708" s="96" t="s">
        <v>1608</v>
      </c>
      <c r="C708" s="94" t="s">
        <v>369</v>
      </c>
      <c r="D708" s="97" t="s">
        <v>370</v>
      </c>
      <c r="E708" s="97" t="s">
        <v>1688</v>
      </c>
      <c r="F708" s="97" t="s">
        <v>148</v>
      </c>
      <c r="G708" s="97" t="s">
        <v>106</v>
      </c>
      <c r="H708" s="97" t="s">
        <v>151</v>
      </c>
      <c r="I708" s="96"/>
      <c r="J708" s="100" t="s">
        <v>373</v>
      </c>
      <c r="K708" s="101" t="s">
        <v>374</v>
      </c>
      <c r="L708" s="88" t="s">
        <v>63</v>
      </c>
      <c r="M708" s="50" t="s">
        <v>64</v>
      </c>
      <c r="N708" s="43" t="s">
        <v>55</v>
      </c>
      <c r="O708" s="124" t="s">
        <v>56</v>
      </c>
      <c r="P708" s="101" t="s">
        <v>1613</v>
      </c>
      <c r="Q708" s="107"/>
    </row>
    <row r="709" ht="31.5" hidden="1" customHeight="1">
      <c r="A709" s="73" t="s">
        <v>1621</v>
      </c>
      <c r="B709" s="75" t="s">
        <v>1622</v>
      </c>
      <c r="C709" s="73" t="s">
        <v>369</v>
      </c>
      <c r="D709" s="77" t="s">
        <v>370</v>
      </c>
      <c r="E709" s="77" t="s">
        <v>1688</v>
      </c>
      <c r="F709" s="77" t="s">
        <v>148</v>
      </c>
      <c r="G709" s="77" t="s">
        <v>106</v>
      </c>
      <c r="H709" s="77" t="s">
        <v>151</v>
      </c>
      <c r="I709" s="75"/>
      <c r="J709" s="81" t="s">
        <v>373</v>
      </c>
      <c r="K709" s="45" t="s">
        <v>374</v>
      </c>
      <c r="L709" s="126" t="s">
        <v>78</v>
      </c>
      <c r="M709" s="50" t="s">
        <v>64</v>
      </c>
      <c r="N709" s="43" t="s">
        <v>55</v>
      </c>
      <c r="O709" s="115" t="s">
        <v>56</v>
      </c>
      <c r="P709" s="45" t="s">
        <v>1624</v>
      </c>
      <c r="Q709" s="44"/>
    </row>
    <row r="710" ht="31.5" hidden="1" customHeight="1">
      <c r="A710" s="94" t="s">
        <v>1596</v>
      </c>
      <c r="B710" s="96" t="s">
        <v>1591</v>
      </c>
      <c r="C710" s="94" t="s">
        <v>369</v>
      </c>
      <c r="D710" s="97" t="s">
        <v>370</v>
      </c>
      <c r="E710" s="97" t="s">
        <v>1688</v>
      </c>
      <c r="F710" s="97" t="s">
        <v>148</v>
      </c>
      <c r="G710" s="97" t="s">
        <v>106</v>
      </c>
      <c r="H710" s="97" t="s">
        <v>151</v>
      </c>
      <c r="I710" s="96"/>
      <c r="J710" s="100" t="s">
        <v>373</v>
      </c>
      <c r="K710" s="101" t="s">
        <v>374</v>
      </c>
      <c r="L710" s="148" t="s">
        <v>199</v>
      </c>
      <c r="M710" s="50" t="s">
        <v>64</v>
      </c>
      <c r="N710" s="43" t="s">
        <v>55</v>
      </c>
      <c r="O710" s="105" t="s">
        <v>68</v>
      </c>
      <c r="P710" s="101" t="s">
        <v>1593</v>
      </c>
      <c r="Q710" s="107" t="s">
        <v>1566</v>
      </c>
    </row>
    <row r="711" ht="39.75" hidden="1" customHeight="1">
      <c r="A711" s="73" t="s">
        <v>810</v>
      </c>
      <c r="B711" s="75" t="s">
        <v>60</v>
      </c>
      <c r="C711" s="73" t="s">
        <v>369</v>
      </c>
      <c r="D711" s="77" t="s">
        <v>370</v>
      </c>
      <c r="E711" s="77" t="s">
        <v>1688</v>
      </c>
      <c r="F711" s="77" t="s">
        <v>148</v>
      </c>
      <c r="G711" s="77" t="s">
        <v>106</v>
      </c>
      <c r="H711" s="77" t="s">
        <v>151</v>
      </c>
      <c r="I711" s="75"/>
      <c r="J711" s="81" t="s">
        <v>373</v>
      </c>
      <c r="K711" s="45" t="s">
        <v>374</v>
      </c>
      <c r="L711" s="127" t="s">
        <v>64</v>
      </c>
      <c r="M711" s="49" t="s">
        <v>63</v>
      </c>
      <c r="N711" s="43" t="s">
        <v>55</v>
      </c>
      <c r="O711" s="59" t="s">
        <v>68</v>
      </c>
      <c r="P711" s="45" t="s">
        <v>706</v>
      </c>
      <c r="Q711" s="44" t="s">
        <v>709</v>
      </c>
    </row>
    <row r="712" ht="31.5" hidden="1" customHeight="1">
      <c r="A712" s="94" t="s">
        <v>1539</v>
      </c>
      <c r="B712" s="96" t="s">
        <v>1531</v>
      </c>
      <c r="C712" s="94" t="s">
        <v>369</v>
      </c>
      <c r="D712" s="97" t="s">
        <v>370</v>
      </c>
      <c r="E712" s="97" t="s">
        <v>1688</v>
      </c>
      <c r="F712" s="97" t="s">
        <v>148</v>
      </c>
      <c r="G712" s="97" t="s">
        <v>106</v>
      </c>
      <c r="H712" s="97" t="s">
        <v>151</v>
      </c>
      <c r="I712" s="96"/>
      <c r="J712" s="100" t="s">
        <v>373</v>
      </c>
      <c r="K712" s="101" t="s">
        <v>374</v>
      </c>
      <c r="L712" s="125" t="s">
        <v>92</v>
      </c>
      <c r="M712" s="50" t="s">
        <v>64</v>
      </c>
      <c r="N712" s="43" t="s">
        <v>55</v>
      </c>
      <c r="O712" s="105" t="s">
        <v>68</v>
      </c>
      <c r="P712" s="101" t="s">
        <v>1536</v>
      </c>
      <c r="Q712" s="107" t="s">
        <v>1537</v>
      </c>
    </row>
    <row r="713" ht="39.75" hidden="1" customHeight="1">
      <c r="A713" s="73" t="s">
        <v>457</v>
      </c>
      <c r="B713" s="75" t="s">
        <v>39</v>
      </c>
      <c r="C713" s="73" t="s">
        <v>369</v>
      </c>
      <c r="D713" s="77" t="s">
        <v>370</v>
      </c>
      <c r="E713" s="77" t="s">
        <v>1688</v>
      </c>
      <c r="F713" s="77" t="s">
        <v>148</v>
      </c>
      <c r="G713" s="77" t="s">
        <v>106</v>
      </c>
      <c r="H713" s="77" t="s">
        <v>151</v>
      </c>
      <c r="I713" s="75"/>
      <c r="J713" s="81" t="s">
        <v>373</v>
      </c>
      <c r="K713" s="45" t="s">
        <v>374</v>
      </c>
      <c r="L713" s="140" t="s">
        <v>52</v>
      </c>
      <c r="M713" s="62" t="s">
        <v>92</v>
      </c>
      <c r="N713" s="43" t="s">
        <v>55</v>
      </c>
      <c r="O713" s="59" t="s">
        <v>68</v>
      </c>
      <c r="P713" s="45" t="s">
        <v>404</v>
      </c>
      <c r="Q713" s="44" t="s">
        <v>409</v>
      </c>
    </row>
    <row r="714" ht="30.0" hidden="1" customHeight="1">
      <c r="A714" s="94" t="s">
        <v>1540</v>
      </c>
      <c r="B714" s="96" t="s">
        <v>1541</v>
      </c>
      <c r="C714" s="94" t="s">
        <v>375</v>
      </c>
      <c r="D714" s="97" t="s">
        <v>370</v>
      </c>
      <c r="E714" s="97" t="s">
        <v>1688</v>
      </c>
      <c r="F714" s="97" t="s">
        <v>148</v>
      </c>
      <c r="G714" s="97" t="s">
        <v>106</v>
      </c>
      <c r="H714" s="97" t="s">
        <v>151</v>
      </c>
      <c r="I714" s="96"/>
      <c r="J714" s="100" t="s">
        <v>376</v>
      </c>
      <c r="K714" s="101" t="s">
        <v>377</v>
      </c>
      <c r="L714" s="185" t="s">
        <v>205</v>
      </c>
      <c r="M714" s="50" t="s">
        <v>64</v>
      </c>
      <c r="N714" s="43" t="s">
        <v>55</v>
      </c>
      <c r="O714" s="105" t="s">
        <v>166</v>
      </c>
      <c r="P714" s="101" t="s">
        <v>1543</v>
      </c>
      <c r="Q714" s="107" t="s">
        <v>1545</v>
      </c>
    </row>
    <row r="715" ht="30.0" hidden="1" customHeight="1">
      <c r="A715" s="73" t="s">
        <v>1625</v>
      </c>
      <c r="B715" s="75" t="s">
        <v>1626</v>
      </c>
      <c r="C715" s="73" t="s">
        <v>375</v>
      </c>
      <c r="D715" s="77" t="s">
        <v>370</v>
      </c>
      <c r="E715" s="77" t="s">
        <v>1688</v>
      </c>
      <c r="F715" s="77" t="s">
        <v>148</v>
      </c>
      <c r="G715" s="77" t="s">
        <v>106</v>
      </c>
      <c r="H715" s="77" t="s">
        <v>151</v>
      </c>
      <c r="I715" s="75"/>
      <c r="J715" s="81" t="s">
        <v>376</v>
      </c>
      <c r="K715" s="45" t="s">
        <v>377</v>
      </c>
      <c r="L715" s="127" t="s">
        <v>64</v>
      </c>
      <c r="M715" s="86" t="s">
        <v>164</v>
      </c>
      <c r="N715" s="43" t="s">
        <v>55</v>
      </c>
      <c r="O715" s="115" t="s">
        <v>56</v>
      </c>
      <c r="P715" s="45" t="s">
        <v>1628</v>
      </c>
      <c r="Q715" s="44"/>
    </row>
    <row r="716" ht="30.0" hidden="1" customHeight="1">
      <c r="A716" s="94" t="s">
        <v>1567</v>
      </c>
      <c r="B716" s="96" t="s">
        <v>1563</v>
      </c>
      <c r="C716" s="94" t="s">
        <v>375</v>
      </c>
      <c r="D716" s="97" t="s">
        <v>370</v>
      </c>
      <c r="E716" s="97" t="s">
        <v>1688</v>
      </c>
      <c r="F716" s="97" t="s">
        <v>148</v>
      </c>
      <c r="G716" s="97" t="s">
        <v>106</v>
      </c>
      <c r="H716" s="97" t="s">
        <v>151</v>
      </c>
      <c r="I716" s="96"/>
      <c r="J716" s="100" t="s">
        <v>376</v>
      </c>
      <c r="K716" s="101" t="s">
        <v>377</v>
      </c>
      <c r="L716" s="88" t="s">
        <v>63</v>
      </c>
      <c r="M716" s="50" t="s">
        <v>64</v>
      </c>
      <c r="N716" s="43" t="s">
        <v>55</v>
      </c>
      <c r="O716" s="105" t="s">
        <v>68</v>
      </c>
      <c r="P716" s="101" t="s">
        <v>1565</v>
      </c>
      <c r="Q716" s="107" t="s">
        <v>1566</v>
      </c>
    </row>
    <row r="717" ht="39.75" hidden="1" customHeight="1">
      <c r="A717" s="73" t="s">
        <v>710</v>
      </c>
      <c r="B717" s="75" t="s">
        <v>60</v>
      </c>
      <c r="C717" s="73" t="s">
        <v>375</v>
      </c>
      <c r="D717" s="77" t="s">
        <v>370</v>
      </c>
      <c r="E717" s="77" t="s">
        <v>1688</v>
      </c>
      <c r="F717" s="77" t="s">
        <v>148</v>
      </c>
      <c r="G717" s="77" t="s">
        <v>106</v>
      </c>
      <c r="H717" s="77" t="s">
        <v>151</v>
      </c>
      <c r="I717" s="75"/>
      <c r="J717" s="81" t="s">
        <v>376</v>
      </c>
      <c r="K717" s="45" t="s">
        <v>377</v>
      </c>
      <c r="L717" s="88" t="s">
        <v>63</v>
      </c>
      <c r="M717" s="86" t="s">
        <v>164</v>
      </c>
      <c r="N717" s="43" t="s">
        <v>55</v>
      </c>
      <c r="O717" s="59" t="s">
        <v>68</v>
      </c>
      <c r="P717" s="45" t="s">
        <v>706</v>
      </c>
      <c r="Q717" s="44" t="s">
        <v>709</v>
      </c>
    </row>
    <row r="718" ht="30.0" hidden="1" customHeight="1">
      <c r="A718" s="94" t="s">
        <v>1590</v>
      </c>
      <c r="B718" s="96" t="s">
        <v>1591</v>
      </c>
      <c r="C718" s="94" t="s">
        <v>375</v>
      </c>
      <c r="D718" s="97" t="s">
        <v>370</v>
      </c>
      <c r="E718" s="97" t="s">
        <v>1688</v>
      </c>
      <c r="F718" s="97" t="s">
        <v>148</v>
      </c>
      <c r="G718" s="97" t="s">
        <v>106</v>
      </c>
      <c r="H718" s="97" t="s">
        <v>151</v>
      </c>
      <c r="I718" s="96"/>
      <c r="J718" s="100" t="s">
        <v>376</v>
      </c>
      <c r="K718" s="101" t="s">
        <v>377</v>
      </c>
      <c r="L718" s="88" t="s">
        <v>63</v>
      </c>
      <c r="M718" s="50" t="s">
        <v>64</v>
      </c>
      <c r="N718" s="43" t="s">
        <v>55</v>
      </c>
      <c r="O718" s="105" t="s">
        <v>68</v>
      </c>
      <c r="P718" s="101" t="s">
        <v>1593</v>
      </c>
      <c r="Q718" s="107" t="s">
        <v>1566</v>
      </c>
    </row>
    <row r="719" ht="30.0" hidden="1" customHeight="1">
      <c r="A719" s="73" t="s">
        <v>1552</v>
      </c>
      <c r="B719" s="75" t="s">
        <v>1553</v>
      </c>
      <c r="C719" s="73" t="s">
        <v>375</v>
      </c>
      <c r="D719" s="77" t="s">
        <v>370</v>
      </c>
      <c r="E719" s="77" t="s">
        <v>1688</v>
      </c>
      <c r="F719" s="77" t="s">
        <v>148</v>
      </c>
      <c r="G719" s="77" t="s">
        <v>106</v>
      </c>
      <c r="H719" s="77" t="s">
        <v>151</v>
      </c>
      <c r="I719" s="75"/>
      <c r="J719" s="81" t="s">
        <v>376</v>
      </c>
      <c r="K719" s="45" t="s">
        <v>377</v>
      </c>
      <c r="L719" s="137" t="s">
        <v>164</v>
      </c>
      <c r="M719" s="50" t="s">
        <v>64</v>
      </c>
      <c r="N719" s="43" t="s">
        <v>55</v>
      </c>
      <c r="O719" s="59" t="s">
        <v>166</v>
      </c>
      <c r="P719" s="45" t="s">
        <v>1555</v>
      </c>
      <c r="Q719" s="44" t="s">
        <v>1556</v>
      </c>
    </row>
    <row r="720" ht="30.0" hidden="1" customHeight="1">
      <c r="A720" s="94" t="s">
        <v>161</v>
      </c>
      <c r="B720" s="96" t="s">
        <v>24</v>
      </c>
      <c r="C720" s="94" t="s">
        <v>375</v>
      </c>
      <c r="D720" s="97" t="s">
        <v>370</v>
      </c>
      <c r="E720" s="97" t="s">
        <v>1688</v>
      </c>
      <c r="F720" s="97" t="s">
        <v>148</v>
      </c>
      <c r="G720" s="97" t="s">
        <v>106</v>
      </c>
      <c r="H720" s="97" t="s">
        <v>151</v>
      </c>
      <c r="I720" s="96"/>
      <c r="J720" s="100" t="s">
        <v>376</v>
      </c>
      <c r="K720" s="101" t="s">
        <v>377</v>
      </c>
      <c r="L720" s="88" t="s">
        <v>63</v>
      </c>
      <c r="M720" s="86" t="s">
        <v>164</v>
      </c>
      <c r="N720" s="43" t="s">
        <v>55</v>
      </c>
      <c r="O720" s="124" t="s">
        <v>56</v>
      </c>
      <c r="P720" s="101" t="s">
        <v>168</v>
      </c>
      <c r="Q720" s="107"/>
    </row>
    <row r="721" ht="30.0" hidden="1" customHeight="1">
      <c r="A721" s="73" t="s">
        <v>1629</v>
      </c>
      <c r="B721" s="75" t="s">
        <v>1630</v>
      </c>
      <c r="C721" s="73" t="s">
        <v>375</v>
      </c>
      <c r="D721" s="77" t="s">
        <v>370</v>
      </c>
      <c r="E721" s="77" t="s">
        <v>1688</v>
      </c>
      <c r="F721" s="77" t="s">
        <v>148</v>
      </c>
      <c r="G721" s="77" t="s">
        <v>106</v>
      </c>
      <c r="H721" s="77" t="s">
        <v>151</v>
      </c>
      <c r="I721" s="75"/>
      <c r="J721" s="81" t="s">
        <v>376</v>
      </c>
      <c r="K721" s="45" t="s">
        <v>377</v>
      </c>
      <c r="L721" s="125" t="s">
        <v>92</v>
      </c>
      <c r="M721" s="41" t="s">
        <v>52</v>
      </c>
      <c r="N721" s="43" t="s">
        <v>55</v>
      </c>
      <c r="O721" s="115" t="s">
        <v>56</v>
      </c>
      <c r="P721" s="45" t="s">
        <v>1632</v>
      </c>
      <c r="Q721" s="44"/>
    </row>
    <row r="722" ht="39.75" hidden="1" customHeight="1">
      <c r="A722" s="94" t="s">
        <v>414</v>
      </c>
      <c r="B722" s="96" t="s">
        <v>39</v>
      </c>
      <c r="C722" s="94" t="s">
        <v>375</v>
      </c>
      <c r="D722" s="97" t="s">
        <v>370</v>
      </c>
      <c r="E722" s="97" t="s">
        <v>1688</v>
      </c>
      <c r="F722" s="97" t="s">
        <v>148</v>
      </c>
      <c r="G722" s="97" t="s">
        <v>106</v>
      </c>
      <c r="H722" s="97" t="s">
        <v>151</v>
      </c>
      <c r="I722" s="96"/>
      <c r="J722" s="100" t="s">
        <v>376</v>
      </c>
      <c r="K722" s="101" t="s">
        <v>377</v>
      </c>
      <c r="L722" s="126" t="s">
        <v>78</v>
      </c>
      <c r="M722" s="50" t="s">
        <v>64</v>
      </c>
      <c r="N722" s="43" t="s">
        <v>55</v>
      </c>
      <c r="O722" s="105" t="s">
        <v>68</v>
      </c>
      <c r="P722" s="101" t="s">
        <v>404</v>
      </c>
      <c r="Q722" s="107" t="s">
        <v>409</v>
      </c>
    </row>
    <row r="723" ht="30.0" hidden="1" customHeight="1">
      <c r="A723" s="73" t="s">
        <v>1633</v>
      </c>
      <c r="B723" s="75" t="s">
        <v>1634</v>
      </c>
      <c r="C723" s="73" t="s">
        <v>375</v>
      </c>
      <c r="D723" s="77" t="s">
        <v>370</v>
      </c>
      <c r="E723" s="77" t="s">
        <v>1688</v>
      </c>
      <c r="F723" s="77" t="s">
        <v>148</v>
      </c>
      <c r="G723" s="77" t="s">
        <v>106</v>
      </c>
      <c r="H723" s="77" t="s">
        <v>151</v>
      </c>
      <c r="I723" s="75"/>
      <c r="J723" s="81" t="s">
        <v>376</v>
      </c>
      <c r="K723" s="45" t="s">
        <v>377</v>
      </c>
      <c r="L723" s="148" t="s">
        <v>199</v>
      </c>
      <c r="M723" s="50" t="s">
        <v>64</v>
      </c>
      <c r="N723" s="43" t="s">
        <v>55</v>
      </c>
      <c r="O723" s="115" t="s">
        <v>56</v>
      </c>
      <c r="P723" s="45" t="s">
        <v>1636</v>
      </c>
      <c r="Q723" s="44"/>
    </row>
    <row r="724" ht="30.0" hidden="1" customHeight="1">
      <c r="A724" s="94" t="s">
        <v>232</v>
      </c>
      <c r="B724" s="96" t="s">
        <v>24</v>
      </c>
      <c r="C724" s="94" t="s">
        <v>375</v>
      </c>
      <c r="D724" s="97" t="s">
        <v>370</v>
      </c>
      <c r="E724" s="97" t="s">
        <v>1688</v>
      </c>
      <c r="F724" s="97" t="s">
        <v>148</v>
      </c>
      <c r="G724" s="97" t="s">
        <v>106</v>
      </c>
      <c r="H724" s="97" t="s">
        <v>151</v>
      </c>
      <c r="I724" s="96"/>
      <c r="J724" s="100" t="s">
        <v>376</v>
      </c>
      <c r="K724" s="101" t="s">
        <v>377</v>
      </c>
      <c r="L724" s="88" t="s">
        <v>63</v>
      </c>
      <c r="M724" s="62" t="s">
        <v>92</v>
      </c>
      <c r="N724" s="43" t="s">
        <v>55</v>
      </c>
      <c r="O724" s="105" t="s">
        <v>68</v>
      </c>
      <c r="P724" s="101" t="s">
        <v>70</v>
      </c>
      <c r="Q724" s="107" t="s">
        <v>74</v>
      </c>
    </row>
    <row r="725" ht="30.0" hidden="1" customHeight="1">
      <c r="A725" s="73" t="s">
        <v>1640</v>
      </c>
      <c r="B725" s="75" t="s">
        <v>1641</v>
      </c>
      <c r="C725" s="73" t="s">
        <v>375</v>
      </c>
      <c r="D725" s="77" t="s">
        <v>370</v>
      </c>
      <c r="E725" s="77" t="s">
        <v>1688</v>
      </c>
      <c r="F725" s="77" t="s">
        <v>148</v>
      </c>
      <c r="G725" s="77" t="s">
        <v>106</v>
      </c>
      <c r="H725" s="77" t="s">
        <v>151</v>
      </c>
      <c r="I725" s="75"/>
      <c r="J725" s="81" t="s">
        <v>376</v>
      </c>
      <c r="K725" s="45" t="s">
        <v>377</v>
      </c>
      <c r="L725" s="125" t="s">
        <v>92</v>
      </c>
      <c r="M725" s="50" t="s">
        <v>64</v>
      </c>
      <c r="N725" s="43" t="s">
        <v>55</v>
      </c>
      <c r="O725" s="115" t="s">
        <v>56</v>
      </c>
      <c r="P725" s="45" t="s">
        <v>1643</v>
      </c>
      <c r="Q725" s="44"/>
    </row>
    <row r="726" ht="30.0" hidden="1" customHeight="1">
      <c r="A726" s="94" t="s">
        <v>1648</v>
      </c>
      <c r="B726" s="96" t="s">
        <v>1649</v>
      </c>
      <c r="C726" s="94" t="s">
        <v>375</v>
      </c>
      <c r="D726" s="97" t="s">
        <v>370</v>
      </c>
      <c r="E726" s="97" t="s">
        <v>1688</v>
      </c>
      <c r="F726" s="97" t="s">
        <v>148</v>
      </c>
      <c r="G726" s="97" t="s">
        <v>106</v>
      </c>
      <c r="H726" s="97" t="s">
        <v>151</v>
      </c>
      <c r="I726" s="96"/>
      <c r="J726" s="100" t="s">
        <v>376</v>
      </c>
      <c r="K726" s="101" t="s">
        <v>377</v>
      </c>
      <c r="L726" s="148" t="s">
        <v>199</v>
      </c>
      <c r="M726" s="50" t="s">
        <v>64</v>
      </c>
      <c r="N726" s="43" t="s">
        <v>55</v>
      </c>
      <c r="O726" s="124" t="s">
        <v>56</v>
      </c>
      <c r="P726" s="101" t="s">
        <v>1651</v>
      </c>
      <c r="Q726" s="107"/>
    </row>
    <row r="727" ht="30.0" hidden="1" customHeight="1">
      <c r="A727" s="73" t="s">
        <v>1652</v>
      </c>
      <c r="B727" s="75" t="s">
        <v>1653</v>
      </c>
      <c r="C727" s="73" t="s">
        <v>375</v>
      </c>
      <c r="D727" s="77" t="s">
        <v>370</v>
      </c>
      <c r="E727" s="77" t="s">
        <v>1688</v>
      </c>
      <c r="F727" s="77" t="s">
        <v>148</v>
      </c>
      <c r="G727" s="77" t="s">
        <v>106</v>
      </c>
      <c r="H727" s="77" t="s">
        <v>151</v>
      </c>
      <c r="I727" s="75"/>
      <c r="J727" s="81" t="s">
        <v>376</v>
      </c>
      <c r="K727" s="45" t="s">
        <v>377</v>
      </c>
      <c r="L727" s="88" t="s">
        <v>63</v>
      </c>
      <c r="M727" s="50" t="s">
        <v>64</v>
      </c>
      <c r="N727" s="43" t="s">
        <v>55</v>
      </c>
      <c r="O727" s="115" t="s">
        <v>56</v>
      </c>
      <c r="P727" s="45" t="s">
        <v>1655</v>
      </c>
      <c r="Q727" s="44"/>
    </row>
    <row r="728" ht="30.0" hidden="1" customHeight="1">
      <c r="A728" s="94" t="s">
        <v>1656</v>
      </c>
      <c r="B728" s="96" t="s">
        <v>1657</v>
      </c>
      <c r="C728" s="94" t="s">
        <v>375</v>
      </c>
      <c r="D728" s="97" t="s">
        <v>370</v>
      </c>
      <c r="E728" s="97" t="s">
        <v>1688</v>
      </c>
      <c r="F728" s="97" t="s">
        <v>148</v>
      </c>
      <c r="G728" s="97" t="s">
        <v>106</v>
      </c>
      <c r="H728" s="97" t="s">
        <v>151</v>
      </c>
      <c r="I728" s="96"/>
      <c r="J728" s="100" t="s">
        <v>376</v>
      </c>
      <c r="K728" s="101" t="s">
        <v>377</v>
      </c>
      <c r="L728" s="140" t="s">
        <v>52</v>
      </c>
      <c r="M728" s="49" t="s">
        <v>63</v>
      </c>
      <c r="N728" s="43" t="s">
        <v>55</v>
      </c>
      <c r="O728" s="124" t="s">
        <v>56</v>
      </c>
      <c r="P728" s="101" t="s">
        <v>1659</v>
      </c>
      <c r="Q728" s="107" t="s">
        <v>1660</v>
      </c>
    </row>
    <row r="729" ht="39.75" hidden="1" customHeight="1">
      <c r="A729" s="73" t="s">
        <v>631</v>
      </c>
      <c r="B729" s="75" t="s">
        <v>51</v>
      </c>
      <c r="C729" s="73" t="s">
        <v>375</v>
      </c>
      <c r="D729" s="77" t="s">
        <v>370</v>
      </c>
      <c r="E729" s="77" t="s">
        <v>1688</v>
      </c>
      <c r="F729" s="77" t="s">
        <v>148</v>
      </c>
      <c r="G729" s="77" t="s">
        <v>106</v>
      </c>
      <c r="H729" s="77" t="s">
        <v>151</v>
      </c>
      <c r="I729" s="75"/>
      <c r="J729" s="81" t="s">
        <v>376</v>
      </c>
      <c r="K729" s="45" t="s">
        <v>377</v>
      </c>
      <c r="L729" s="137" t="s">
        <v>164</v>
      </c>
      <c r="M729" s="50" t="s">
        <v>64</v>
      </c>
      <c r="N729" s="43" t="s">
        <v>55</v>
      </c>
      <c r="O729" s="59" t="s">
        <v>68</v>
      </c>
      <c r="P729" s="45" t="s">
        <v>550</v>
      </c>
      <c r="Q729" s="44" t="s">
        <v>552</v>
      </c>
    </row>
    <row r="730" ht="30.0" hidden="1" customHeight="1">
      <c r="A730" s="94" t="s">
        <v>1661</v>
      </c>
      <c r="B730" s="96" t="s">
        <v>1657</v>
      </c>
      <c r="C730" s="94" t="s">
        <v>375</v>
      </c>
      <c r="D730" s="97" t="s">
        <v>370</v>
      </c>
      <c r="E730" s="97" t="s">
        <v>1688</v>
      </c>
      <c r="F730" s="97" t="s">
        <v>148</v>
      </c>
      <c r="G730" s="97" t="s">
        <v>106</v>
      </c>
      <c r="H730" s="97" t="s">
        <v>151</v>
      </c>
      <c r="I730" s="96"/>
      <c r="J730" s="100" t="s">
        <v>376</v>
      </c>
      <c r="K730" s="101" t="s">
        <v>377</v>
      </c>
      <c r="L730" s="125" t="s">
        <v>92</v>
      </c>
      <c r="M730" s="50" t="s">
        <v>64</v>
      </c>
      <c r="N730" s="43" t="s">
        <v>55</v>
      </c>
      <c r="O730" s="124" t="s">
        <v>56</v>
      </c>
      <c r="P730" s="101" t="s">
        <v>1664</v>
      </c>
      <c r="Q730" s="107"/>
    </row>
    <row r="731" ht="30.0" hidden="1" customHeight="1">
      <c r="A731" s="73" t="s">
        <v>1670</v>
      </c>
      <c r="B731" s="75" t="s">
        <v>1667</v>
      </c>
      <c r="C731" s="73" t="s">
        <v>375</v>
      </c>
      <c r="D731" s="77" t="s">
        <v>370</v>
      </c>
      <c r="E731" s="77" t="s">
        <v>1688</v>
      </c>
      <c r="F731" s="77" t="s">
        <v>148</v>
      </c>
      <c r="G731" s="77" t="s">
        <v>106</v>
      </c>
      <c r="H731" s="77" t="s">
        <v>151</v>
      </c>
      <c r="I731" s="75"/>
      <c r="J731" s="81" t="s">
        <v>376</v>
      </c>
      <c r="K731" s="45" t="s">
        <v>377</v>
      </c>
      <c r="L731" s="125" t="s">
        <v>92</v>
      </c>
      <c r="M731" s="41" t="s">
        <v>52</v>
      </c>
      <c r="N731" s="43" t="s">
        <v>55</v>
      </c>
      <c r="O731" s="115" t="s">
        <v>56</v>
      </c>
      <c r="P731" s="45" t="s">
        <v>1672</v>
      </c>
      <c r="Q731" s="44"/>
    </row>
    <row r="732" ht="30.0" hidden="1" customHeight="1">
      <c r="A732" s="94" t="s">
        <v>1538</v>
      </c>
      <c r="B732" s="96" t="s">
        <v>1531</v>
      </c>
      <c r="C732" s="94" t="s">
        <v>375</v>
      </c>
      <c r="D732" s="97" t="s">
        <v>370</v>
      </c>
      <c r="E732" s="97" t="s">
        <v>1688</v>
      </c>
      <c r="F732" s="97" t="s">
        <v>148</v>
      </c>
      <c r="G732" s="97" t="s">
        <v>106</v>
      </c>
      <c r="H732" s="97" t="s">
        <v>151</v>
      </c>
      <c r="I732" s="96"/>
      <c r="J732" s="100" t="s">
        <v>376</v>
      </c>
      <c r="K732" s="101" t="s">
        <v>377</v>
      </c>
      <c r="L732" s="140" t="s">
        <v>52</v>
      </c>
      <c r="M732" s="86" t="s">
        <v>164</v>
      </c>
      <c r="N732" s="43" t="s">
        <v>55</v>
      </c>
      <c r="O732" s="105" t="s">
        <v>68</v>
      </c>
      <c r="P732" s="101" t="s">
        <v>1536</v>
      </c>
      <c r="Q732" s="107" t="s">
        <v>1537</v>
      </c>
    </row>
    <row r="733" ht="39.75" hidden="1" customHeight="1">
      <c r="A733" s="73" t="s">
        <v>945</v>
      </c>
      <c r="B733" s="75" t="s">
        <v>66</v>
      </c>
      <c r="C733" s="73" t="s">
        <v>375</v>
      </c>
      <c r="D733" s="77" t="s">
        <v>370</v>
      </c>
      <c r="E733" s="77" t="s">
        <v>1688</v>
      </c>
      <c r="F733" s="77" t="s">
        <v>148</v>
      </c>
      <c r="G733" s="77" t="s">
        <v>106</v>
      </c>
      <c r="H733" s="77" t="s">
        <v>151</v>
      </c>
      <c r="I733" s="75"/>
      <c r="J733" s="81" t="s">
        <v>376</v>
      </c>
      <c r="K733" s="45" t="s">
        <v>377</v>
      </c>
      <c r="L733" s="127" t="s">
        <v>64</v>
      </c>
      <c r="M733" s="62" t="s">
        <v>92</v>
      </c>
      <c r="N733" s="43" t="s">
        <v>55</v>
      </c>
      <c r="O733" s="59" t="s">
        <v>68</v>
      </c>
      <c r="P733" s="45" t="s">
        <v>891</v>
      </c>
      <c r="Q733" s="44" t="s">
        <v>946</v>
      </c>
    </row>
    <row r="734" ht="39.75" hidden="1" customHeight="1">
      <c r="A734" s="94" t="s">
        <v>947</v>
      </c>
      <c r="B734" s="96" t="s">
        <v>66</v>
      </c>
      <c r="C734" s="94" t="s">
        <v>375</v>
      </c>
      <c r="D734" s="97" t="s">
        <v>370</v>
      </c>
      <c r="E734" s="97" t="s">
        <v>1688</v>
      </c>
      <c r="F734" s="97" t="s">
        <v>148</v>
      </c>
      <c r="G734" s="97" t="s">
        <v>106</v>
      </c>
      <c r="H734" s="97" t="s">
        <v>151</v>
      </c>
      <c r="I734" s="96"/>
      <c r="J734" s="100" t="s">
        <v>376</v>
      </c>
      <c r="K734" s="101" t="s">
        <v>377</v>
      </c>
      <c r="L734" s="127" t="s">
        <v>64</v>
      </c>
      <c r="M734" s="57" t="s">
        <v>78</v>
      </c>
      <c r="N734" s="43" t="s">
        <v>55</v>
      </c>
      <c r="O734" s="105" t="s">
        <v>68</v>
      </c>
      <c r="P734" s="101" t="s">
        <v>891</v>
      </c>
      <c r="Q734" s="107" t="s">
        <v>893</v>
      </c>
    </row>
    <row r="735" ht="39.75" hidden="1" customHeight="1">
      <c r="A735" s="73" t="s">
        <v>647</v>
      </c>
      <c r="B735" s="75" t="s">
        <v>51</v>
      </c>
      <c r="C735" s="73" t="s">
        <v>375</v>
      </c>
      <c r="D735" s="77" t="s">
        <v>370</v>
      </c>
      <c r="E735" s="77" t="s">
        <v>1688</v>
      </c>
      <c r="F735" s="77" t="s">
        <v>148</v>
      </c>
      <c r="G735" s="77" t="s">
        <v>106</v>
      </c>
      <c r="H735" s="77" t="s">
        <v>151</v>
      </c>
      <c r="I735" s="75"/>
      <c r="J735" s="81" t="s">
        <v>376</v>
      </c>
      <c r="K735" s="45" t="s">
        <v>377</v>
      </c>
      <c r="L735" s="88" t="s">
        <v>63</v>
      </c>
      <c r="M735" s="86" t="s">
        <v>164</v>
      </c>
      <c r="N735" s="43" t="s">
        <v>55</v>
      </c>
      <c r="O735" s="59" t="s">
        <v>68</v>
      </c>
      <c r="P735" s="45" t="s">
        <v>550</v>
      </c>
      <c r="Q735" s="44" t="s">
        <v>552</v>
      </c>
    </row>
    <row r="736" ht="39.75" hidden="1" customHeight="1">
      <c r="A736" s="94" t="s">
        <v>1574</v>
      </c>
      <c r="B736" s="96" t="s">
        <v>1563</v>
      </c>
      <c r="C736" s="94" t="s">
        <v>375</v>
      </c>
      <c r="D736" s="97" t="s">
        <v>370</v>
      </c>
      <c r="E736" s="97" t="s">
        <v>1688</v>
      </c>
      <c r="F736" s="97" t="s">
        <v>148</v>
      </c>
      <c r="G736" s="97" t="s">
        <v>106</v>
      </c>
      <c r="H736" s="97" t="s">
        <v>151</v>
      </c>
      <c r="I736" s="96"/>
      <c r="J736" s="100" t="s">
        <v>376</v>
      </c>
      <c r="K736" s="101" t="s">
        <v>377</v>
      </c>
      <c r="L736" s="88" t="s">
        <v>63</v>
      </c>
      <c r="M736" s="138" t="s">
        <v>199</v>
      </c>
      <c r="N736" s="43" t="s">
        <v>55</v>
      </c>
      <c r="O736" s="124" t="s">
        <v>56</v>
      </c>
      <c r="P736" s="101" t="s">
        <v>1576</v>
      </c>
      <c r="Q736" s="107" t="s">
        <v>1577</v>
      </c>
    </row>
    <row r="737" ht="39.75" hidden="1" customHeight="1">
      <c r="A737" s="73" t="s">
        <v>1218</v>
      </c>
      <c r="B737" s="75" t="s">
        <v>82</v>
      </c>
      <c r="C737" s="73" t="s">
        <v>375</v>
      </c>
      <c r="D737" s="77" t="s">
        <v>370</v>
      </c>
      <c r="E737" s="77" t="s">
        <v>1688</v>
      </c>
      <c r="F737" s="77" t="s">
        <v>148</v>
      </c>
      <c r="G737" s="77" t="s">
        <v>106</v>
      </c>
      <c r="H737" s="77" t="s">
        <v>151</v>
      </c>
      <c r="I737" s="75"/>
      <c r="J737" s="81" t="s">
        <v>376</v>
      </c>
      <c r="K737" s="45" t="s">
        <v>377</v>
      </c>
      <c r="L737" s="137" t="s">
        <v>164</v>
      </c>
      <c r="M737" s="50" t="s">
        <v>64</v>
      </c>
      <c r="N737" s="43" t="s">
        <v>55</v>
      </c>
      <c r="O737" s="59" t="s">
        <v>166</v>
      </c>
      <c r="P737" s="45" t="s">
        <v>1189</v>
      </c>
      <c r="Q737" s="44" t="s">
        <v>1190</v>
      </c>
    </row>
    <row r="738" ht="39.75" hidden="1" customHeight="1">
      <c r="A738" s="94" t="s">
        <v>1220</v>
      </c>
      <c r="B738" s="96" t="s">
        <v>82</v>
      </c>
      <c r="C738" s="94" t="s">
        <v>375</v>
      </c>
      <c r="D738" s="97" t="s">
        <v>370</v>
      </c>
      <c r="E738" s="97" t="s">
        <v>1688</v>
      </c>
      <c r="F738" s="97" t="s">
        <v>148</v>
      </c>
      <c r="G738" s="97" t="s">
        <v>106</v>
      </c>
      <c r="H738" s="97" t="s">
        <v>151</v>
      </c>
      <c r="I738" s="96"/>
      <c r="J738" s="100" t="s">
        <v>376</v>
      </c>
      <c r="K738" s="101" t="s">
        <v>377</v>
      </c>
      <c r="L738" s="88" t="s">
        <v>63</v>
      </c>
      <c r="M738" s="50" t="s">
        <v>64</v>
      </c>
      <c r="N738" s="43" t="s">
        <v>55</v>
      </c>
      <c r="O738" s="105" t="s">
        <v>166</v>
      </c>
      <c r="P738" s="101" t="s">
        <v>1189</v>
      </c>
      <c r="Q738" s="107" t="s">
        <v>1190</v>
      </c>
    </row>
    <row r="739" ht="30.0" hidden="1" customHeight="1">
      <c r="A739" s="73" t="s">
        <v>1674</v>
      </c>
      <c r="B739" s="75" t="s">
        <v>1675</v>
      </c>
      <c r="C739" s="73" t="s">
        <v>375</v>
      </c>
      <c r="D739" s="77" t="s">
        <v>370</v>
      </c>
      <c r="E739" s="77" t="s">
        <v>1688</v>
      </c>
      <c r="F739" s="77" t="s">
        <v>148</v>
      </c>
      <c r="G739" s="77" t="s">
        <v>106</v>
      </c>
      <c r="H739" s="77" t="s">
        <v>151</v>
      </c>
      <c r="I739" s="75"/>
      <c r="J739" s="81" t="s">
        <v>376</v>
      </c>
      <c r="K739" s="45" t="s">
        <v>377</v>
      </c>
      <c r="L739" s="148" t="s">
        <v>199</v>
      </c>
      <c r="M739" s="50" t="s">
        <v>64</v>
      </c>
      <c r="N739" s="43" t="s">
        <v>55</v>
      </c>
      <c r="O739" s="115" t="s">
        <v>56</v>
      </c>
      <c r="P739" s="45" t="s">
        <v>1677</v>
      </c>
      <c r="Q739" s="44"/>
    </row>
    <row r="740" ht="39.75" hidden="1" customHeight="1">
      <c r="A740" s="94" t="s">
        <v>449</v>
      </c>
      <c r="B740" s="96" t="s">
        <v>39</v>
      </c>
      <c r="C740" s="94" t="s">
        <v>375</v>
      </c>
      <c r="D740" s="97" t="s">
        <v>370</v>
      </c>
      <c r="E740" s="97" t="s">
        <v>1688</v>
      </c>
      <c r="F740" s="97" t="s">
        <v>148</v>
      </c>
      <c r="G740" s="97" t="s">
        <v>106</v>
      </c>
      <c r="H740" s="97" t="s">
        <v>151</v>
      </c>
      <c r="I740" s="96"/>
      <c r="J740" s="100" t="s">
        <v>376</v>
      </c>
      <c r="K740" s="101" t="s">
        <v>377</v>
      </c>
      <c r="L740" s="125" t="s">
        <v>92</v>
      </c>
      <c r="M740" s="50" t="s">
        <v>64</v>
      </c>
      <c r="N740" s="43" t="s">
        <v>55</v>
      </c>
      <c r="O740" s="105" t="s">
        <v>68</v>
      </c>
      <c r="P740" s="101" t="s">
        <v>404</v>
      </c>
      <c r="Q740" s="107" t="s">
        <v>409</v>
      </c>
    </row>
    <row r="741" ht="30.0" hidden="1" customHeight="1">
      <c r="A741" s="73" t="s">
        <v>1584</v>
      </c>
      <c r="B741" s="75" t="s">
        <v>1580</v>
      </c>
      <c r="C741" s="73" t="s">
        <v>375</v>
      </c>
      <c r="D741" s="77" t="s">
        <v>370</v>
      </c>
      <c r="E741" s="77" t="s">
        <v>1688</v>
      </c>
      <c r="F741" s="77" t="s">
        <v>148</v>
      </c>
      <c r="G741" s="77" t="s">
        <v>106</v>
      </c>
      <c r="H741" s="77" t="s">
        <v>151</v>
      </c>
      <c r="I741" s="75"/>
      <c r="J741" s="81" t="s">
        <v>376</v>
      </c>
      <c r="K741" s="45" t="s">
        <v>377</v>
      </c>
      <c r="L741" s="88" t="s">
        <v>63</v>
      </c>
      <c r="M741" s="50" t="s">
        <v>64</v>
      </c>
      <c r="N741" s="43" t="s">
        <v>55</v>
      </c>
      <c r="O741" s="115" t="s">
        <v>56</v>
      </c>
      <c r="P741" s="45" t="s">
        <v>1586</v>
      </c>
      <c r="Q741" s="44"/>
    </row>
    <row r="742" ht="30.0" hidden="1" customHeight="1">
      <c r="A742" s="94" t="s">
        <v>976</v>
      </c>
      <c r="B742" s="96" t="s">
        <v>66</v>
      </c>
      <c r="C742" s="94" t="s">
        <v>375</v>
      </c>
      <c r="D742" s="97" t="s">
        <v>370</v>
      </c>
      <c r="E742" s="97" t="s">
        <v>1688</v>
      </c>
      <c r="F742" s="97" t="s">
        <v>148</v>
      </c>
      <c r="G742" s="97" t="s">
        <v>106</v>
      </c>
      <c r="H742" s="97" t="s">
        <v>151</v>
      </c>
      <c r="I742" s="96"/>
      <c r="J742" s="100" t="s">
        <v>376</v>
      </c>
      <c r="K742" s="101" t="s">
        <v>377</v>
      </c>
      <c r="L742" s="88" t="s">
        <v>63</v>
      </c>
      <c r="M742" s="86" t="s">
        <v>164</v>
      </c>
      <c r="N742" s="43" t="s">
        <v>55</v>
      </c>
      <c r="O742" s="124" t="s">
        <v>56</v>
      </c>
      <c r="P742" s="101" t="s">
        <v>978</v>
      </c>
      <c r="Q742" s="107"/>
    </row>
    <row r="743" ht="30.0" hidden="1" customHeight="1">
      <c r="A743" s="73" t="s">
        <v>1614</v>
      </c>
      <c r="B743" s="75" t="s">
        <v>1608</v>
      </c>
      <c r="C743" s="73" t="s">
        <v>375</v>
      </c>
      <c r="D743" s="77" t="s">
        <v>370</v>
      </c>
      <c r="E743" s="77" t="s">
        <v>1688</v>
      </c>
      <c r="F743" s="77" t="s">
        <v>148</v>
      </c>
      <c r="G743" s="77" t="s">
        <v>106</v>
      </c>
      <c r="H743" s="77" t="s">
        <v>151</v>
      </c>
      <c r="I743" s="75"/>
      <c r="J743" s="81" t="s">
        <v>376</v>
      </c>
      <c r="K743" s="45" t="s">
        <v>377</v>
      </c>
      <c r="L743" s="163" t="s">
        <v>176</v>
      </c>
      <c r="M743" s="50" t="s">
        <v>64</v>
      </c>
      <c r="N743" s="43" t="s">
        <v>55</v>
      </c>
      <c r="O743" s="115" t="s">
        <v>195</v>
      </c>
      <c r="P743" s="45" t="s">
        <v>1616</v>
      </c>
      <c r="Q743" s="44" t="s">
        <v>1617</v>
      </c>
    </row>
    <row r="744" ht="30.0" hidden="1" customHeight="1">
      <c r="A744" s="94" t="s">
        <v>1587</v>
      </c>
      <c r="B744" s="96" t="s">
        <v>1580</v>
      </c>
      <c r="C744" s="94" t="s">
        <v>375</v>
      </c>
      <c r="D744" s="97" t="s">
        <v>370</v>
      </c>
      <c r="E744" s="97" t="s">
        <v>1688</v>
      </c>
      <c r="F744" s="97" t="s">
        <v>148</v>
      </c>
      <c r="G744" s="97" t="s">
        <v>106</v>
      </c>
      <c r="H744" s="97" t="s">
        <v>151</v>
      </c>
      <c r="I744" s="96"/>
      <c r="J744" s="100" t="s">
        <v>376</v>
      </c>
      <c r="K744" s="101" t="s">
        <v>377</v>
      </c>
      <c r="L744" s="137" t="s">
        <v>164</v>
      </c>
      <c r="M744" s="50" t="s">
        <v>64</v>
      </c>
      <c r="N744" s="43" t="s">
        <v>55</v>
      </c>
      <c r="O744" s="124" t="s">
        <v>56</v>
      </c>
      <c r="P744" s="101" t="s">
        <v>1589</v>
      </c>
      <c r="Q744" s="107"/>
    </row>
    <row r="745" ht="30.0" hidden="1" customHeight="1">
      <c r="A745" s="73" t="s">
        <v>303</v>
      </c>
      <c r="B745" s="75" t="s">
        <v>24</v>
      </c>
      <c r="C745" s="73" t="s">
        <v>375</v>
      </c>
      <c r="D745" s="77" t="s">
        <v>370</v>
      </c>
      <c r="E745" s="77" t="s">
        <v>1688</v>
      </c>
      <c r="F745" s="77" t="s">
        <v>148</v>
      </c>
      <c r="G745" s="77" t="s">
        <v>106</v>
      </c>
      <c r="H745" s="77" t="s">
        <v>151</v>
      </c>
      <c r="I745" s="75"/>
      <c r="J745" s="81" t="s">
        <v>376</v>
      </c>
      <c r="K745" s="45" t="s">
        <v>377</v>
      </c>
      <c r="L745" s="88" t="s">
        <v>63</v>
      </c>
      <c r="M745" s="50" t="s">
        <v>64</v>
      </c>
      <c r="N745" s="43" t="s">
        <v>55</v>
      </c>
      <c r="O745" s="59" t="s">
        <v>68</v>
      </c>
      <c r="P745" s="45" t="s">
        <v>70</v>
      </c>
      <c r="Q745" s="44" t="s">
        <v>74</v>
      </c>
    </row>
    <row r="746" ht="30.0" hidden="1" customHeight="1">
      <c r="A746" s="94" t="s">
        <v>1597</v>
      </c>
      <c r="B746" s="96" t="s">
        <v>1591</v>
      </c>
      <c r="C746" s="94" t="s">
        <v>375</v>
      </c>
      <c r="D746" s="97" t="s">
        <v>370</v>
      </c>
      <c r="E746" s="97" t="s">
        <v>1688</v>
      </c>
      <c r="F746" s="97" t="s">
        <v>148</v>
      </c>
      <c r="G746" s="97" t="s">
        <v>106</v>
      </c>
      <c r="H746" s="97" t="s">
        <v>151</v>
      </c>
      <c r="I746" s="96"/>
      <c r="J746" s="100" t="s">
        <v>376</v>
      </c>
      <c r="K746" s="101" t="s">
        <v>377</v>
      </c>
      <c r="L746" s="103" t="s">
        <v>76</v>
      </c>
      <c r="M746" s="62" t="s">
        <v>92</v>
      </c>
      <c r="N746" s="43" t="s">
        <v>55</v>
      </c>
      <c r="O746" s="105" t="s">
        <v>68</v>
      </c>
      <c r="P746" s="101" t="s">
        <v>1593</v>
      </c>
      <c r="Q746" s="107" t="s">
        <v>1566</v>
      </c>
    </row>
    <row r="747" ht="30.0" hidden="1" customHeight="1">
      <c r="A747" s="73" t="s">
        <v>799</v>
      </c>
      <c r="B747" s="75" t="s">
        <v>60</v>
      </c>
      <c r="C747" s="73" t="s">
        <v>375</v>
      </c>
      <c r="D747" s="77" t="s">
        <v>370</v>
      </c>
      <c r="E747" s="77" t="s">
        <v>1688</v>
      </c>
      <c r="F747" s="77" t="s">
        <v>148</v>
      </c>
      <c r="G747" s="77" t="s">
        <v>106</v>
      </c>
      <c r="H747" s="77" t="s">
        <v>151</v>
      </c>
      <c r="I747" s="75"/>
      <c r="J747" s="81" t="s">
        <v>376</v>
      </c>
      <c r="K747" s="45" t="s">
        <v>377</v>
      </c>
      <c r="L747" s="125" t="s">
        <v>92</v>
      </c>
      <c r="M747" s="50" t="s">
        <v>64</v>
      </c>
      <c r="N747" s="43" t="s">
        <v>55</v>
      </c>
      <c r="O747" s="115" t="s">
        <v>56</v>
      </c>
      <c r="P747" s="45" t="s">
        <v>801</v>
      </c>
      <c r="Q747" s="44"/>
    </row>
    <row r="748" ht="30.0" hidden="1" customHeight="1">
      <c r="A748" s="94" t="s">
        <v>1549</v>
      </c>
      <c r="B748" s="96" t="s">
        <v>1541</v>
      </c>
      <c r="C748" s="94" t="s">
        <v>375</v>
      </c>
      <c r="D748" s="97" t="s">
        <v>370</v>
      </c>
      <c r="E748" s="97" t="s">
        <v>1688</v>
      </c>
      <c r="F748" s="97" t="s">
        <v>148</v>
      </c>
      <c r="G748" s="97" t="s">
        <v>106</v>
      </c>
      <c r="H748" s="97" t="s">
        <v>151</v>
      </c>
      <c r="I748" s="96"/>
      <c r="J748" s="100" t="s">
        <v>376</v>
      </c>
      <c r="K748" s="101" t="s">
        <v>377</v>
      </c>
      <c r="L748" s="140" t="s">
        <v>52</v>
      </c>
      <c r="M748" s="62" t="s">
        <v>92</v>
      </c>
      <c r="N748" s="43" t="s">
        <v>55</v>
      </c>
      <c r="O748" s="124" t="s">
        <v>56</v>
      </c>
      <c r="P748" s="101" t="s">
        <v>1551</v>
      </c>
      <c r="Q748" s="107"/>
    </row>
    <row r="749" ht="30.0" hidden="1" customHeight="1">
      <c r="A749" s="73" t="s">
        <v>1618</v>
      </c>
      <c r="B749" s="75" t="s">
        <v>1608</v>
      </c>
      <c r="C749" s="73" t="s">
        <v>375</v>
      </c>
      <c r="D749" s="77" t="s">
        <v>370</v>
      </c>
      <c r="E749" s="77" t="s">
        <v>1688</v>
      </c>
      <c r="F749" s="77" t="s">
        <v>148</v>
      </c>
      <c r="G749" s="77" t="s">
        <v>106</v>
      </c>
      <c r="H749" s="77" t="s">
        <v>151</v>
      </c>
      <c r="I749" s="75"/>
      <c r="J749" s="81" t="s">
        <v>376</v>
      </c>
      <c r="K749" s="45" t="s">
        <v>377</v>
      </c>
      <c r="L749" s="88" t="s">
        <v>63</v>
      </c>
      <c r="M749" s="62" t="s">
        <v>92</v>
      </c>
      <c r="N749" s="43" t="s">
        <v>55</v>
      </c>
      <c r="O749" s="115" t="s">
        <v>56</v>
      </c>
      <c r="P749" s="45" t="s">
        <v>1620</v>
      </c>
      <c r="Q749" s="44"/>
    </row>
    <row r="750" ht="31.5" hidden="1" customHeight="1">
      <c r="A750" s="94" t="s">
        <v>1683</v>
      </c>
      <c r="B750" s="96" t="s">
        <v>1684</v>
      </c>
      <c r="C750" s="94" t="s">
        <v>378</v>
      </c>
      <c r="D750" s="97" t="s">
        <v>370</v>
      </c>
      <c r="E750" s="97" t="s">
        <v>1688</v>
      </c>
      <c r="F750" s="97" t="s">
        <v>148</v>
      </c>
      <c r="G750" s="97" t="s">
        <v>106</v>
      </c>
      <c r="H750" s="97" t="s">
        <v>151</v>
      </c>
      <c r="I750" s="96"/>
      <c r="J750" s="100" t="s">
        <v>379</v>
      </c>
      <c r="K750" s="101" t="s">
        <v>380</v>
      </c>
      <c r="L750" s="127" t="s">
        <v>64</v>
      </c>
      <c r="M750" s="62" t="s">
        <v>92</v>
      </c>
      <c r="N750" s="43" t="s">
        <v>55</v>
      </c>
      <c r="O750" s="124" t="s">
        <v>56</v>
      </c>
      <c r="P750" s="101" t="s">
        <v>1686</v>
      </c>
      <c r="Q750" s="107"/>
    </row>
    <row r="751" ht="31.5" hidden="1" customHeight="1">
      <c r="A751" s="73" t="s">
        <v>1562</v>
      </c>
      <c r="B751" s="75" t="s">
        <v>1563</v>
      </c>
      <c r="C751" s="73" t="s">
        <v>378</v>
      </c>
      <c r="D751" s="77" t="s">
        <v>370</v>
      </c>
      <c r="E751" s="77" t="s">
        <v>1688</v>
      </c>
      <c r="F751" s="77" t="s">
        <v>148</v>
      </c>
      <c r="G751" s="77" t="s">
        <v>106</v>
      </c>
      <c r="H751" s="77" t="s">
        <v>151</v>
      </c>
      <c r="I751" s="75"/>
      <c r="J751" s="81" t="s">
        <v>379</v>
      </c>
      <c r="K751" s="45" t="s">
        <v>380</v>
      </c>
      <c r="L751" s="88" t="s">
        <v>63</v>
      </c>
      <c r="M751" s="50" t="s">
        <v>64</v>
      </c>
      <c r="N751" s="43" t="s">
        <v>55</v>
      </c>
      <c r="O751" s="59" t="s">
        <v>68</v>
      </c>
      <c r="P751" s="45" t="s">
        <v>1565</v>
      </c>
      <c r="Q751" s="44" t="s">
        <v>1566</v>
      </c>
    </row>
    <row r="752" ht="39.75" hidden="1" customHeight="1">
      <c r="A752" s="94" t="s">
        <v>553</v>
      </c>
      <c r="B752" s="96" t="s">
        <v>51</v>
      </c>
      <c r="C752" s="94" t="s">
        <v>378</v>
      </c>
      <c r="D752" s="97" t="s">
        <v>370</v>
      </c>
      <c r="E752" s="97" t="s">
        <v>1688</v>
      </c>
      <c r="F752" s="97" t="s">
        <v>148</v>
      </c>
      <c r="G752" s="97" t="s">
        <v>106</v>
      </c>
      <c r="H752" s="97" t="s">
        <v>151</v>
      </c>
      <c r="I752" s="96"/>
      <c r="J752" s="100" t="s">
        <v>379</v>
      </c>
      <c r="K752" s="101" t="s">
        <v>380</v>
      </c>
      <c r="L752" s="125" t="s">
        <v>92</v>
      </c>
      <c r="M752" s="86" t="s">
        <v>164</v>
      </c>
      <c r="N752" s="43" t="s">
        <v>55</v>
      </c>
      <c r="O752" s="105" t="s">
        <v>68</v>
      </c>
      <c r="P752" s="101" t="s">
        <v>550</v>
      </c>
      <c r="Q752" s="107" t="s">
        <v>552</v>
      </c>
    </row>
    <row r="753" ht="31.5" hidden="1" customHeight="1">
      <c r="A753" s="73" t="s">
        <v>1697</v>
      </c>
      <c r="B753" s="75" t="s">
        <v>1698</v>
      </c>
      <c r="C753" s="73" t="s">
        <v>378</v>
      </c>
      <c r="D753" s="77" t="s">
        <v>370</v>
      </c>
      <c r="E753" s="77" t="s">
        <v>1688</v>
      </c>
      <c r="F753" s="77" t="s">
        <v>148</v>
      </c>
      <c r="G753" s="77" t="s">
        <v>106</v>
      </c>
      <c r="H753" s="77" t="s">
        <v>151</v>
      </c>
      <c r="I753" s="75"/>
      <c r="J753" s="81" t="s">
        <v>379</v>
      </c>
      <c r="K753" s="45" t="s">
        <v>380</v>
      </c>
      <c r="L753" s="88" t="s">
        <v>63</v>
      </c>
      <c r="M753" s="62" t="s">
        <v>92</v>
      </c>
      <c r="N753" s="43" t="s">
        <v>55</v>
      </c>
      <c r="O753" s="115" t="s">
        <v>56</v>
      </c>
      <c r="P753" s="45" t="s">
        <v>1700</v>
      </c>
      <c r="Q753" s="44" t="s">
        <v>1701</v>
      </c>
    </row>
    <row r="754" ht="31.5" hidden="1" customHeight="1">
      <c r="A754" s="94" t="s">
        <v>1594</v>
      </c>
      <c r="B754" s="96" t="s">
        <v>1591</v>
      </c>
      <c r="C754" s="94" t="s">
        <v>378</v>
      </c>
      <c r="D754" s="97" t="s">
        <v>370</v>
      </c>
      <c r="E754" s="97" t="s">
        <v>1688</v>
      </c>
      <c r="F754" s="97" t="s">
        <v>148</v>
      </c>
      <c r="G754" s="97" t="s">
        <v>106</v>
      </c>
      <c r="H754" s="97" t="s">
        <v>151</v>
      </c>
      <c r="I754" s="96"/>
      <c r="J754" s="100" t="s">
        <v>379</v>
      </c>
      <c r="K754" s="101" t="s">
        <v>380</v>
      </c>
      <c r="L754" s="88" t="s">
        <v>63</v>
      </c>
      <c r="M754" s="50" t="s">
        <v>64</v>
      </c>
      <c r="N754" s="43" t="s">
        <v>55</v>
      </c>
      <c r="O754" s="105" t="s">
        <v>68</v>
      </c>
      <c r="P754" s="101" t="s">
        <v>1593</v>
      </c>
      <c r="Q754" s="107" t="s">
        <v>1566</v>
      </c>
    </row>
    <row r="755" ht="31.5" hidden="1" customHeight="1">
      <c r="A755" s="73" t="s">
        <v>1534</v>
      </c>
      <c r="B755" s="75" t="s">
        <v>1531</v>
      </c>
      <c r="C755" s="73" t="s">
        <v>378</v>
      </c>
      <c r="D755" s="77" t="s">
        <v>370</v>
      </c>
      <c r="E755" s="77" t="s">
        <v>1688</v>
      </c>
      <c r="F755" s="77" t="s">
        <v>148</v>
      </c>
      <c r="G755" s="77" t="s">
        <v>106</v>
      </c>
      <c r="H755" s="77" t="s">
        <v>151</v>
      </c>
      <c r="I755" s="75"/>
      <c r="J755" s="81" t="s">
        <v>379</v>
      </c>
      <c r="K755" s="45" t="s">
        <v>380</v>
      </c>
      <c r="L755" s="88" t="s">
        <v>63</v>
      </c>
      <c r="M755" s="50" t="s">
        <v>64</v>
      </c>
      <c r="N755" s="43" t="s">
        <v>55</v>
      </c>
      <c r="O755" s="59" t="s">
        <v>68</v>
      </c>
      <c r="P755" s="45" t="s">
        <v>1536</v>
      </c>
      <c r="Q755" s="44" t="s">
        <v>1537</v>
      </c>
    </row>
    <row r="756" ht="31.5" hidden="1" customHeight="1">
      <c r="A756" s="94" t="s">
        <v>188</v>
      </c>
      <c r="B756" s="96" t="s">
        <v>24</v>
      </c>
      <c r="C756" s="94" t="s">
        <v>378</v>
      </c>
      <c r="D756" s="97" t="s">
        <v>370</v>
      </c>
      <c r="E756" s="97" t="s">
        <v>1688</v>
      </c>
      <c r="F756" s="97" t="s">
        <v>148</v>
      </c>
      <c r="G756" s="97" t="s">
        <v>106</v>
      </c>
      <c r="H756" s="97" t="s">
        <v>151</v>
      </c>
      <c r="I756" s="96"/>
      <c r="J756" s="100" t="s">
        <v>379</v>
      </c>
      <c r="K756" s="101" t="s">
        <v>380</v>
      </c>
      <c r="L756" s="125" t="s">
        <v>92</v>
      </c>
      <c r="M756" s="50" t="s">
        <v>64</v>
      </c>
      <c r="N756" s="43" t="s">
        <v>55</v>
      </c>
      <c r="O756" s="105" t="s">
        <v>68</v>
      </c>
      <c r="P756" s="101" t="s">
        <v>70</v>
      </c>
      <c r="Q756" s="107" t="s">
        <v>74</v>
      </c>
    </row>
    <row r="757" ht="31.5" hidden="1" customHeight="1">
      <c r="A757" s="73" t="s">
        <v>1702</v>
      </c>
      <c r="B757" s="75" t="s">
        <v>1703</v>
      </c>
      <c r="C757" s="73" t="s">
        <v>378</v>
      </c>
      <c r="D757" s="77" t="s">
        <v>370</v>
      </c>
      <c r="E757" s="77" t="s">
        <v>1688</v>
      </c>
      <c r="F757" s="77" t="s">
        <v>148</v>
      </c>
      <c r="G757" s="77" t="s">
        <v>106</v>
      </c>
      <c r="H757" s="77" t="s">
        <v>151</v>
      </c>
      <c r="I757" s="75"/>
      <c r="J757" s="81" t="s">
        <v>379</v>
      </c>
      <c r="K757" s="45" t="s">
        <v>380</v>
      </c>
      <c r="L757" s="88" t="s">
        <v>63</v>
      </c>
      <c r="M757" s="50" t="s">
        <v>64</v>
      </c>
      <c r="N757" s="43" t="s">
        <v>55</v>
      </c>
      <c r="O757" s="115" t="s">
        <v>56</v>
      </c>
      <c r="P757" s="45" t="s">
        <v>1705</v>
      </c>
      <c r="Q757" s="44"/>
    </row>
    <row r="758" ht="31.5" hidden="1" customHeight="1">
      <c r="A758" s="94" t="s">
        <v>1665</v>
      </c>
      <c r="B758" s="96" t="s">
        <v>1667</v>
      </c>
      <c r="C758" s="94" t="s">
        <v>378</v>
      </c>
      <c r="D758" s="97" t="s">
        <v>370</v>
      </c>
      <c r="E758" s="97" t="s">
        <v>1688</v>
      </c>
      <c r="F758" s="97" t="s">
        <v>148</v>
      </c>
      <c r="G758" s="97" t="s">
        <v>106</v>
      </c>
      <c r="H758" s="97" t="s">
        <v>151</v>
      </c>
      <c r="I758" s="96"/>
      <c r="J758" s="100" t="s">
        <v>379</v>
      </c>
      <c r="K758" s="101" t="s">
        <v>380</v>
      </c>
      <c r="L758" s="88" t="s">
        <v>63</v>
      </c>
      <c r="M758" s="50" t="s">
        <v>64</v>
      </c>
      <c r="N758" s="43" t="s">
        <v>55</v>
      </c>
      <c r="O758" s="124" t="s">
        <v>56</v>
      </c>
      <c r="P758" s="101" t="s">
        <v>1669</v>
      </c>
      <c r="Q758" s="107"/>
    </row>
    <row r="759" ht="31.5" hidden="1" customHeight="1">
      <c r="A759" s="73" t="s">
        <v>1706</v>
      </c>
      <c r="B759" s="75" t="s">
        <v>1707</v>
      </c>
      <c r="C759" s="73" t="s">
        <v>378</v>
      </c>
      <c r="D759" s="77" t="s">
        <v>370</v>
      </c>
      <c r="E759" s="77" t="s">
        <v>1688</v>
      </c>
      <c r="F759" s="77" t="s">
        <v>148</v>
      </c>
      <c r="G759" s="77" t="s">
        <v>106</v>
      </c>
      <c r="H759" s="77" t="s">
        <v>151</v>
      </c>
      <c r="I759" s="75"/>
      <c r="J759" s="81" t="s">
        <v>379</v>
      </c>
      <c r="K759" s="45" t="s">
        <v>380</v>
      </c>
      <c r="L759" s="148" t="s">
        <v>199</v>
      </c>
      <c r="M759" s="136" t="s">
        <v>210</v>
      </c>
      <c r="N759" s="43" t="s">
        <v>55</v>
      </c>
      <c r="O759" s="115" t="s">
        <v>56</v>
      </c>
      <c r="P759" s="45" t="s">
        <v>1709</v>
      </c>
      <c r="Q759" s="44"/>
    </row>
    <row r="760" ht="31.5" hidden="1" customHeight="1">
      <c r="A760" s="94" t="s">
        <v>1687</v>
      </c>
      <c r="B760" s="96" t="s">
        <v>1684</v>
      </c>
      <c r="C760" s="94" t="s">
        <v>378</v>
      </c>
      <c r="D760" s="97" t="s">
        <v>370</v>
      </c>
      <c r="E760" s="97" t="s">
        <v>1688</v>
      </c>
      <c r="F760" s="97" t="s">
        <v>148</v>
      </c>
      <c r="G760" s="97" t="s">
        <v>106</v>
      </c>
      <c r="H760" s="97" t="s">
        <v>151</v>
      </c>
      <c r="I760" s="96"/>
      <c r="J760" s="100" t="s">
        <v>379</v>
      </c>
      <c r="K760" s="101" t="s">
        <v>380</v>
      </c>
      <c r="L760" s="127" t="s">
        <v>64</v>
      </c>
      <c r="M760" s="62" t="s">
        <v>92</v>
      </c>
      <c r="N760" s="43" t="s">
        <v>55</v>
      </c>
      <c r="O760" s="124" t="s">
        <v>56</v>
      </c>
      <c r="P760" s="101" t="s">
        <v>1690</v>
      </c>
      <c r="Q760" s="107"/>
    </row>
    <row r="761" ht="31.5" hidden="1" customHeight="1">
      <c r="A761" s="73" t="s">
        <v>1691</v>
      </c>
      <c r="B761" s="75" t="s">
        <v>1684</v>
      </c>
      <c r="C761" s="73" t="s">
        <v>378</v>
      </c>
      <c r="D761" s="77" t="s">
        <v>370</v>
      </c>
      <c r="E761" s="77" t="s">
        <v>1688</v>
      </c>
      <c r="F761" s="77" t="s">
        <v>148</v>
      </c>
      <c r="G761" s="77" t="s">
        <v>106</v>
      </c>
      <c r="H761" s="77" t="s">
        <v>151</v>
      </c>
      <c r="I761" s="75"/>
      <c r="J761" s="81" t="s">
        <v>379</v>
      </c>
      <c r="K761" s="45" t="s">
        <v>380</v>
      </c>
      <c r="L761" s="137" t="s">
        <v>164</v>
      </c>
      <c r="M761" s="49" t="s">
        <v>63</v>
      </c>
      <c r="N761" s="43" t="s">
        <v>55</v>
      </c>
      <c r="O761" s="115" t="s">
        <v>56</v>
      </c>
      <c r="P761" s="45" t="s">
        <v>1693</v>
      </c>
      <c r="Q761" s="44"/>
    </row>
    <row r="762" ht="31.5" hidden="1" customHeight="1">
      <c r="A762" s="94" t="s">
        <v>1694</v>
      </c>
      <c r="B762" s="96" t="s">
        <v>1684</v>
      </c>
      <c r="C762" s="94" t="s">
        <v>378</v>
      </c>
      <c r="D762" s="97" t="s">
        <v>370</v>
      </c>
      <c r="E762" s="97" t="s">
        <v>1688</v>
      </c>
      <c r="F762" s="97" t="s">
        <v>148</v>
      </c>
      <c r="G762" s="97" t="s">
        <v>106</v>
      </c>
      <c r="H762" s="97" t="s">
        <v>151</v>
      </c>
      <c r="I762" s="96"/>
      <c r="J762" s="100" t="s">
        <v>379</v>
      </c>
      <c r="K762" s="101" t="s">
        <v>380</v>
      </c>
      <c r="L762" s="88" t="s">
        <v>63</v>
      </c>
      <c r="M762" s="41" t="s">
        <v>52</v>
      </c>
      <c r="N762" s="43" t="s">
        <v>55</v>
      </c>
      <c r="O762" s="124" t="s">
        <v>56</v>
      </c>
      <c r="P762" s="101" t="s">
        <v>1696</v>
      </c>
      <c r="Q762" s="107"/>
    </row>
    <row r="763" ht="31.5" hidden="1" customHeight="1">
      <c r="A763" s="73" t="s">
        <v>1568</v>
      </c>
      <c r="B763" s="75" t="s">
        <v>1563</v>
      </c>
      <c r="C763" s="73" t="s">
        <v>378</v>
      </c>
      <c r="D763" s="77" t="s">
        <v>370</v>
      </c>
      <c r="E763" s="77" t="s">
        <v>1688</v>
      </c>
      <c r="F763" s="77" t="s">
        <v>148</v>
      </c>
      <c r="G763" s="77" t="s">
        <v>106</v>
      </c>
      <c r="H763" s="77" t="s">
        <v>151</v>
      </c>
      <c r="I763" s="75"/>
      <c r="J763" s="81" t="s">
        <v>379</v>
      </c>
      <c r="K763" s="45" t="s">
        <v>380</v>
      </c>
      <c r="L763" s="88" t="s">
        <v>63</v>
      </c>
      <c r="M763" s="149" t="s">
        <v>503</v>
      </c>
      <c r="N763" s="150" t="s">
        <v>35</v>
      </c>
      <c r="O763" s="115" t="s">
        <v>56</v>
      </c>
      <c r="P763" s="45" t="s">
        <v>1570</v>
      </c>
      <c r="Q763" s="44" t="s">
        <v>1571</v>
      </c>
    </row>
    <row r="764" ht="31.5" hidden="1" customHeight="1">
      <c r="A764" s="94" t="s">
        <v>1547</v>
      </c>
      <c r="B764" s="96" t="s">
        <v>1541</v>
      </c>
      <c r="C764" s="94" t="s">
        <v>378</v>
      </c>
      <c r="D764" s="97" t="s">
        <v>370</v>
      </c>
      <c r="E764" s="97" t="s">
        <v>1688</v>
      </c>
      <c r="F764" s="97" t="s">
        <v>148</v>
      </c>
      <c r="G764" s="97" t="s">
        <v>106</v>
      </c>
      <c r="H764" s="97" t="s">
        <v>151</v>
      </c>
      <c r="I764" s="96"/>
      <c r="J764" s="100" t="s">
        <v>379</v>
      </c>
      <c r="K764" s="101" t="s">
        <v>380</v>
      </c>
      <c r="L764" s="125" t="s">
        <v>92</v>
      </c>
      <c r="M764" s="50" t="s">
        <v>64</v>
      </c>
      <c r="N764" s="43" t="s">
        <v>55</v>
      </c>
      <c r="O764" s="105" t="s">
        <v>166</v>
      </c>
      <c r="P764" s="101" t="s">
        <v>1543</v>
      </c>
      <c r="Q764" s="107" t="s">
        <v>1545</v>
      </c>
    </row>
    <row r="765" ht="39.75" hidden="1" customHeight="1">
      <c r="A765" s="73" t="s">
        <v>425</v>
      </c>
      <c r="B765" s="75" t="s">
        <v>39</v>
      </c>
      <c r="C765" s="73" t="s">
        <v>378</v>
      </c>
      <c r="D765" s="77" t="s">
        <v>370</v>
      </c>
      <c r="E765" s="77" t="s">
        <v>1688</v>
      </c>
      <c r="F765" s="77" t="s">
        <v>148</v>
      </c>
      <c r="G765" s="77" t="s">
        <v>106</v>
      </c>
      <c r="H765" s="77" t="s">
        <v>151</v>
      </c>
      <c r="I765" s="75"/>
      <c r="J765" s="81" t="s">
        <v>379</v>
      </c>
      <c r="K765" s="45" t="s">
        <v>380</v>
      </c>
      <c r="L765" s="125" t="s">
        <v>92</v>
      </c>
      <c r="M765" s="49" t="s">
        <v>63</v>
      </c>
      <c r="N765" s="43" t="s">
        <v>55</v>
      </c>
      <c r="O765" s="59" t="s">
        <v>68</v>
      </c>
      <c r="P765" s="45" t="s">
        <v>404</v>
      </c>
      <c r="Q765" s="44" t="s">
        <v>409</v>
      </c>
    </row>
    <row r="766" ht="31.5" hidden="1" customHeight="1">
      <c r="A766" s="94" t="s">
        <v>1644</v>
      </c>
      <c r="B766" s="96" t="s">
        <v>1641</v>
      </c>
      <c r="C766" s="94" t="s">
        <v>378</v>
      </c>
      <c r="D766" s="97" t="s">
        <v>370</v>
      </c>
      <c r="E766" s="97" t="s">
        <v>1688</v>
      </c>
      <c r="F766" s="97" t="s">
        <v>148</v>
      </c>
      <c r="G766" s="97" t="s">
        <v>106</v>
      </c>
      <c r="H766" s="97" t="s">
        <v>151</v>
      </c>
      <c r="I766" s="96"/>
      <c r="J766" s="100" t="s">
        <v>379</v>
      </c>
      <c r="K766" s="101" t="s">
        <v>380</v>
      </c>
      <c r="L766" s="127" t="s">
        <v>64</v>
      </c>
      <c r="M766" s="62" t="s">
        <v>92</v>
      </c>
      <c r="N766" s="43" t="s">
        <v>55</v>
      </c>
      <c r="O766" s="124" t="s">
        <v>56</v>
      </c>
      <c r="P766" s="101" t="s">
        <v>1646</v>
      </c>
      <c r="Q766" s="107" t="s">
        <v>1647</v>
      </c>
    </row>
    <row r="767" ht="31.5" hidden="1" customHeight="1">
      <c r="A767" s="73" t="s">
        <v>1637</v>
      </c>
      <c r="B767" s="75" t="s">
        <v>1634</v>
      </c>
      <c r="C767" s="73" t="s">
        <v>378</v>
      </c>
      <c r="D767" s="77" t="s">
        <v>370</v>
      </c>
      <c r="E767" s="77" t="s">
        <v>1688</v>
      </c>
      <c r="F767" s="77" t="s">
        <v>148</v>
      </c>
      <c r="G767" s="77" t="s">
        <v>106</v>
      </c>
      <c r="H767" s="77" t="s">
        <v>151</v>
      </c>
      <c r="I767" s="75"/>
      <c r="J767" s="81" t="s">
        <v>379</v>
      </c>
      <c r="K767" s="45" t="s">
        <v>380</v>
      </c>
      <c r="L767" s="188" t="s">
        <v>203</v>
      </c>
      <c r="M767" s="50" t="s">
        <v>64</v>
      </c>
      <c r="N767" s="43" t="s">
        <v>55</v>
      </c>
      <c r="O767" s="115" t="s">
        <v>56</v>
      </c>
      <c r="P767" s="45" t="s">
        <v>1639</v>
      </c>
      <c r="Q767" s="44"/>
    </row>
    <row r="768" ht="31.5" hidden="1" customHeight="1">
      <c r="A768" s="94" t="s">
        <v>1710</v>
      </c>
      <c r="B768" s="96" t="s">
        <v>1711</v>
      </c>
      <c r="C768" s="94" t="s">
        <v>378</v>
      </c>
      <c r="D768" s="97" t="s">
        <v>370</v>
      </c>
      <c r="E768" s="97" t="s">
        <v>1688</v>
      </c>
      <c r="F768" s="97" t="s">
        <v>148</v>
      </c>
      <c r="G768" s="97" t="s">
        <v>106</v>
      </c>
      <c r="H768" s="97" t="s">
        <v>151</v>
      </c>
      <c r="I768" s="96"/>
      <c r="J768" s="100" t="s">
        <v>379</v>
      </c>
      <c r="K768" s="101" t="s">
        <v>380</v>
      </c>
      <c r="L768" s="88" t="s">
        <v>63</v>
      </c>
      <c r="M768" s="50" t="s">
        <v>64</v>
      </c>
      <c r="N768" s="43" t="s">
        <v>55</v>
      </c>
      <c r="O768" s="124" t="s">
        <v>56</v>
      </c>
      <c r="P768" s="101" t="s">
        <v>1713</v>
      </c>
      <c r="Q768" s="107"/>
    </row>
    <row r="769" ht="31.5" hidden="1" customHeight="1">
      <c r="A769" s="73" t="s">
        <v>1714</v>
      </c>
      <c r="B769" s="75" t="s">
        <v>1715</v>
      </c>
      <c r="C769" s="73" t="s">
        <v>378</v>
      </c>
      <c r="D769" s="77" t="s">
        <v>370</v>
      </c>
      <c r="E769" s="77" t="s">
        <v>1688</v>
      </c>
      <c r="F769" s="77" t="s">
        <v>148</v>
      </c>
      <c r="G769" s="77" t="s">
        <v>106</v>
      </c>
      <c r="H769" s="77" t="s">
        <v>151</v>
      </c>
      <c r="I769" s="75"/>
      <c r="J769" s="81" t="s">
        <v>379</v>
      </c>
      <c r="K769" s="45" t="s">
        <v>380</v>
      </c>
      <c r="L769" s="125" t="s">
        <v>92</v>
      </c>
      <c r="M769" s="86" t="s">
        <v>164</v>
      </c>
      <c r="N769" s="43" t="s">
        <v>55</v>
      </c>
      <c r="O769" s="115" t="s">
        <v>56</v>
      </c>
      <c r="P769" s="45" t="s">
        <v>1717</v>
      </c>
      <c r="Q769" s="44"/>
    </row>
    <row r="770" ht="31.5" hidden="1" customHeight="1">
      <c r="A770" s="94" t="s">
        <v>1607</v>
      </c>
      <c r="B770" s="96" t="s">
        <v>1608</v>
      </c>
      <c r="C770" s="94" t="s">
        <v>378</v>
      </c>
      <c r="D770" s="97" t="s">
        <v>370</v>
      </c>
      <c r="E770" s="97" t="s">
        <v>1688</v>
      </c>
      <c r="F770" s="97" t="s">
        <v>148</v>
      </c>
      <c r="G770" s="97" t="s">
        <v>106</v>
      </c>
      <c r="H770" s="97" t="s">
        <v>151</v>
      </c>
      <c r="I770" s="96"/>
      <c r="J770" s="100" t="s">
        <v>379</v>
      </c>
      <c r="K770" s="101" t="s">
        <v>380</v>
      </c>
      <c r="L770" s="148" t="s">
        <v>199</v>
      </c>
      <c r="M770" s="50" t="s">
        <v>64</v>
      </c>
      <c r="N770" s="43" t="s">
        <v>55</v>
      </c>
      <c r="O770" s="124" t="s">
        <v>56</v>
      </c>
      <c r="P770" s="101" t="s">
        <v>1610</v>
      </c>
      <c r="Q770" s="107"/>
    </row>
    <row r="771" ht="31.5" hidden="1" customHeight="1">
      <c r="A771" s="73" t="s">
        <v>1718</v>
      </c>
      <c r="B771" s="75" t="s">
        <v>1719</v>
      </c>
      <c r="C771" s="73" t="s">
        <v>378</v>
      </c>
      <c r="D771" s="77" t="s">
        <v>370</v>
      </c>
      <c r="E771" s="77" t="s">
        <v>1688</v>
      </c>
      <c r="F771" s="77" t="s">
        <v>148</v>
      </c>
      <c r="G771" s="77" t="s">
        <v>106</v>
      </c>
      <c r="H771" s="77" t="s">
        <v>151</v>
      </c>
      <c r="I771" s="75"/>
      <c r="J771" s="81" t="s">
        <v>379</v>
      </c>
      <c r="K771" s="45" t="s">
        <v>380</v>
      </c>
      <c r="L771" s="140" t="s">
        <v>52</v>
      </c>
      <c r="M771" s="86" t="s">
        <v>164</v>
      </c>
      <c r="N771" s="43" t="s">
        <v>55</v>
      </c>
      <c r="O771" s="115" t="s">
        <v>56</v>
      </c>
      <c r="P771" s="45" t="s">
        <v>1721</v>
      </c>
      <c r="Q771" s="44"/>
    </row>
    <row r="772" ht="31.5" hidden="1" customHeight="1">
      <c r="A772" s="94" t="s">
        <v>1722</v>
      </c>
      <c r="B772" s="96" t="s">
        <v>1723</v>
      </c>
      <c r="C772" s="94" t="s">
        <v>378</v>
      </c>
      <c r="D772" s="97" t="s">
        <v>370</v>
      </c>
      <c r="E772" s="97" t="s">
        <v>1688</v>
      </c>
      <c r="F772" s="97" t="s">
        <v>148</v>
      </c>
      <c r="G772" s="97" t="s">
        <v>106</v>
      </c>
      <c r="H772" s="97" t="s">
        <v>151</v>
      </c>
      <c r="I772" s="96"/>
      <c r="J772" s="100" t="s">
        <v>379</v>
      </c>
      <c r="K772" s="101" t="s">
        <v>380</v>
      </c>
      <c r="L772" s="148" t="s">
        <v>199</v>
      </c>
      <c r="M772" s="50" t="s">
        <v>64</v>
      </c>
      <c r="N772" s="43" t="s">
        <v>55</v>
      </c>
      <c r="O772" s="124" t="s">
        <v>56</v>
      </c>
      <c r="P772" s="101" t="s">
        <v>1725</v>
      </c>
      <c r="Q772" s="107"/>
    </row>
    <row r="773" ht="31.5" hidden="1" customHeight="1">
      <c r="A773" s="73" t="s">
        <v>1477</v>
      </c>
      <c r="B773" s="75" t="s">
        <v>88</v>
      </c>
      <c r="C773" s="73" t="s">
        <v>378</v>
      </c>
      <c r="D773" s="77" t="s">
        <v>370</v>
      </c>
      <c r="E773" s="77" t="s">
        <v>1688</v>
      </c>
      <c r="F773" s="77" t="s">
        <v>148</v>
      </c>
      <c r="G773" s="77" t="s">
        <v>106</v>
      </c>
      <c r="H773" s="77" t="s">
        <v>151</v>
      </c>
      <c r="I773" s="75"/>
      <c r="J773" s="81" t="s">
        <v>379</v>
      </c>
      <c r="K773" s="45" t="s">
        <v>380</v>
      </c>
      <c r="L773" s="140" t="s">
        <v>52</v>
      </c>
      <c r="M773" s="86" t="s">
        <v>164</v>
      </c>
      <c r="N773" s="43" t="s">
        <v>55</v>
      </c>
      <c r="O773" s="115" t="s">
        <v>56</v>
      </c>
      <c r="P773" s="45" t="s">
        <v>1479</v>
      </c>
      <c r="Q773" s="44"/>
    </row>
    <row r="774" ht="39.75" hidden="1" customHeight="1">
      <c r="A774" s="94" t="s">
        <v>1726</v>
      </c>
      <c r="B774" s="96" t="s">
        <v>1727</v>
      </c>
      <c r="C774" s="94" t="s">
        <v>378</v>
      </c>
      <c r="D774" s="97" t="s">
        <v>370</v>
      </c>
      <c r="E774" s="97" t="s">
        <v>1688</v>
      </c>
      <c r="F774" s="97" t="s">
        <v>148</v>
      </c>
      <c r="G774" s="97" t="s">
        <v>106</v>
      </c>
      <c r="H774" s="97" t="s">
        <v>151</v>
      </c>
      <c r="I774" s="96"/>
      <c r="J774" s="100" t="s">
        <v>379</v>
      </c>
      <c r="K774" s="101" t="s">
        <v>380</v>
      </c>
      <c r="L774" s="88" t="s">
        <v>63</v>
      </c>
      <c r="M774" s="86" t="s">
        <v>164</v>
      </c>
      <c r="N774" s="43" t="s">
        <v>55</v>
      </c>
      <c r="O774" s="124" t="s">
        <v>56</v>
      </c>
      <c r="P774" s="101" t="s">
        <v>1729</v>
      </c>
      <c r="Q774" s="107" t="s">
        <v>1731</v>
      </c>
    </row>
    <row r="775" ht="31.5" hidden="1" customHeight="1">
      <c r="A775" s="73" t="s">
        <v>1732</v>
      </c>
      <c r="B775" s="75" t="s">
        <v>1733</v>
      </c>
      <c r="C775" s="73" t="s">
        <v>378</v>
      </c>
      <c r="D775" s="77" t="s">
        <v>370</v>
      </c>
      <c r="E775" s="77" t="s">
        <v>1688</v>
      </c>
      <c r="F775" s="77" t="s">
        <v>148</v>
      </c>
      <c r="G775" s="77" t="s">
        <v>106</v>
      </c>
      <c r="H775" s="77" t="s">
        <v>151</v>
      </c>
      <c r="I775" s="75"/>
      <c r="J775" s="81" t="s">
        <v>379</v>
      </c>
      <c r="K775" s="45" t="s">
        <v>380</v>
      </c>
      <c r="L775" s="137" t="s">
        <v>164</v>
      </c>
      <c r="M775" s="50" t="s">
        <v>64</v>
      </c>
      <c r="N775" s="43" t="s">
        <v>55</v>
      </c>
      <c r="O775" s="115" t="s">
        <v>56</v>
      </c>
      <c r="P775" s="45" t="s">
        <v>1735</v>
      </c>
      <c r="Q775" s="44"/>
    </row>
    <row r="776" ht="31.5" hidden="1" customHeight="1">
      <c r="A776" s="94" t="s">
        <v>1739</v>
      </c>
      <c r="B776" s="96" t="s">
        <v>1740</v>
      </c>
      <c r="C776" s="94" t="s">
        <v>378</v>
      </c>
      <c r="D776" s="97" t="s">
        <v>370</v>
      </c>
      <c r="E776" s="97" t="s">
        <v>1688</v>
      </c>
      <c r="F776" s="97" t="s">
        <v>148</v>
      </c>
      <c r="G776" s="97" t="s">
        <v>106</v>
      </c>
      <c r="H776" s="97" t="s">
        <v>151</v>
      </c>
      <c r="I776" s="96"/>
      <c r="J776" s="100" t="s">
        <v>379</v>
      </c>
      <c r="K776" s="101" t="s">
        <v>380</v>
      </c>
      <c r="L776" s="140" t="s">
        <v>52</v>
      </c>
      <c r="M776" s="86" t="s">
        <v>164</v>
      </c>
      <c r="N776" s="43" t="s">
        <v>55</v>
      </c>
      <c r="O776" s="124" t="s">
        <v>56</v>
      </c>
      <c r="P776" s="101" t="s">
        <v>1742</v>
      </c>
      <c r="Q776" s="107"/>
    </row>
    <row r="777" ht="39.75" hidden="1" customHeight="1">
      <c r="A777" s="73" t="s">
        <v>949</v>
      </c>
      <c r="B777" s="75" t="s">
        <v>66</v>
      </c>
      <c r="C777" s="73" t="s">
        <v>378</v>
      </c>
      <c r="D777" s="77" t="s">
        <v>370</v>
      </c>
      <c r="E777" s="77" t="s">
        <v>1688</v>
      </c>
      <c r="F777" s="77" t="s">
        <v>148</v>
      </c>
      <c r="G777" s="77" t="s">
        <v>106</v>
      </c>
      <c r="H777" s="77" t="s">
        <v>151</v>
      </c>
      <c r="I777" s="142" t="s">
        <v>1006</v>
      </c>
      <c r="J777" s="81" t="s">
        <v>379</v>
      </c>
      <c r="K777" s="45" t="s">
        <v>380</v>
      </c>
      <c r="L777" s="88" t="s">
        <v>63</v>
      </c>
      <c r="M777" s="50" t="s">
        <v>64</v>
      </c>
      <c r="N777" s="43" t="s">
        <v>55</v>
      </c>
      <c r="O777" s="59" t="s">
        <v>68</v>
      </c>
      <c r="P777" s="45" t="s">
        <v>891</v>
      </c>
      <c r="Q777" s="44" t="s">
        <v>893</v>
      </c>
    </row>
    <row r="778" ht="31.5" hidden="1" customHeight="1">
      <c r="A778" s="94" t="s">
        <v>1679</v>
      </c>
      <c r="B778" s="96" t="s">
        <v>1675</v>
      </c>
      <c r="C778" s="94" t="s">
        <v>378</v>
      </c>
      <c r="D778" s="97" t="s">
        <v>370</v>
      </c>
      <c r="E778" s="97" t="s">
        <v>1688</v>
      </c>
      <c r="F778" s="97" t="s">
        <v>148</v>
      </c>
      <c r="G778" s="97" t="s">
        <v>106</v>
      </c>
      <c r="H778" s="97" t="s">
        <v>151</v>
      </c>
      <c r="I778" s="96"/>
      <c r="J778" s="100" t="s">
        <v>379</v>
      </c>
      <c r="K778" s="101" t="s">
        <v>380</v>
      </c>
      <c r="L778" s="125" t="s">
        <v>92</v>
      </c>
      <c r="M778" s="50" t="s">
        <v>64</v>
      </c>
      <c r="N778" s="43" t="s">
        <v>55</v>
      </c>
      <c r="O778" s="124" t="s">
        <v>56</v>
      </c>
      <c r="P778" s="101" t="s">
        <v>1681</v>
      </c>
      <c r="Q778" s="107" t="s">
        <v>1682</v>
      </c>
    </row>
    <row r="779" ht="39.75" hidden="1" customHeight="1">
      <c r="A779" s="73" t="s">
        <v>1225</v>
      </c>
      <c r="B779" s="75" t="s">
        <v>82</v>
      </c>
      <c r="C779" s="73" t="s">
        <v>378</v>
      </c>
      <c r="D779" s="77" t="s">
        <v>370</v>
      </c>
      <c r="E779" s="77" t="s">
        <v>1688</v>
      </c>
      <c r="F779" s="77" t="s">
        <v>148</v>
      </c>
      <c r="G779" s="77" t="s">
        <v>106</v>
      </c>
      <c r="H779" s="77" t="s">
        <v>151</v>
      </c>
      <c r="I779" s="75"/>
      <c r="J779" s="81" t="s">
        <v>379</v>
      </c>
      <c r="K779" s="45" t="s">
        <v>380</v>
      </c>
      <c r="L779" s="148" t="s">
        <v>199</v>
      </c>
      <c r="M779" s="50" t="s">
        <v>64</v>
      </c>
      <c r="N779" s="43" t="s">
        <v>55</v>
      </c>
      <c r="O779" s="59" t="s">
        <v>166</v>
      </c>
      <c r="P779" s="45" t="s">
        <v>1189</v>
      </c>
      <c r="Q779" s="44" t="s">
        <v>1190</v>
      </c>
    </row>
    <row r="780" ht="31.5" hidden="1" customHeight="1">
      <c r="A780" s="94" t="s">
        <v>1743</v>
      </c>
      <c r="B780" s="96" t="s">
        <v>1744</v>
      </c>
      <c r="C780" s="94" t="s">
        <v>378</v>
      </c>
      <c r="D780" s="97" t="s">
        <v>370</v>
      </c>
      <c r="E780" s="97" t="s">
        <v>1688</v>
      </c>
      <c r="F780" s="97" t="s">
        <v>148</v>
      </c>
      <c r="G780" s="97" t="s">
        <v>106</v>
      </c>
      <c r="H780" s="97" t="s">
        <v>151</v>
      </c>
      <c r="I780" s="96"/>
      <c r="J780" s="100" t="s">
        <v>379</v>
      </c>
      <c r="K780" s="101" t="s">
        <v>380</v>
      </c>
      <c r="L780" s="126" t="s">
        <v>78</v>
      </c>
      <c r="M780" s="50" t="s">
        <v>64</v>
      </c>
      <c r="N780" s="43" t="s">
        <v>55</v>
      </c>
      <c r="O780" s="124" t="s">
        <v>56</v>
      </c>
      <c r="P780" s="101" t="s">
        <v>1746</v>
      </c>
      <c r="Q780" s="107"/>
    </row>
    <row r="781" ht="39.75" hidden="1" customHeight="1">
      <c r="A781" s="73" t="s">
        <v>769</v>
      </c>
      <c r="B781" s="75" t="s">
        <v>60</v>
      </c>
      <c r="C781" s="73" t="s">
        <v>378</v>
      </c>
      <c r="D781" s="77" t="s">
        <v>370</v>
      </c>
      <c r="E781" s="77" t="s">
        <v>1688</v>
      </c>
      <c r="F781" s="77" t="s">
        <v>148</v>
      </c>
      <c r="G781" s="77" t="s">
        <v>106</v>
      </c>
      <c r="H781" s="77" t="s">
        <v>151</v>
      </c>
      <c r="I781" s="75"/>
      <c r="J781" s="81" t="s">
        <v>379</v>
      </c>
      <c r="K781" s="45" t="s">
        <v>380</v>
      </c>
      <c r="L781" s="88" t="s">
        <v>63</v>
      </c>
      <c r="M781" s="50" t="s">
        <v>64</v>
      </c>
      <c r="N781" s="43" t="s">
        <v>55</v>
      </c>
      <c r="O781" s="59" t="s">
        <v>68</v>
      </c>
      <c r="P781" s="45" t="s">
        <v>706</v>
      </c>
      <c r="Q781" s="44" t="s">
        <v>775</v>
      </c>
    </row>
    <row r="782" ht="31.5" hidden="1" customHeight="1">
      <c r="A782" s="94" t="s">
        <v>1548</v>
      </c>
      <c r="B782" s="96" t="s">
        <v>1541</v>
      </c>
      <c r="C782" s="94" t="s">
        <v>378</v>
      </c>
      <c r="D782" s="97" t="s">
        <v>370</v>
      </c>
      <c r="E782" s="97" t="s">
        <v>1688</v>
      </c>
      <c r="F782" s="97" t="s">
        <v>148</v>
      </c>
      <c r="G782" s="97" t="s">
        <v>106</v>
      </c>
      <c r="H782" s="97" t="s">
        <v>151</v>
      </c>
      <c r="I782" s="96"/>
      <c r="J782" s="100" t="s">
        <v>379</v>
      </c>
      <c r="K782" s="101" t="s">
        <v>380</v>
      </c>
      <c r="L782" s="140" t="s">
        <v>52</v>
      </c>
      <c r="M782" s="62" t="s">
        <v>92</v>
      </c>
      <c r="N782" s="43" t="s">
        <v>55</v>
      </c>
      <c r="O782" s="105" t="s">
        <v>166</v>
      </c>
      <c r="P782" s="101" t="s">
        <v>1543</v>
      </c>
      <c r="Q782" s="107" t="s">
        <v>1545</v>
      </c>
    </row>
    <row r="783" ht="31.5" hidden="1" customHeight="1">
      <c r="A783" s="73" t="s">
        <v>1736</v>
      </c>
      <c r="B783" s="75" t="s">
        <v>1733</v>
      </c>
      <c r="C783" s="73" t="s">
        <v>378</v>
      </c>
      <c r="D783" s="77" t="s">
        <v>370</v>
      </c>
      <c r="E783" s="77" t="s">
        <v>1688</v>
      </c>
      <c r="F783" s="77" t="s">
        <v>148</v>
      </c>
      <c r="G783" s="77" t="s">
        <v>106</v>
      </c>
      <c r="H783" s="77" t="s">
        <v>151</v>
      </c>
      <c r="I783" s="75"/>
      <c r="J783" s="81" t="s">
        <v>379</v>
      </c>
      <c r="K783" s="45" t="s">
        <v>380</v>
      </c>
      <c r="L783" s="88" t="s">
        <v>63</v>
      </c>
      <c r="M783" s="50" t="s">
        <v>64</v>
      </c>
      <c r="N783" s="43" t="s">
        <v>55</v>
      </c>
      <c r="O783" s="115" t="s">
        <v>56</v>
      </c>
      <c r="P783" s="45" t="s">
        <v>1738</v>
      </c>
      <c r="Q783" s="44"/>
    </row>
    <row r="784" ht="31.5" hidden="1" customHeight="1">
      <c r="A784" s="94" t="s">
        <v>1559</v>
      </c>
      <c r="B784" s="96" t="s">
        <v>1553</v>
      </c>
      <c r="C784" s="94" t="s">
        <v>378</v>
      </c>
      <c r="D784" s="97" t="s">
        <v>370</v>
      </c>
      <c r="E784" s="97" t="s">
        <v>1688</v>
      </c>
      <c r="F784" s="97" t="s">
        <v>148</v>
      </c>
      <c r="G784" s="97" t="s">
        <v>106</v>
      </c>
      <c r="H784" s="97" t="s">
        <v>151</v>
      </c>
      <c r="I784" s="96"/>
      <c r="J784" s="100" t="s">
        <v>379</v>
      </c>
      <c r="K784" s="101" t="s">
        <v>380</v>
      </c>
      <c r="L784" s="103" t="s">
        <v>76</v>
      </c>
      <c r="M784" s="57" t="s">
        <v>78</v>
      </c>
      <c r="N784" s="43" t="s">
        <v>55</v>
      </c>
      <c r="O784" s="124" t="s">
        <v>56</v>
      </c>
      <c r="P784" s="101" t="s">
        <v>1561</v>
      </c>
      <c r="Q784" s="107"/>
    </row>
    <row r="785" ht="31.5" hidden="1" customHeight="1">
      <c r="A785" s="73" t="s">
        <v>1155</v>
      </c>
      <c r="B785" s="75" t="s">
        <v>71</v>
      </c>
      <c r="C785" s="73" t="s">
        <v>378</v>
      </c>
      <c r="D785" s="77" t="s">
        <v>370</v>
      </c>
      <c r="E785" s="77" t="s">
        <v>1688</v>
      </c>
      <c r="F785" s="77" t="s">
        <v>148</v>
      </c>
      <c r="G785" s="77" t="s">
        <v>106</v>
      </c>
      <c r="H785" s="77" t="s">
        <v>151</v>
      </c>
      <c r="I785" s="75"/>
      <c r="J785" s="81" t="s">
        <v>379</v>
      </c>
      <c r="K785" s="45" t="s">
        <v>380</v>
      </c>
      <c r="L785" s="127" t="s">
        <v>64</v>
      </c>
      <c r="M785" s="62" t="s">
        <v>92</v>
      </c>
      <c r="N785" s="43" t="s">
        <v>55</v>
      </c>
      <c r="O785" s="115" t="s">
        <v>163</v>
      </c>
      <c r="P785" s="45" t="s">
        <v>1157</v>
      </c>
      <c r="Q785" s="44"/>
    </row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9559FA1-77B5-406F-933B-B7973E24462B}" filter="1" showAutoFilter="1">
      <autoFilter ref="$A$6:$Q$785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7" ref="J7"/>
    <hyperlink r:id="rId5" ref="K7"/>
    <hyperlink r:id="rId6" location="'Club Colours'!A8" ref="L7"/>
    <hyperlink r:id="rId7" ref="P7"/>
    <hyperlink r:id="rId8" location="'Sources'!A7" ref="J8"/>
    <hyperlink r:id="rId9" ref="K8"/>
    <hyperlink r:id="rId10" location="'Club Colours'!A9" ref="L8"/>
    <hyperlink r:id="rId11" ref="P8"/>
    <hyperlink r:id="rId12" location="'Sources'!A7" ref="J9"/>
    <hyperlink r:id="rId13" ref="K9"/>
    <hyperlink r:id="rId14" location="'Club Colours'!A15" ref="L9"/>
    <hyperlink r:id="rId15" ref="P9"/>
    <hyperlink r:id="rId16" location="'Sources'!A7" ref="J10"/>
    <hyperlink r:id="rId17" ref="K10"/>
    <hyperlink r:id="rId18" location="'Club Colours'!A17" ref="L10"/>
    <hyperlink r:id="rId19" ref="P10"/>
    <hyperlink r:id="rId20" location="'Sources'!A7" ref="J11"/>
    <hyperlink r:id="rId21" ref="K11"/>
    <hyperlink r:id="rId22" location="'Club Colours'!A18" ref="L11"/>
    <hyperlink r:id="rId23" ref="P11"/>
    <hyperlink r:id="rId24" location="'Sources'!A7" ref="J12"/>
    <hyperlink r:id="rId25" ref="K12"/>
    <hyperlink r:id="rId26" location="'Club Colours'!A26" ref="L12"/>
    <hyperlink r:id="rId27" ref="P12"/>
    <hyperlink r:id="rId28" location="'Sources'!A7" ref="J13"/>
    <hyperlink r:id="rId29" ref="K13"/>
    <hyperlink r:id="rId30" location="'Club Colours'!A27" ref="L13"/>
    <hyperlink r:id="rId31" ref="P13"/>
    <hyperlink r:id="rId32" location="'Sources'!A7" ref="J14"/>
    <hyperlink r:id="rId33" ref="K14"/>
    <hyperlink r:id="rId34" location="'Club Colours'!A28" ref="L14"/>
    <hyperlink r:id="rId35" ref="P14"/>
    <hyperlink r:id="rId36" location="'Sources'!A7" ref="J15"/>
    <hyperlink r:id="rId37" ref="K15"/>
    <hyperlink r:id="rId38" location="'Club Colours'!A31" ref="L15"/>
    <hyperlink r:id="rId39" ref="P15"/>
    <hyperlink r:id="rId40" location="'Sources'!A7" ref="J16"/>
    <hyperlink r:id="rId41" ref="K16"/>
    <hyperlink r:id="rId42" location="'Club Colours'!A32" ref="L16"/>
    <hyperlink r:id="rId43" ref="P16"/>
    <hyperlink r:id="rId44" location="'Sources'!A7" ref="J17"/>
    <hyperlink r:id="rId45" ref="K17"/>
    <hyperlink r:id="rId46" location="'Club Colours'!A34" ref="L17"/>
    <hyperlink r:id="rId47" ref="P17"/>
    <hyperlink r:id="rId48" location="'Sources'!A7" ref="J18"/>
    <hyperlink r:id="rId49" ref="K18"/>
    <hyperlink r:id="rId50" location="'Club Colours'!A35" ref="L18"/>
    <hyperlink r:id="rId51" ref="P18"/>
    <hyperlink r:id="rId52" location="'Sources'!A7" ref="J19"/>
    <hyperlink r:id="rId53" ref="K19"/>
    <hyperlink r:id="rId54" location="'Club Colours'!A36" ref="L19"/>
    <hyperlink r:id="rId55" ref="P19"/>
    <hyperlink r:id="rId56" location="'Sources'!A7" ref="J20"/>
    <hyperlink r:id="rId57" ref="K20"/>
    <hyperlink r:id="rId58" location="'Club Colours'!A40" ref="L20"/>
    <hyperlink r:id="rId59" ref="P20"/>
    <hyperlink r:id="rId60" location="'Sources'!A7" ref="J21"/>
    <hyperlink r:id="rId61" ref="K21"/>
    <hyperlink r:id="rId62" location="'Club Colours'!A42" ref="L21"/>
    <hyperlink r:id="rId63" ref="P21"/>
    <hyperlink r:id="rId64" location="'Sources'!A7" ref="J22"/>
    <hyperlink r:id="rId65" ref="K22"/>
    <hyperlink r:id="rId66" location="'Club Colours'!A43" ref="L22"/>
    <hyperlink r:id="rId67" ref="P22"/>
    <hyperlink r:id="rId68" location="'Sources'!A7" ref="J23"/>
    <hyperlink r:id="rId69" ref="K23"/>
    <hyperlink r:id="rId70" location="'Club Colours'!A48" ref="L23"/>
    <hyperlink r:id="rId71" ref="P23"/>
    <hyperlink r:id="rId72" location="'Sources'!A7" ref="J24"/>
    <hyperlink r:id="rId73" ref="K24"/>
    <hyperlink r:id="rId74" location="'Club Colours'!A50" ref="L24"/>
    <hyperlink r:id="rId75" ref="P24"/>
    <hyperlink r:id="rId76" location="'Sources'!A7" ref="J25"/>
    <hyperlink r:id="rId77" ref="K25"/>
    <hyperlink r:id="rId78" location="'Club Colours'!A65" ref="L25"/>
    <hyperlink r:id="rId79" ref="P25"/>
    <hyperlink r:id="rId80" location="'Sources'!A7" ref="J26"/>
    <hyperlink r:id="rId81" ref="K26"/>
    <hyperlink r:id="rId82" location="'Club Colours'!A67" ref="L26"/>
    <hyperlink r:id="rId83" ref="P26"/>
    <hyperlink r:id="rId84" location="'Sources'!A8" ref="J27"/>
    <hyperlink r:id="rId85" ref="K27"/>
    <hyperlink r:id="rId86" location="'Club Colours'!A11" ref="L27"/>
    <hyperlink r:id="rId87" ref="P27"/>
    <hyperlink r:id="rId88" location="'Sources'!A8" ref="J28"/>
    <hyperlink r:id="rId89" ref="K28"/>
    <hyperlink r:id="rId90" location="'Club Colours'!A12" ref="L28"/>
    <hyperlink r:id="rId91" ref="P28"/>
    <hyperlink r:id="rId92" location="'Sources'!A8" ref="J29"/>
    <hyperlink r:id="rId93" ref="K29"/>
    <hyperlink r:id="rId94" location="'Club Colours'!A14" ref="L29"/>
    <hyperlink r:id="rId95" ref="P29"/>
    <hyperlink r:id="rId96" location="'Sources'!A8" ref="J30"/>
    <hyperlink r:id="rId97" ref="K30"/>
    <hyperlink r:id="rId98" location="'Club Colours'!A19" ref="L30"/>
    <hyperlink r:id="rId99" ref="P30"/>
    <hyperlink r:id="rId100" location="'Sources'!A8" ref="J31"/>
    <hyperlink r:id="rId101" ref="K31"/>
    <hyperlink r:id="rId102" location="'Club Colours'!A21" ref="L31"/>
    <hyperlink r:id="rId103" ref="P31"/>
    <hyperlink r:id="rId104" location="'Sources'!A8" ref="J32"/>
    <hyperlink r:id="rId105" ref="K32"/>
    <hyperlink r:id="rId106" location="'Club Colours'!A24" ref="L32"/>
    <hyperlink r:id="rId107" ref="P32"/>
    <hyperlink r:id="rId108" location="'Sources'!A8" ref="J33"/>
    <hyperlink r:id="rId109" ref="K33"/>
    <hyperlink r:id="rId110" location="'Club Colours'!A25" ref="L33"/>
    <hyperlink r:id="rId111" ref="P33"/>
    <hyperlink r:id="rId112" location="'Sources'!A8" ref="J34"/>
    <hyperlink r:id="rId113" ref="K34"/>
    <hyperlink r:id="rId114" location="'Club Colours'!A29" ref="L34"/>
    <hyperlink r:id="rId115" ref="P34"/>
    <hyperlink r:id="rId116" location="'Sources'!A8" ref="J35"/>
    <hyperlink r:id="rId117" ref="K35"/>
    <hyperlink r:id="rId118" location="'Club Colours'!A39" ref="L35"/>
    <hyperlink r:id="rId119" ref="P35"/>
    <hyperlink r:id="rId120" location="'Sources'!A8" ref="J36"/>
    <hyperlink r:id="rId121" ref="K36"/>
    <hyperlink r:id="rId122" location="'Club Colours'!A45" ref="L36"/>
    <hyperlink r:id="rId123" ref="P36"/>
    <hyperlink r:id="rId124" location="'Sources'!A8" ref="J37"/>
    <hyperlink r:id="rId125" ref="K37"/>
    <hyperlink r:id="rId126" location="'Club Colours'!A46" ref="L37"/>
    <hyperlink r:id="rId127" ref="P37"/>
    <hyperlink r:id="rId128" location="'Sources'!A8" ref="J38"/>
    <hyperlink r:id="rId129" ref="K38"/>
    <hyperlink r:id="rId130" location="'Club Colours'!A49" ref="L38"/>
    <hyperlink r:id="rId131" ref="P38"/>
    <hyperlink r:id="rId132" location="'Sources'!A8" ref="J39"/>
    <hyperlink r:id="rId133" ref="K39"/>
    <hyperlink r:id="rId134" location="'Club Colours'!A55" ref="L39"/>
    <hyperlink r:id="rId135" ref="P39"/>
    <hyperlink r:id="rId136" location="'Sources'!A8" ref="J40"/>
    <hyperlink r:id="rId137" ref="K40"/>
    <hyperlink r:id="rId138" location="'Club Colours'!A56" ref="L40"/>
    <hyperlink r:id="rId139" ref="P40"/>
    <hyperlink r:id="rId140" location="'Sources'!A8" ref="J41"/>
    <hyperlink r:id="rId141" ref="K41"/>
    <hyperlink r:id="rId142" location="'Club Colours'!A57" ref="L41"/>
    <hyperlink r:id="rId143" ref="P41"/>
    <hyperlink r:id="rId144" location="'Sources'!A8" ref="J42"/>
    <hyperlink r:id="rId145" ref="K42"/>
    <hyperlink r:id="rId146" location="'Club Colours'!A59" ref="L42"/>
    <hyperlink r:id="rId147" ref="P42"/>
    <hyperlink r:id="rId148" location="'Sources'!A8" ref="J43"/>
    <hyperlink r:id="rId149" ref="K43"/>
    <hyperlink r:id="rId150" location="'Club Colours'!A61" ref="L43"/>
    <hyperlink r:id="rId151" ref="P43"/>
    <hyperlink r:id="rId152" location="'Sources'!A8" ref="J44"/>
    <hyperlink r:id="rId153" ref="K44"/>
    <hyperlink r:id="rId154" location="'Club Colours'!A64" ref="L44"/>
    <hyperlink r:id="rId155" ref="P44"/>
    <hyperlink r:id="rId156" location="'Sources'!A8" ref="J45"/>
    <hyperlink r:id="rId157" ref="K45"/>
    <hyperlink r:id="rId158" location="'Club Colours'!A66" ref="L45"/>
    <hyperlink r:id="rId159" ref="P45"/>
    <hyperlink r:id="rId160" location="'Sources'!A8" ref="J46"/>
    <hyperlink r:id="rId161" ref="K46"/>
    <hyperlink r:id="rId162" location="'Club Colours'!A68" ref="L46"/>
    <hyperlink r:id="rId163" ref="P46"/>
    <hyperlink r:id="rId164" location="'Sources'!A8" ref="J47"/>
    <hyperlink r:id="rId165" ref="K47"/>
    <hyperlink r:id="rId166" location="'Club Colours'!A69" ref="L47"/>
    <hyperlink r:id="rId167" ref="P47"/>
    <hyperlink r:id="rId168" location="'Sources'!A8" ref="J48"/>
    <hyperlink r:id="rId169" ref="K48"/>
    <hyperlink r:id="rId170" location="'Club Colours'!A70" ref="L48"/>
    <hyperlink r:id="rId171" ref="P48"/>
    <hyperlink r:id="rId172" location="'Sources'!A8" ref="J49"/>
    <hyperlink r:id="rId173" ref="K49"/>
    <hyperlink r:id="rId174" location="'Club Colours'!A72" ref="L49"/>
    <hyperlink r:id="rId175" ref="P49"/>
    <hyperlink r:id="rId176" location="'Sources'!A8" ref="J50"/>
    <hyperlink r:id="rId177" ref="K50"/>
    <hyperlink r:id="rId178" location="'Club Colours'!A73" ref="L50"/>
    <hyperlink r:id="rId179" ref="P50"/>
    <hyperlink r:id="rId180" location="'Sources'!A9" ref="J51"/>
    <hyperlink r:id="rId181" ref="K51"/>
    <hyperlink r:id="rId182" location="'Club Colours'!A7" ref="L51"/>
    <hyperlink r:id="rId183" ref="P51"/>
    <hyperlink r:id="rId184" location="'Sources'!A9" ref="J52"/>
    <hyperlink r:id="rId185" ref="K52"/>
    <hyperlink r:id="rId186" location="'Club Colours'!A10" ref="L52"/>
    <hyperlink r:id="rId187" ref="P52"/>
    <hyperlink r:id="rId188" location="'Sources'!A9" ref="J53"/>
    <hyperlink r:id="rId189" ref="K53"/>
    <hyperlink r:id="rId190" location="'Club Colours'!A13" ref="L53"/>
    <hyperlink r:id="rId191" ref="P53"/>
    <hyperlink r:id="rId192" location="'Sources'!A9" ref="J54"/>
    <hyperlink r:id="rId193" ref="K54"/>
    <hyperlink r:id="rId194" location="'Club Colours'!A16" ref="L54"/>
    <hyperlink r:id="rId195" ref="P54"/>
    <hyperlink r:id="rId196" location="'Sources'!A9" ref="J55"/>
    <hyperlink r:id="rId197" ref="K55"/>
    <hyperlink r:id="rId198" location="'Club Colours'!A20" ref="L55"/>
    <hyperlink r:id="rId199" ref="P55"/>
    <hyperlink r:id="rId200" location="'Sources'!A9" ref="J56"/>
    <hyperlink r:id="rId201" ref="K56"/>
    <hyperlink r:id="rId202" location="'Club Colours'!A22" ref="L56"/>
    <hyperlink r:id="rId203" ref="P56"/>
    <hyperlink r:id="rId204" location="'Sources'!A9" ref="J57"/>
    <hyperlink r:id="rId205" ref="K57"/>
    <hyperlink r:id="rId206" location="'Club Colours'!A23" ref="L57"/>
    <hyperlink r:id="rId207" ref="P57"/>
    <hyperlink r:id="rId208" location="'Sources'!A9" ref="J58"/>
    <hyperlink r:id="rId209" ref="K58"/>
    <hyperlink r:id="rId210" location="'Club Colours'!A30" ref="L58"/>
    <hyperlink r:id="rId211" ref="P58"/>
    <hyperlink r:id="rId212" location="'Sources'!A9" ref="J59"/>
    <hyperlink r:id="rId213" ref="K59"/>
    <hyperlink r:id="rId214" location="'Club Colours'!A33" ref="L59"/>
    <hyperlink r:id="rId215" ref="P59"/>
    <hyperlink r:id="rId216" location="'Sources'!A9" ref="J60"/>
    <hyperlink r:id="rId217" ref="K60"/>
    <hyperlink r:id="rId218" location="'Club Colours'!A37" ref="L60"/>
    <hyperlink r:id="rId219" ref="P60"/>
    <hyperlink r:id="rId220" location="'Sources'!A9" ref="J61"/>
    <hyperlink r:id="rId221" ref="K61"/>
    <hyperlink r:id="rId222" location="'Club Colours'!A38" ref="L61"/>
    <hyperlink r:id="rId223" ref="P61"/>
    <hyperlink r:id="rId224" location="'Sources'!A9" ref="J62"/>
    <hyperlink r:id="rId225" ref="K62"/>
    <hyperlink r:id="rId226" location="'Club Colours'!A41" ref="L62"/>
    <hyperlink r:id="rId227" ref="P62"/>
    <hyperlink r:id="rId228" location="'Sources'!A9" ref="J63"/>
    <hyperlink r:id="rId229" ref="K63"/>
    <hyperlink r:id="rId230" location="'Club Colours'!A44" ref="L63"/>
    <hyperlink r:id="rId231" ref="P63"/>
    <hyperlink r:id="rId232" location="'Sources'!A9" ref="J64"/>
    <hyperlink r:id="rId233" ref="K64"/>
    <hyperlink r:id="rId234" location="'Club Colours'!A47" ref="L64"/>
    <hyperlink r:id="rId235" ref="P64"/>
    <hyperlink r:id="rId236" location="'Sources'!A9" ref="J65"/>
    <hyperlink r:id="rId237" ref="K65"/>
    <hyperlink r:id="rId238" location="'Club Colours'!A51" ref="L65"/>
    <hyperlink r:id="rId239" ref="P65"/>
    <hyperlink r:id="rId240" location="'Sources'!A9" ref="J66"/>
    <hyperlink r:id="rId241" ref="K66"/>
    <hyperlink r:id="rId242" location="'Club Colours'!A52" ref="L66"/>
    <hyperlink r:id="rId243" ref="P66"/>
    <hyperlink r:id="rId244" location="'Sources'!A9" ref="J67"/>
    <hyperlink r:id="rId245" ref="K67"/>
    <hyperlink r:id="rId246" location="'Club Colours'!A53" ref="L67"/>
    <hyperlink r:id="rId247" ref="P67"/>
    <hyperlink r:id="rId248" location="'Sources'!A9" ref="J68"/>
    <hyperlink r:id="rId249" ref="K68"/>
    <hyperlink r:id="rId250" location="'Club Colours'!A54" ref="L68"/>
    <hyperlink r:id="rId251" ref="P68"/>
    <hyperlink r:id="rId252" location="'Sources'!A9" ref="J69"/>
    <hyperlink r:id="rId253" ref="K69"/>
    <hyperlink r:id="rId254" location="'Club Colours'!A58" ref="L69"/>
    <hyperlink r:id="rId255" ref="P69"/>
    <hyperlink r:id="rId256" location="'Sources'!A9" ref="J70"/>
    <hyperlink r:id="rId257" ref="K70"/>
    <hyperlink r:id="rId258" location="'Club Colours'!A60" ref="L70"/>
    <hyperlink r:id="rId259" ref="P70"/>
    <hyperlink r:id="rId260" location="'Sources'!A9" ref="J71"/>
    <hyperlink r:id="rId261" ref="K71"/>
    <hyperlink r:id="rId262" location="'Club Colours'!A62" ref="L71"/>
    <hyperlink r:id="rId263" ref="P71"/>
    <hyperlink r:id="rId264" location="'Sources'!A9" ref="J72"/>
    <hyperlink r:id="rId265" ref="K72"/>
    <hyperlink r:id="rId266" location="'Club Colours'!A63" ref="L72"/>
    <hyperlink r:id="rId267" ref="P72"/>
    <hyperlink r:id="rId268" location="'Sources'!A9" ref="J73"/>
    <hyperlink r:id="rId269" ref="K73"/>
    <hyperlink r:id="rId270" location="'Club Colours'!A71" ref="L73"/>
    <hyperlink r:id="rId271" ref="P73"/>
    <hyperlink r:id="rId272" location="'Sources'!A9" ref="J74"/>
    <hyperlink r:id="rId273" ref="K74"/>
    <hyperlink r:id="rId274" location="'Club Colours'!A74" ref="L74"/>
    <hyperlink r:id="rId275" ref="P74"/>
    <hyperlink r:id="rId276" location="'Sources'!A10" ref="J75"/>
    <hyperlink r:id="rId277" ref="K75"/>
    <hyperlink r:id="rId278" location="'Club Colours'!A82" ref="L75"/>
    <hyperlink r:id="rId279" ref="P75"/>
    <hyperlink r:id="rId280" location="'Sources'!A10" ref="J76"/>
    <hyperlink r:id="rId281" ref="K76"/>
    <hyperlink r:id="rId282" location="'Club Colours'!A84" ref="L76"/>
    <hyperlink r:id="rId283" ref="P76"/>
    <hyperlink r:id="rId284" location="'Sources'!A10" ref="J77"/>
    <hyperlink r:id="rId285" ref="K77"/>
    <hyperlink r:id="rId286" location="'Club Colours'!A87" ref="L77"/>
    <hyperlink r:id="rId287" ref="P77"/>
    <hyperlink r:id="rId288" location="'Sources'!A10" ref="J78"/>
    <hyperlink r:id="rId289" ref="K78"/>
    <hyperlink r:id="rId290" location="'Club Colours'!A94" ref="L78"/>
    <hyperlink r:id="rId291" ref="P78"/>
    <hyperlink r:id="rId292" location="'Sources'!A10" ref="J79"/>
    <hyperlink r:id="rId293" ref="K79"/>
    <hyperlink r:id="rId294" location="'Club Colours'!A99" ref="L79"/>
    <hyperlink r:id="rId295" ref="P79"/>
    <hyperlink r:id="rId296" location="'Sources'!A10" ref="J80"/>
    <hyperlink r:id="rId297" ref="K80"/>
    <hyperlink r:id="rId298" location="'Club Colours'!A101" ref="L80"/>
    <hyperlink r:id="rId299" ref="P80"/>
    <hyperlink r:id="rId300" location="'Sources'!A10" ref="J81"/>
    <hyperlink r:id="rId301" ref="K81"/>
    <hyperlink r:id="rId302" location="'Club Colours'!A103" ref="L81"/>
    <hyperlink r:id="rId303" ref="P81"/>
    <hyperlink r:id="rId304" location="'Sources'!A10" ref="J82"/>
    <hyperlink r:id="rId305" ref="K82"/>
    <hyperlink r:id="rId306" location="'Club Colours'!A105" ref="L82"/>
    <hyperlink r:id="rId307" ref="P82"/>
    <hyperlink r:id="rId308" location="'Sources'!A10" ref="J83"/>
    <hyperlink r:id="rId309" ref="K83"/>
    <hyperlink r:id="rId310" location="'Club Colours'!A108" ref="L83"/>
    <hyperlink r:id="rId311" ref="P83"/>
    <hyperlink r:id="rId312" location="'Sources'!A10" ref="J84"/>
    <hyperlink r:id="rId313" ref="K84"/>
    <hyperlink r:id="rId314" location="'Club Colours'!A117" ref="L84"/>
    <hyperlink r:id="rId315" ref="P84"/>
    <hyperlink r:id="rId316" location="'Sources'!A10" ref="J85"/>
    <hyperlink r:id="rId317" ref="K85"/>
    <hyperlink r:id="rId318" location="'Club Colours'!A121" ref="L85"/>
    <hyperlink r:id="rId319" ref="P85"/>
    <hyperlink r:id="rId320" location="'Sources'!A10" ref="J86"/>
    <hyperlink r:id="rId321" ref="K86"/>
    <hyperlink r:id="rId322" location="'Club Colours'!A123" ref="L86"/>
    <hyperlink r:id="rId323" ref="P86"/>
    <hyperlink r:id="rId324" location="'Sources'!A10" ref="J87"/>
    <hyperlink r:id="rId325" ref="K87"/>
    <hyperlink r:id="rId326" location="'Club Colours'!A127" ref="L87"/>
    <hyperlink r:id="rId327" ref="P87"/>
    <hyperlink r:id="rId328" location="'Sources'!A10" ref="J88"/>
    <hyperlink r:id="rId329" ref="K88"/>
    <hyperlink r:id="rId330" location="'Club Colours'!A129" ref="L88"/>
    <hyperlink r:id="rId331" ref="P88"/>
    <hyperlink r:id="rId332" location="'Sources'!A10" ref="J89"/>
    <hyperlink r:id="rId333" ref="K89"/>
    <hyperlink r:id="rId334" location="'Club Colours'!A131" ref="L89"/>
    <hyperlink r:id="rId335" ref="P89"/>
    <hyperlink r:id="rId336" location="'Sources'!A10" ref="J90"/>
    <hyperlink r:id="rId337" ref="K90"/>
    <hyperlink r:id="rId338" location="'Club Colours'!A133" ref="L90"/>
    <hyperlink r:id="rId339" ref="P90"/>
    <hyperlink r:id="rId340" location="'Sources'!A10" ref="J91"/>
    <hyperlink r:id="rId341" ref="K91"/>
    <hyperlink r:id="rId342" location="'Club Colours'!A137" ref="L91"/>
    <hyperlink r:id="rId343" ref="P91"/>
    <hyperlink r:id="rId344" location="'Sources'!A10" ref="J92"/>
    <hyperlink r:id="rId345" ref="K92"/>
    <hyperlink r:id="rId346" location="'Club Colours'!A143" ref="L92"/>
    <hyperlink r:id="rId347" ref="P92"/>
    <hyperlink r:id="rId348" location="'Sources'!A10" ref="J93"/>
    <hyperlink r:id="rId349" ref="K93"/>
    <hyperlink r:id="rId350" location="'Club Colours'!A152" ref="L93"/>
    <hyperlink r:id="rId351" ref="P93"/>
    <hyperlink r:id="rId352" location="'Sources'!A10" ref="J94"/>
    <hyperlink r:id="rId353" ref="K94"/>
    <hyperlink r:id="rId354" location="'Club Colours'!A153" ref="L94"/>
    <hyperlink r:id="rId355" ref="P94"/>
    <hyperlink r:id="rId356" location="'Sources'!A11" ref="J95"/>
    <hyperlink r:id="rId357" ref="K95"/>
    <hyperlink r:id="rId358" location="'Club Colours'!A75" ref="L95"/>
    <hyperlink r:id="rId359" ref="P95"/>
    <hyperlink r:id="rId360" location="'Sources'!A11" ref="J96"/>
    <hyperlink r:id="rId361" ref="K96"/>
    <hyperlink r:id="rId362" location="'Club Colours'!A76" ref="L96"/>
    <hyperlink r:id="rId363" ref="P96"/>
    <hyperlink r:id="rId364" location="'Sources'!A11" ref="J97"/>
    <hyperlink r:id="rId365" ref="K97"/>
    <hyperlink r:id="rId366" location="'Club Colours'!A79" ref="L97"/>
    <hyperlink r:id="rId367" ref="P97"/>
    <hyperlink r:id="rId368" location="'Sources'!A11" ref="J98"/>
    <hyperlink r:id="rId369" ref="K98"/>
    <hyperlink r:id="rId370" location="'Club Colours'!A88" ref="L98"/>
    <hyperlink r:id="rId371" ref="P98"/>
    <hyperlink r:id="rId372" location="'Sources'!A11" ref="J99"/>
    <hyperlink r:id="rId373" ref="K99"/>
    <hyperlink r:id="rId374" location="'Club Colours'!A91" ref="L99"/>
    <hyperlink r:id="rId375" ref="P99"/>
    <hyperlink r:id="rId376" location="'Sources'!A11" ref="J100"/>
    <hyperlink r:id="rId377" ref="K100"/>
    <hyperlink r:id="rId378" location="'Club Colours'!A93" ref="L100"/>
    <hyperlink r:id="rId379" ref="P100"/>
    <hyperlink r:id="rId380" location="'Sources'!A11" ref="J101"/>
    <hyperlink r:id="rId381" ref="K101"/>
    <hyperlink r:id="rId382" location="'Club Colours'!A97" ref="L101"/>
    <hyperlink r:id="rId383" ref="P101"/>
    <hyperlink r:id="rId384" location="'Sources'!A11" ref="J102"/>
    <hyperlink r:id="rId385" ref="K102"/>
    <hyperlink r:id="rId386" location="'Club Colours'!A98" ref="L102"/>
    <hyperlink r:id="rId387" ref="P102"/>
    <hyperlink r:id="rId388" location="'Sources'!A11" ref="J103"/>
    <hyperlink r:id="rId389" ref="K103"/>
    <hyperlink r:id="rId390" location="'Club Colours'!A102" ref="L103"/>
    <hyperlink r:id="rId391" ref="P103"/>
    <hyperlink r:id="rId392" location="'Sources'!A11" ref="J104"/>
    <hyperlink r:id="rId393" ref="K104"/>
    <hyperlink r:id="rId394" location="'Club Colours'!A104" ref="L104"/>
    <hyperlink r:id="rId395" ref="P104"/>
    <hyperlink r:id="rId396" location="'Sources'!A11" ref="J105"/>
    <hyperlink r:id="rId397" ref="K105"/>
    <hyperlink r:id="rId398" location="'Club Colours'!A107" ref="L105"/>
    <hyperlink r:id="rId399" ref="P105"/>
    <hyperlink r:id="rId400" location="'Sources'!A11" ref="J106"/>
    <hyperlink r:id="rId401" ref="K106"/>
    <hyperlink r:id="rId402" location="'Club Colours'!A110" ref="L106"/>
    <hyperlink r:id="rId403" ref="P106"/>
    <hyperlink r:id="rId404" location="'Sources'!A11" ref="J107"/>
    <hyperlink r:id="rId405" ref="K107"/>
    <hyperlink r:id="rId406" location="'Club Colours'!A111" ref="L107"/>
    <hyperlink r:id="rId407" ref="P107"/>
    <hyperlink r:id="rId408" location="'Sources'!A11" ref="J108"/>
    <hyperlink r:id="rId409" ref="K108"/>
    <hyperlink r:id="rId410" location="'Club Colours'!A115" ref="L108"/>
    <hyperlink r:id="rId411" ref="P108"/>
    <hyperlink r:id="rId412" location="'Sources'!A11" ref="J109"/>
    <hyperlink r:id="rId413" ref="K109"/>
    <hyperlink r:id="rId414" location="'Club Colours'!A116" ref="L109"/>
    <hyperlink r:id="rId415" ref="P109"/>
    <hyperlink r:id="rId416" location="'Sources'!A11" ref="J110"/>
    <hyperlink r:id="rId417" ref="K110"/>
    <hyperlink r:id="rId418" location="'Club Colours'!A119" ref="L110"/>
    <hyperlink r:id="rId419" ref="P110"/>
    <hyperlink r:id="rId420" location="'Sources'!A11" ref="J111"/>
    <hyperlink r:id="rId421" ref="K111"/>
    <hyperlink r:id="rId422" location="'Club Colours'!A136" ref="L111"/>
    <hyperlink r:id="rId423" ref="P111"/>
    <hyperlink r:id="rId424" location="'Sources'!A11" ref="J112"/>
    <hyperlink r:id="rId425" ref="K112"/>
    <hyperlink r:id="rId426" location="'Club Colours'!A138" ref="L112"/>
    <hyperlink r:id="rId427" ref="P112"/>
    <hyperlink r:id="rId428" location="'Sources'!A11" ref="J113"/>
    <hyperlink r:id="rId429" ref="K113"/>
    <hyperlink r:id="rId430" location="'Club Colours'!A140" ref="L113"/>
    <hyperlink r:id="rId431" ref="P113"/>
    <hyperlink r:id="rId432" location="'Sources'!A11" ref="J114"/>
    <hyperlink r:id="rId433" ref="K114"/>
    <hyperlink r:id="rId434" location="'Club Colours'!A142" ref="L114"/>
    <hyperlink r:id="rId435" ref="P114"/>
    <hyperlink r:id="rId436" location="'Sources'!A11" ref="J115"/>
    <hyperlink r:id="rId437" ref="K115"/>
    <hyperlink r:id="rId438" location="'Club Colours'!A144" ref="L115"/>
    <hyperlink r:id="rId439" ref="P115"/>
    <hyperlink r:id="rId440" location="'Sources'!A11" ref="J116"/>
    <hyperlink r:id="rId441" ref="K116"/>
    <hyperlink r:id="rId442" location="'Club Colours'!A145" ref="L116"/>
    <hyperlink r:id="rId443" ref="P116"/>
    <hyperlink r:id="rId444" location="'Sources'!A12" ref="J117"/>
    <hyperlink r:id="rId445" ref="K117"/>
    <hyperlink r:id="rId446" location="'Club Colours'!A81" ref="L117"/>
    <hyperlink r:id="rId447" ref="P117"/>
    <hyperlink r:id="rId448" location="'Sources'!A12" ref="J118"/>
    <hyperlink r:id="rId449" ref="K118"/>
    <hyperlink r:id="rId450" location="'Club Colours'!A83" ref="L118"/>
    <hyperlink r:id="rId451" ref="P118"/>
    <hyperlink r:id="rId452" location="'Sources'!A12" ref="J119"/>
    <hyperlink r:id="rId453" ref="K119"/>
    <hyperlink r:id="rId454" location="'Club Colours'!A86" ref="L119"/>
    <hyperlink r:id="rId455" ref="P119"/>
    <hyperlink r:id="rId456" location="'Sources'!A12" ref="J120"/>
    <hyperlink r:id="rId457" ref="K120"/>
    <hyperlink r:id="rId458" location="'Club Colours'!A89" ref="L120"/>
    <hyperlink r:id="rId459" ref="P120"/>
    <hyperlink r:id="rId460" location="'Sources'!A12" ref="J121"/>
    <hyperlink r:id="rId461" ref="K121"/>
    <hyperlink r:id="rId462" location="'Club Colours'!A95" ref="N121"/>
    <hyperlink r:id="rId463" location="'Sources'!A12" ref="J122"/>
    <hyperlink r:id="rId464" ref="K122"/>
    <hyperlink r:id="rId465" location="'Club Colours'!A96" ref="L122"/>
    <hyperlink r:id="rId466" ref="P122"/>
    <hyperlink r:id="rId467" location="'Sources'!A12" ref="J123"/>
    <hyperlink r:id="rId468" ref="K123"/>
    <hyperlink r:id="rId469" location="'Club Colours'!A100" ref="L123"/>
    <hyperlink r:id="rId470" ref="P123"/>
    <hyperlink r:id="rId471" location="'Sources'!A12" ref="J124"/>
    <hyperlink r:id="rId472" ref="K124"/>
    <hyperlink r:id="rId473" location="'Club Colours'!A106" ref="L124"/>
    <hyperlink r:id="rId474" ref="P124"/>
    <hyperlink r:id="rId475" location="'Sources'!A12" ref="J125"/>
    <hyperlink r:id="rId476" ref="K125"/>
    <hyperlink r:id="rId477" location="'Club Colours'!A118" ref="L125"/>
    <hyperlink r:id="rId478" ref="P125"/>
    <hyperlink r:id="rId479" location="'Sources'!A12" ref="J126"/>
    <hyperlink r:id="rId480" ref="K126"/>
    <hyperlink r:id="rId481" location="'Club Colours'!A120" ref="L126"/>
    <hyperlink r:id="rId482" ref="P126"/>
    <hyperlink r:id="rId483" location="'Sources'!A12" ref="J127"/>
    <hyperlink r:id="rId484" ref="K127"/>
    <hyperlink r:id="rId485" location="'Club Colours'!A122" ref="N127"/>
    <hyperlink r:id="rId486" location="'Sources'!A12" ref="J128"/>
    <hyperlink r:id="rId487" ref="K128"/>
    <hyperlink r:id="rId488" location="'Club Colours'!A124" ref="L128"/>
    <hyperlink r:id="rId489" ref="P128"/>
    <hyperlink r:id="rId490" location="'Sources'!A12" ref="J129"/>
    <hyperlink r:id="rId491" ref="K129"/>
    <hyperlink r:id="rId492" location="'Club Colours'!A125" ref="L129"/>
    <hyperlink r:id="rId493" ref="P129"/>
    <hyperlink r:id="rId494" location="'Sources'!A12" ref="J130"/>
    <hyperlink r:id="rId495" ref="K130"/>
    <hyperlink r:id="rId496" location="'Club Colours'!A126" ref="L130"/>
    <hyperlink r:id="rId497" ref="P130"/>
    <hyperlink r:id="rId498" location="'Sources'!A12" ref="J131"/>
    <hyperlink r:id="rId499" ref="K131"/>
    <hyperlink r:id="rId500" location="'Club Colours'!A130" ref="L131"/>
    <hyperlink r:id="rId501" ref="P131"/>
    <hyperlink r:id="rId502" location="'Sources'!A12" ref="J132"/>
    <hyperlink r:id="rId503" ref="K132"/>
    <hyperlink r:id="rId504" location="'Club Colours'!A139" ref="L132"/>
    <hyperlink r:id="rId505" ref="P132"/>
    <hyperlink r:id="rId506" location="'Sources'!A12" ref="J133"/>
    <hyperlink r:id="rId507" ref="K133"/>
    <hyperlink r:id="rId508" location="'Club Colours'!A148" ref="L133"/>
    <hyperlink r:id="rId509" ref="P133"/>
    <hyperlink r:id="rId510" location="'Sources'!A12" ref="J134"/>
    <hyperlink r:id="rId511" ref="K134"/>
    <hyperlink r:id="rId512" location="'Club Colours'!A149" ref="N134"/>
    <hyperlink r:id="rId513" location="'Sources'!A12" ref="J135"/>
    <hyperlink r:id="rId514" ref="K135"/>
    <hyperlink r:id="rId515" location="'Club Colours'!A151" ref="L135"/>
    <hyperlink r:id="rId516" ref="P135"/>
    <hyperlink r:id="rId517" location="'Sources'!A12" ref="J136"/>
    <hyperlink r:id="rId518" ref="K136"/>
    <hyperlink r:id="rId519" location="'Club Colours'!A155" ref="L136"/>
    <hyperlink r:id="rId520" ref="P136"/>
    <hyperlink r:id="rId521" location="'Sources'!A12" ref="J137"/>
    <hyperlink r:id="rId522" ref="K137"/>
    <hyperlink r:id="rId523" location="'Club Colours'!A77" ref="L137"/>
    <hyperlink r:id="rId524" ref="P137"/>
    <hyperlink r:id="rId525" location="'Sources'!A12" ref="J138"/>
    <hyperlink r:id="rId526" ref="K138"/>
    <hyperlink r:id="rId527" location="'Club Colours'!A78" ref="L138"/>
    <hyperlink r:id="rId528" ref="P138"/>
    <hyperlink r:id="rId529" location="'Sources'!A12" ref="J139"/>
    <hyperlink r:id="rId530" ref="K139"/>
    <hyperlink r:id="rId531" location="'Club Colours'!A80" ref="L139"/>
    <hyperlink r:id="rId532" ref="P139"/>
    <hyperlink r:id="rId533" location="'Sources'!A12" ref="J140"/>
    <hyperlink r:id="rId534" ref="K140"/>
    <hyperlink r:id="rId535" location="'Club Colours'!A85" ref="L140"/>
    <hyperlink r:id="rId536" ref="P140"/>
    <hyperlink r:id="rId537" location="'Sources'!A12" ref="J141"/>
    <hyperlink r:id="rId538" ref="K141"/>
    <hyperlink r:id="rId539" location="'Club Colours'!A90" ref="L141"/>
    <hyperlink r:id="rId540" ref="P141"/>
    <hyperlink r:id="rId541" location="'Sources'!A12" ref="J142"/>
    <hyperlink r:id="rId542" ref="K142"/>
    <hyperlink r:id="rId543" location="'Club Colours'!A92" ref="L142"/>
    <hyperlink r:id="rId544" ref="P142"/>
    <hyperlink r:id="rId545" location="'Sources'!A12" ref="J143"/>
    <hyperlink r:id="rId546" ref="K143"/>
    <hyperlink r:id="rId547" location="'Club Colours'!A109" ref="L143"/>
    <hyperlink r:id="rId548" ref="P143"/>
    <hyperlink r:id="rId549" location="'Sources'!A12" ref="J144"/>
    <hyperlink r:id="rId550" ref="K144"/>
    <hyperlink r:id="rId551" location="'Club Colours'!A112" ref="L144"/>
    <hyperlink r:id="rId552" ref="P144"/>
    <hyperlink r:id="rId553" location="'Sources'!A12" ref="J145"/>
    <hyperlink r:id="rId554" ref="K145"/>
    <hyperlink r:id="rId555" location="'Club Colours'!A113" ref="L145"/>
    <hyperlink r:id="rId556" ref="P145"/>
    <hyperlink r:id="rId557" location="'Sources'!A12" ref="J146"/>
    <hyperlink r:id="rId558" ref="K146"/>
    <hyperlink r:id="rId559" location="'Club Colours'!A114" ref="N146"/>
    <hyperlink r:id="rId560" location="'Sources'!A12" ref="J147"/>
    <hyperlink r:id="rId561" ref="K147"/>
    <hyperlink r:id="rId562" location="'Club Colours'!A128" ref="L147"/>
    <hyperlink r:id="rId563" ref="P147"/>
    <hyperlink r:id="rId564" location="'Sources'!A12" ref="J148"/>
    <hyperlink r:id="rId565" ref="K148"/>
    <hyperlink r:id="rId566" location="'Club Colours'!A132" ref="L148"/>
    <hyperlink r:id="rId567" ref="P148"/>
    <hyperlink r:id="rId568" location="'Sources'!A12" ref="J149"/>
    <hyperlink r:id="rId569" ref="K149"/>
    <hyperlink r:id="rId570" location="'Club Colours'!A134" ref="L149"/>
    <hyperlink r:id="rId571" ref="P149"/>
    <hyperlink r:id="rId572" location="'Sources'!A12" ref="J150"/>
    <hyperlink r:id="rId573" ref="K150"/>
    <hyperlink r:id="rId574" location="'Club Colours'!A135" ref="L150"/>
    <hyperlink r:id="rId575" ref="P150"/>
    <hyperlink r:id="rId576" location="'Sources'!A12" ref="J151"/>
    <hyperlink r:id="rId577" ref="K151"/>
    <hyperlink r:id="rId578" location="'Club Colours'!A141" ref="L151"/>
    <hyperlink r:id="rId579" ref="P151"/>
    <hyperlink r:id="rId580" location="'Sources'!A12" ref="J152"/>
    <hyperlink r:id="rId581" ref="K152"/>
    <hyperlink r:id="rId582" location="'Club Colours'!A146" ref="L152"/>
    <hyperlink r:id="rId583" ref="P152"/>
    <hyperlink r:id="rId584" location="'Sources'!A12" ref="J153"/>
    <hyperlink r:id="rId585" ref="K153"/>
    <hyperlink r:id="rId586" location="'Club Colours'!A147" ref="L153"/>
    <hyperlink r:id="rId587" ref="P153"/>
    <hyperlink r:id="rId588" location="'Sources'!A12" ref="J154"/>
    <hyperlink r:id="rId589" ref="K154"/>
    <hyperlink r:id="rId590" location="'Club Colours'!A150" ref="L154"/>
    <hyperlink r:id="rId591" ref="P154"/>
    <hyperlink r:id="rId592" location="'Sources'!A12" ref="J155"/>
    <hyperlink r:id="rId593" ref="K155"/>
    <hyperlink r:id="rId594" location="'Club Colours'!A154" ref="L155"/>
    <hyperlink r:id="rId595" ref="P155"/>
    <hyperlink r:id="rId596" location="'Sources'!A12" ref="J156"/>
    <hyperlink r:id="rId597" ref="K156"/>
    <hyperlink r:id="rId598" location="'Club Colours'!A156" ref="L156"/>
    <hyperlink r:id="rId599" ref="P156"/>
    <hyperlink r:id="rId600" location="'Sources'!A13" ref="J157"/>
    <hyperlink r:id="rId601" ref="K157"/>
    <hyperlink r:id="rId602" location="'Club Colours'!A162" ref="L157"/>
    <hyperlink r:id="rId603" ref="P157"/>
    <hyperlink r:id="rId604" location="'Sources'!A13" ref="J158"/>
    <hyperlink r:id="rId605" ref="K158"/>
    <hyperlink r:id="rId606" location="'Club Colours'!A169" ref="L158"/>
    <hyperlink r:id="rId607" ref="P158"/>
    <hyperlink r:id="rId608" location="'Sources'!A13" ref="J159"/>
    <hyperlink r:id="rId609" ref="K159"/>
    <hyperlink r:id="rId610" location="'Club Colours'!A170" ref="L159"/>
    <hyperlink r:id="rId611" ref="P159"/>
    <hyperlink r:id="rId612" location="'Sources'!A13" ref="J160"/>
    <hyperlink r:id="rId613" ref="K160"/>
    <hyperlink r:id="rId614" location="'Club Colours'!A181" ref="L160"/>
    <hyperlink r:id="rId615" ref="P160"/>
    <hyperlink r:id="rId616" location="'Sources'!A13" ref="J161"/>
    <hyperlink r:id="rId617" ref="K161"/>
    <hyperlink r:id="rId618" location="'Club Colours'!A188" ref="L161"/>
    <hyperlink r:id="rId619" ref="P161"/>
    <hyperlink r:id="rId620" location="'Sources'!A13" ref="J162"/>
    <hyperlink r:id="rId621" ref="K162"/>
    <hyperlink r:id="rId622" location="'Club Colours'!A192" ref="L162"/>
    <hyperlink r:id="rId623" ref="P162"/>
    <hyperlink r:id="rId624" location="'Sources'!A13" ref="J163"/>
    <hyperlink r:id="rId625" ref="K163"/>
    <hyperlink r:id="rId626" location="'Club Colours'!A193" ref="L163"/>
    <hyperlink r:id="rId627" ref="P163"/>
    <hyperlink r:id="rId628" location="'Sources'!A13" ref="J164"/>
    <hyperlink r:id="rId629" ref="K164"/>
    <hyperlink r:id="rId630" location="'Club Colours'!A200" ref="L164"/>
    <hyperlink r:id="rId631" ref="P164"/>
    <hyperlink r:id="rId632" location="'Sources'!A13" ref="J165"/>
    <hyperlink r:id="rId633" ref="K165"/>
    <hyperlink r:id="rId634" location="'Club Colours'!A203" ref="L165"/>
    <hyperlink r:id="rId635" ref="P165"/>
    <hyperlink r:id="rId636" location="'Sources'!A13" ref="J166"/>
    <hyperlink r:id="rId637" ref="K166"/>
    <hyperlink r:id="rId638" location="'Club Colours'!A206" ref="L166"/>
    <hyperlink r:id="rId639" ref="P166"/>
    <hyperlink r:id="rId640" location="'Sources'!A13" ref="J167"/>
    <hyperlink r:id="rId641" ref="K167"/>
    <hyperlink r:id="rId642" location="'Club Colours'!A207" ref="L167"/>
    <hyperlink r:id="rId643" ref="P167"/>
    <hyperlink r:id="rId644" location="'Sources'!A13" ref="J168"/>
    <hyperlink r:id="rId645" ref="K168"/>
    <hyperlink r:id="rId646" location="'Club Colours'!A212" ref="L168"/>
    <hyperlink r:id="rId647" ref="P168"/>
    <hyperlink r:id="rId648" location="'Sources'!A13" ref="J169"/>
    <hyperlink r:id="rId649" ref="K169"/>
    <hyperlink r:id="rId650" location="'Club Colours'!A215" ref="L169"/>
    <hyperlink r:id="rId651" ref="P169"/>
    <hyperlink r:id="rId652" location="'Sources'!A13" ref="J170"/>
    <hyperlink r:id="rId653" ref="K170"/>
    <hyperlink r:id="rId654" location="'Club Colours'!A216" ref="L170"/>
    <hyperlink r:id="rId655" ref="P170"/>
    <hyperlink r:id="rId656" location="'Sources'!A13" ref="J171"/>
    <hyperlink r:id="rId657" ref="K171"/>
    <hyperlink r:id="rId658" location="'Club Colours'!A222" ref="L171"/>
    <hyperlink r:id="rId659" ref="P171"/>
    <hyperlink r:id="rId660" location="'Sources'!A13" ref="J172"/>
    <hyperlink r:id="rId661" ref="K172"/>
    <hyperlink r:id="rId662" location="'Club Colours'!A235" ref="L172"/>
    <hyperlink r:id="rId663" ref="P172"/>
    <hyperlink r:id="rId664" location="'Sources'!A13" ref="J173"/>
    <hyperlink r:id="rId665" ref="K173"/>
    <hyperlink r:id="rId666" location="'Club Colours'!A239" ref="L173"/>
    <hyperlink r:id="rId667" ref="P173"/>
    <hyperlink r:id="rId668" location="'Sources'!A13" ref="J174"/>
    <hyperlink r:id="rId669" ref="K174"/>
    <hyperlink r:id="rId670" location="'Club Colours'!A246" ref="L174"/>
    <hyperlink r:id="rId671" ref="P174"/>
    <hyperlink r:id="rId672" location="'Sources'!A13" ref="J175"/>
    <hyperlink r:id="rId673" ref="K175"/>
    <hyperlink r:id="rId674" location="'Club Colours'!A250" ref="L175"/>
    <hyperlink r:id="rId675" ref="P175"/>
    <hyperlink r:id="rId676" location="'Sources'!A13" ref="J176"/>
    <hyperlink r:id="rId677" ref="K176"/>
    <hyperlink r:id="rId678" location="'Club Colours'!A253" ref="L176"/>
    <hyperlink r:id="rId679" ref="P176"/>
    <hyperlink r:id="rId680" location="'Sources'!A13" ref="J177"/>
    <hyperlink r:id="rId681" ref="K177"/>
    <hyperlink r:id="rId682" location="'Club Colours'!A159" ref="L177"/>
    <hyperlink r:id="rId683" ref="P177"/>
    <hyperlink r:id="rId684" location="'Sources'!A13" ref="J178"/>
    <hyperlink r:id="rId685" ref="K178"/>
    <hyperlink r:id="rId686" location="'Club Colours'!A161" ref="L178"/>
    <hyperlink r:id="rId687" ref="P178"/>
    <hyperlink r:id="rId688" location="'Sources'!A13" ref="J179"/>
    <hyperlink r:id="rId689" ref="K179"/>
    <hyperlink r:id="rId690" location="'Club Colours'!A165" ref="L179"/>
    <hyperlink r:id="rId691" ref="P179"/>
    <hyperlink r:id="rId692" location="'Sources'!A13" ref="J180"/>
    <hyperlink r:id="rId693" ref="K180"/>
    <hyperlink r:id="rId694" location="'Club Colours'!A168" ref="L180"/>
    <hyperlink r:id="rId695" ref="P180"/>
    <hyperlink r:id="rId696" location="'Sources'!A13" ref="J181"/>
    <hyperlink r:id="rId697" ref="K181"/>
    <hyperlink r:id="rId698" location="'Club Colours'!A173" ref="L181"/>
    <hyperlink r:id="rId699" ref="P181"/>
    <hyperlink r:id="rId700" location="'Sources'!A13" ref="J182"/>
    <hyperlink r:id="rId701" ref="K182"/>
    <hyperlink r:id="rId702" location="'Club Colours'!A177" ref="L182"/>
    <hyperlink r:id="rId703" ref="P182"/>
    <hyperlink r:id="rId704" location="'Sources'!A13" ref="J183"/>
    <hyperlink r:id="rId705" ref="K183"/>
    <hyperlink r:id="rId706" location="'Club Colours'!A179" ref="L183"/>
    <hyperlink r:id="rId707" ref="P183"/>
    <hyperlink r:id="rId708" location="'Sources'!A13" ref="J184"/>
    <hyperlink r:id="rId709" ref="K184"/>
    <hyperlink r:id="rId710" location="'Club Colours'!A183" ref="L184"/>
    <hyperlink r:id="rId711" ref="P184"/>
    <hyperlink r:id="rId712" location="'Sources'!A13" ref="J185"/>
    <hyperlink r:id="rId713" ref="K185"/>
    <hyperlink r:id="rId714" location="'Club Colours'!A187" ref="L185"/>
    <hyperlink r:id="rId715" ref="P185"/>
    <hyperlink r:id="rId716" location="'Sources'!A13" ref="J186"/>
    <hyperlink r:id="rId717" ref="K186"/>
    <hyperlink r:id="rId718" location="'Club Colours'!A199" ref="L186"/>
    <hyperlink r:id="rId719" ref="P186"/>
    <hyperlink r:id="rId720" location="'Sources'!A13" ref="J187"/>
    <hyperlink r:id="rId721" ref="K187"/>
    <hyperlink r:id="rId722" location="'Club Colours'!A202" ref="L187"/>
    <hyperlink r:id="rId723" ref="P187"/>
    <hyperlink r:id="rId724" location="'Sources'!A13" ref="J188"/>
    <hyperlink r:id="rId725" ref="K188"/>
    <hyperlink r:id="rId726" location="'Club Colours'!A211" ref="L188"/>
    <hyperlink r:id="rId727" ref="P188"/>
    <hyperlink r:id="rId728" location="'Sources'!A13" ref="J189"/>
    <hyperlink r:id="rId729" ref="K189"/>
    <hyperlink r:id="rId730" location="'Club Colours'!A213" ref="L189"/>
    <hyperlink r:id="rId731" ref="P189"/>
    <hyperlink r:id="rId732" location="'Sources'!A13" ref="J190"/>
    <hyperlink r:id="rId733" ref="K190"/>
    <hyperlink r:id="rId734" location="'Club Colours'!A220" ref="L190"/>
    <hyperlink r:id="rId735" ref="P190"/>
    <hyperlink r:id="rId736" location="'Sources'!A13" ref="J191"/>
    <hyperlink r:id="rId737" ref="K191"/>
    <hyperlink r:id="rId738" location="'Club Colours'!A221" ref="L191"/>
    <hyperlink r:id="rId739" ref="P191"/>
    <hyperlink r:id="rId740" location="'Sources'!A13" ref="J192"/>
    <hyperlink r:id="rId741" ref="K192"/>
    <hyperlink r:id="rId742" location="'Club Colours'!A229" ref="L192"/>
    <hyperlink r:id="rId743" ref="P192"/>
    <hyperlink r:id="rId744" location="'Sources'!A13" ref="J193"/>
    <hyperlink r:id="rId745" ref="K193"/>
    <hyperlink r:id="rId746" location="'Club Colours'!A238" ref="L193"/>
    <hyperlink r:id="rId747" ref="P193"/>
    <hyperlink r:id="rId748" location="'Sources'!A13" ref="J194"/>
    <hyperlink r:id="rId749" ref="K194"/>
    <hyperlink r:id="rId750" location="'Club Colours'!A244" ref="L194"/>
    <hyperlink r:id="rId751" ref="P194"/>
    <hyperlink r:id="rId752" location="'Sources'!A13" ref="J195"/>
    <hyperlink r:id="rId753" ref="K195"/>
    <hyperlink r:id="rId754" location="'Club Colours'!A254" ref="L195"/>
    <hyperlink r:id="rId755" ref="P195"/>
    <hyperlink r:id="rId756" location="'Sources'!A13" ref="J196"/>
    <hyperlink r:id="rId757" ref="K196"/>
    <hyperlink r:id="rId758" location="'Club Colours'!A255" ref="L196"/>
    <hyperlink r:id="rId759" ref="P196"/>
    <hyperlink r:id="rId760" location="'Sources'!A14" ref="J197"/>
    <hyperlink r:id="rId761" ref="K197"/>
    <hyperlink r:id="rId762" location="'Club Colours'!A157" ref="L197"/>
    <hyperlink r:id="rId763" ref="P197"/>
    <hyperlink r:id="rId764" location="'Sources'!A14" ref="J198"/>
    <hyperlink r:id="rId765" ref="K198"/>
    <hyperlink r:id="rId766" location="'Club Colours'!A158" ref="L198"/>
    <hyperlink r:id="rId767" ref="P198"/>
    <hyperlink r:id="rId768" location="'Sources'!A14" ref="J199"/>
    <hyperlink r:id="rId769" ref="K199"/>
    <hyperlink r:id="rId770" location="'Club Colours'!A160" ref="L199"/>
    <hyperlink r:id="rId771" ref="P199"/>
    <hyperlink r:id="rId772" location="'Sources'!A14" ref="J200"/>
    <hyperlink r:id="rId773" ref="K200"/>
    <hyperlink r:id="rId774" location="'Club Colours'!A172" ref="L200"/>
    <hyperlink r:id="rId775" ref="P200"/>
    <hyperlink r:id="rId776" location="'Sources'!A14" ref="J201"/>
    <hyperlink r:id="rId777" ref="K201"/>
    <hyperlink r:id="rId778" location="'Club Colours'!A180" ref="L201"/>
    <hyperlink r:id="rId779" ref="P201"/>
    <hyperlink r:id="rId780" location="'Sources'!A14" ref="J202"/>
    <hyperlink r:id="rId781" ref="K202"/>
    <hyperlink r:id="rId782" location="'Club Colours'!A185" ref="L202"/>
    <hyperlink r:id="rId783" ref="P202"/>
    <hyperlink r:id="rId784" location="'Sources'!A14" ref="J203"/>
    <hyperlink r:id="rId785" ref="K203"/>
    <hyperlink r:id="rId786" location="'Club Colours'!A186" ref="L203"/>
    <hyperlink r:id="rId787" ref="P203"/>
    <hyperlink r:id="rId788" location="'Sources'!A14" ref="J204"/>
    <hyperlink r:id="rId789" ref="K204"/>
    <hyperlink r:id="rId790" location="'Club Colours'!A190" ref="L204"/>
    <hyperlink r:id="rId791" ref="P204"/>
    <hyperlink r:id="rId792" location="'Sources'!A14" ref="J205"/>
    <hyperlink r:id="rId793" ref="K205"/>
    <hyperlink r:id="rId794" location="'Club Colours'!A194" ref="L205"/>
    <hyperlink r:id="rId795" ref="P205"/>
    <hyperlink r:id="rId796" location="'Sources'!A14" ref="J206"/>
    <hyperlink r:id="rId797" ref="K206"/>
    <hyperlink r:id="rId798" location="'Club Colours'!A204" ref="L206"/>
    <hyperlink r:id="rId799" ref="P206"/>
    <hyperlink r:id="rId800" location="'Sources'!A14" ref="J207"/>
    <hyperlink r:id="rId801" ref="K207"/>
    <hyperlink r:id="rId802" location="'Club Colours'!A208" ref="L207"/>
    <hyperlink r:id="rId803" ref="P207"/>
    <hyperlink r:id="rId804" location="'Sources'!A14" ref="J208"/>
    <hyperlink r:id="rId805" ref="K208"/>
    <hyperlink r:id="rId806" location="'Club Colours'!A210" ref="L208"/>
    <hyperlink r:id="rId807" ref="P208"/>
    <hyperlink r:id="rId808" location="'Sources'!A14" ref="J209"/>
    <hyperlink r:id="rId809" ref="K209"/>
    <hyperlink r:id="rId810" location="'Club Colours'!A217" ref="L209"/>
    <hyperlink r:id="rId811" ref="P209"/>
    <hyperlink r:id="rId812" location="'Sources'!A14" ref="J210"/>
    <hyperlink r:id="rId813" ref="K210"/>
    <hyperlink r:id="rId814" location="'Club Colours'!A218" ref="L210"/>
    <hyperlink r:id="rId815" ref="P210"/>
    <hyperlink r:id="rId816" location="'Sources'!A14" ref="J211"/>
    <hyperlink r:id="rId817" ref="K211"/>
    <hyperlink r:id="rId818" location="'Club Colours'!A223" ref="L211"/>
    <hyperlink r:id="rId819" ref="P211"/>
    <hyperlink r:id="rId820" location="'Sources'!A14" ref="J212"/>
    <hyperlink r:id="rId821" ref="K212"/>
    <hyperlink r:id="rId822" location="'Club Colours'!A231" ref="L212"/>
    <hyperlink r:id="rId823" ref="P212"/>
    <hyperlink r:id="rId824" location="'Sources'!A14" ref="J213"/>
    <hyperlink r:id="rId825" ref="K213"/>
    <hyperlink r:id="rId826" location="'Club Colours'!A234" ref="L213"/>
    <hyperlink r:id="rId827" ref="P213"/>
    <hyperlink r:id="rId828" location="'Sources'!A14" ref="J214"/>
    <hyperlink r:id="rId829" ref="K214"/>
    <hyperlink r:id="rId830" location="'Club Colours'!A248" ref="L214"/>
    <hyperlink r:id="rId831" ref="P214"/>
    <hyperlink r:id="rId832" location="'Sources'!A14" ref="J215"/>
    <hyperlink r:id="rId833" ref="K215"/>
    <hyperlink r:id="rId834" location="'Club Colours'!A249" ref="L215"/>
    <hyperlink r:id="rId835" ref="P215"/>
    <hyperlink r:id="rId836" location="'Sources'!A14" ref="J216"/>
    <hyperlink r:id="rId837" ref="K216"/>
    <hyperlink r:id="rId838" location="'Club Colours'!A251" ref="L216"/>
    <hyperlink r:id="rId839" ref="P216"/>
    <hyperlink r:id="rId840" location="'Sources'!A14" ref="J217"/>
    <hyperlink r:id="rId841" ref="K217"/>
    <hyperlink r:id="rId842" location="'Club Colours'!A163" ref="L217"/>
    <hyperlink r:id="rId843" ref="P217"/>
    <hyperlink r:id="rId844" location="'Sources'!A14" ref="J218"/>
    <hyperlink r:id="rId845" ref="K218"/>
    <hyperlink r:id="rId846" location="'Club Colours'!A171" ref="L218"/>
    <hyperlink r:id="rId847" ref="P218"/>
    <hyperlink r:id="rId848" location="'Sources'!A14" ref="J219"/>
    <hyperlink r:id="rId849" ref="K219"/>
    <hyperlink r:id="rId850" location="'Club Colours'!A191" ref="L219"/>
    <hyperlink r:id="rId851" ref="P219"/>
    <hyperlink r:id="rId852" location="'Sources'!A14" ref="J220"/>
    <hyperlink r:id="rId853" ref="K220"/>
    <hyperlink r:id="rId854" location="'Club Colours'!A196" ref="L220"/>
    <hyperlink r:id="rId855" ref="P220"/>
    <hyperlink r:id="rId856" location="'Sources'!A14" ref="J221"/>
    <hyperlink r:id="rId857" ref="K221"/>
    <hyperlink r:id="rId858" location="'Club Colours'!A197" ref="L221"/>
    <hyperlink r:id="rId859" ref="P221"/>
    <hyperlink r:id="rId860" location="'Sources'!A14" ref="J222"/>
    <hyperlink r:id="rId861" ref="K222"/>
    <hyperlink r:id="rId862" location="'Club Colours'!A198" ref="L222"/>
    <hyperlink r:id="rId863" ref="P222"/>
    <hyperlink r:id="rId864" location="'Sources'!A14" ref="J223"/>
    <hyperlink r:id="rId865" ref="K223"/>
    <hyperlink r:id="rId866" location="'Club Colours'!A205" ref="L223"/>
    <hyperlink r:id="rId867" ref="P223"/>
    <hyperlink r:id="rId868" location="'Sources'!A14" ref="J224"/>
    <hyperlink r:id="rId869" ref="K224"/>
    <hyperlink r:id="rId870" location="'Club Colours'!A209" ref="L224"/>
    <hyperlink r:id="rId871" ref="P224"/>
    <hyperlink r:id="rId872" location="'Sources'!A14" ref="J225"/>
    <hyperlink r:id="rId873" ref="K225"/>
    <hyperlink r:id="rId874" location="'Club Colours'!A219" ref="L225"/>
    <hyperlink r:id="rId875" ref="P225"/>
    <hyperlink r:id="rId876" location="'Sources'!A14" ref="J226"/>
    <hyperlink r:id="rId877" ref="K226"/>
    <hyperlink r:id="rId878" location="'Club Colours'!A224" ref="L226"/>
    <hyperlink r:id="rId879" ref="P226"/>
    <hyperlink r:id="rId880" location="'Sources'!A14" ref="J227"/>
    <hyperlink r:id="rId881" ref="K227"/>
    <hyperlink r:id="rId882" location="'Club Colours'!A225" ref="L227"/>
    <hyperlink r:id="rId883" ref="P227"/>
    <hyperlink r:id="rId884" location="'Sources'!A14" ref="J228"/>
    <hyperlink r:id="rId885" ref="K228"/>
    <hyperlink r:id="rId886" location="'Club Colours'!A226" ref="L228"/>
    <hyperlink r:id="rId887" ref="P228"/>
    <hyperlink r:id="rId888" location="'Sources'!A14" ref="J229"/>
    <hyperlink r:id="rId889" ref="K229"/>
    <hyperlink r:id="rId890" location="'Club Colours'!A228" ref="L229"/>
    <hyperlink r:id="rId891" ref="P229"/>
    <hyperlink r:id="rId892" location="'Sources'!A14" ref="J230"/>
    <hyperlink r:id="rId893" ref="K230"/>
    <hyperlink r:id="rId894" location="'Club Colours'!A232" ref="L230"/>
    <hyperlink r:id="rId895" ref="P230"/>
    <hyperlink r:id="rId896" location="'Sources'!A14" ref="J231"/>
    <hyperlink r:id="rId897" ref="K231"/>
    <hyperlink r:id="rId898" location="'Club Colours'!A233" ref="L231"/>
    <hyperlink r:id="rId899" ref="P231"/>
    <hyperlink r:id="rId900" location="'Sources'!A14" ref="J232"/>
    <hyperlink r:id="rId901" ref="K232"/>
    <hyperlink r:id="rId902" location="'Club Colours'!A237" ref="L232"/>
    <hyperlink r:id="rId903" ref="P232"/>
    <hyperlink r:id="rId904" location="'Sources'!A14" ref="J233"/>
    <hyperlink r:id="rId905" ref="K233"/>
    <hyperlink r:id="rId906" location="'Club Colours'!A243" ref="L233"/>
    <hyperlink r:id="rId907" ref="P233"/>
    <hyperlink r:id="rId908" location="'Sources'!A14" ref="J234"/>
    <hyperlink r:id="rId909" ref="K234"/>
    <hyperlink r:id="rId910" location="'Club Colours'!A247" ref="L234"/>
    <hyperlink r:id="rId911" ref="P234"/>
    <hyperlink r:id="rId912" location="'Sources'!A14" ref="J235"/>
    <hyperlink r:id="rId913" ref="K235"/>
    <hyperlink r:id="rId914" location="'Club Colours'!A252" ref="L235"/>
    <hyperlink r:id="rId915" ref="P235"/>
    <hyperlink r:id="rId916" location="'Sources'!A14" ref="J236"/>
    <hyperlink r:id="rId917" ref="K236"/>
    <hyperlink r:id="rId918" location="'Club Colours'!A256" ref="L236"/>
    <hyperlink r:id="rId919" ref="P236"/>
    <hyperlink r:id="rId920" location="'Sources'!A14" ref="J237"/>
    <hyperlink r:id="rId921" ref="K237"/>
    <hyperlink r:id="rId922" location="'Club Colours'!A164" ref="L237"/>
    <hyperlink r:id="rId923" ref="P237"/>
    <hyperlink r:id="rId924" location="'Sources'!A14" ref="J238"/>
    <hyperlink r:id="rId925" ref="K238"/>
    <hyperlink r:id="rId926" location="'Club Colours'!A166" ref="L238"/>
    <hyperlink r:id="rId927" ref="P238"/>
    <hyperlink r:id="rId928" location="'Sources'!A14" ref="J239"/>
    <hyperlink r:id="rId929" ref="K239"/>
    <hyperlink r:id="rId930" location="'Club Colours'!A167" ref="L239"/>
    <hyperlink r:id="rId931" ref="P239"/>
    <hyperlink r:id="rId932" location="'Sources'!A14" ref="J240"/>
    <hyperlink r:id="rId933" ref="K240"/>
    <hyperlink r:id="rId934" location="'Club Colours'!A174" ref="L240"/>
    <hyperlink r:id="rId935" ref="P240"/>
    <hyperlink r:id="rId936" location="'Sources'!A14" ref="J241"/>
    <hyperlink r:id="rId937" ref="K241"/>
    <hyperlink r:id="rId938" location="'Club Colours'!A175" ref="L241"/>
    <hyperlink r:id="rId939" ref="P241"/>
    <hyperlink r:id="rId940" location="'Sources'!A14" ref="J242"/>
    <hyperlink r:id="rId941" ref="K242"/>
    <hyperlink r:id="rId942" location="'Club Colours'!A176" ref="L242"/>
    <hyperlink r:id="rId943" ref="P242"/>
    <hyperlink r:id="rId944" location="'Sources'!A14" ref="J243"/>
    <hyperlink r:id="rId945" ref="K243"/>
    <hyperlink r:id="rId946" location="'Club Colours'!A178" ref="L243"/>
    <hyperlink r:id="rId947" ref="P243"/>
    <hyperlink r:id="rId948" location="'Sources'!A14" ref="J244"/>
    <hyperlink r:id="rId949" ref="K244"/>
    <hyperlink r:id="rId950" location="'Club Colours'!A182" ref="L244"/>
    <hyperlink r:id="rId951" ref="P244"/>
    <hyperlink r:id="rId952" location="'Sources'!A14" ref="J245"/>
    <hyperlink r:id="rId953" ref="K245"/>
    <hyperlink r:id="rId954" location="'Club Colours'!A184" ref="L245"/>
    <hyperlink r:id="rId955" ref="P245"/>
    <hyperlink r:id="rId956" location="'Sources'!A14" ref="J246"/>
    <hyperlink r:id="rId957" ref="K246"/>
    <hyperlink r:id="rId958" location="'Club Colours'!A189" ref="L246"/>
    <hyperlink r:id="rId959" ref="P246"/>
    <hyperlink r:id="rId960" location="'Sources'!A14" ref="J247"/>
    <hyperlink r:id="rId961" ref="K247"/>
    <hyperlink r:id="rId962" location="'Club Colours'!A195" ref="L247"/>
    <hyperlink r:id="rId963" ref="P247"/>
    <hyperlink r:id="rId964" location="'Sources'!A14" ref="J248"/>
    <hyperlink r:id="rId965" ref="K248"/>
    <hyperlink r:id="rId966" location="'Club Colours'!A201" ref="L248"/>
    <hyperlink r:id="rId967" ref="P248"/>
    <hyperlink r:id="rId968" location="'Sources'!A14" ref="J249"/>
    <hyperlink r:id="rId969" ref="K249"/>
    <hyperlink r:id="rId970" location="'Club Colours'!A214" ref="L249"/>
    <hyperlink r:id="rId971" ref="P249"/>
    <hyperlink r:id="rId972" location="'Sources'!A14" ref="J250"/>
    <hyperlink r:id="rId973" ref="K250"/>
    <hyperlink r:id="rId974" location="'Club Colours'!A227" ref="L250"/>
    <hyperlink r:id="rId975" ref="P250"/>
    <hyperlink r:id="rId976" location="'Sources'!A14" ref="J251"/>
    <hyperlink r:id="rId977" ref="K251"/>
    <hyperlink r:id="rId978" location="'Club Colours'!A230" ref="L251"/>
    <hyperlink r:id="rId979" ref="P251"/>
    <hyperlink r:id="rId980" location="'Sources'!A14" ref="J252"/>
    <hyperlink r:id="rId981" ref="K252"/>
    <hyperlink r:id="rId982" location="'Club Colours'!A236" ref="L252"/>
    <hyperlink r:id="rId983" ref="P252"/>
    <hyperlink r:id="rId984" location="'Sources'!A14" ref="J253"/>
    <hyperlink r:id="rId985" ref="K253"/>
    <hyperlink r:id="rId986" location="'Club Colours'!A240" ref="L253"/>
    <hyperlink r:id="rId987" ref="P253"/>
    <hyperlink r:id="rId988" location="'Sources'!A14" ref="J254"/>
    <hyperlink r:id="rId989" ref="K254"/>
    <hyperlink r:id="rId990" location="'Club Colours'!A241" ref="L254"/>
    <hyperlink r:id="rId991" ref="P254"/>
    <hyperlink r:id="rId992" location="'Sources'!A14" ref="J255"/>
    <hyperlink r:id="rId993" ref="K255"/>
    <hyperlink r:id="rId994" location="'Club Colours'!A242" ref="L255"/>
    <hyperlink r:id="rId995" ref="P255"/>
    <hyperlink r:id="rId996" location="'Sources'!A14" ref="J256"/>
    <hyperlink r:id="rId997" ref="K256"/>
    <hyperlink r:id="rId998" location="'Club Colours'!A245" ref="L256"/>
    <hyperlink r:id="rId999" ref="P256"/>
    <hyperlink r:id="rId1000" location="'Sources'!A15" ref="J257"/>
    <hyperlink r:id="rId1001" ref="K257"/>
    <hyperlink r:id="rId1002" location="'Club Colours'!A259" ref="L257"/>
    <hyperlink r:id="rId1003" ref="P257"/>
    <hyperlink r:id="rId1004" location="'Sources'!A15" ref="J258"/>
    <hyperlink r:id="rId1005" ref="K258"/>
    <hyperlink r:id="rId1006" location="'Club Colours'!A265" ref="L258"/>
    <hyperlink r:id="rId1007" ref="P258"/>
    <hyperlink r:id="rId1008" location="'Sources'!A15" ref="J259"/>
    <hyperlink r:id="rId1009" ref="K259"/>
    <hyperlink r:id="rId1010" location="'Club Colours'!A266" ref="L259"/>
    <hyperlink r:id="rId1011" ref="P259"/>
    <hyperlink r:id="rId1012" location="'Sources'!A15" ref="J260"/>
    <hyperlink r:id="rId1013" ref="K260"/>
    <hyperlink r:id="rId1014" location="'Club Colours'!A267" ref="L260"/>
    <hyperlink r:id="rId1015" ref="P260"/>
    <hyperlink r:id="rId1016" location="'Sources'!A15" ref="J261"/>
    <hyperlink r:id="rId1017" ref="K261"/>
    <hyperlink r:id="rId1018" location="'Club Colours'!A268" ref="L261"/>
    <hyperlink r:id="rId1019" ref="P261"/>
    <hyperlink r:id="rId1020" location="'Sources'!A15" ref="J262"/>
    <hyperlink r:id="rId1021" ref="K262"/>
    <hyperlink r:id="rId1022" location="'Club Colours'!A272" ref="L262"/>
    <hyperlink r:id="rId1023" ref="P262"/>
    <hyperlink r:id="rId1024" location="'Sources'!A15" ref="J263"/>
    <hyperlink r:id="rId1025" ref="K263"/>
    <hyperlink r:id="rId1026" location="'Club Colours'!A274" ref="L263"/>
    <hyperlink r:id="rId1027" ref="P263"/>
    <hyperlink r:id="rId1028" location="'Sources'!A15" ref="J264"/>
    <hyperlink r:id="rId1029" ref="K264"/>
    <hyperlink r:id="rId1030" location="'Club Colours'!A280" ref="L264"/>
    <hyperlink r:id="rId1031" ref="P264"/>
    <hyperlink r:id="rId1032" location="'Sources'!A15" ref="J265"/>
    <hyperlink r:id="rId1033" ref="K265"/>
    <hyperlink r:id="rId1034" location="'Club Colours'!A287" ref="L265"/>
    <hyperlink r:id="rId1035" ref="P265"/>
    <hyperlink r:id="rId1036" location="'Sources'!A15" ref="J266"/>
    <hyperlink r:id="rId1037" ref="K266"/>
    <hyperlink r:id="rId1038" location="'Club Colours'!A290" ref="L266"/>
    <hyperlink r:id="rId1039" ref="P266"/>
    <hyperlink r:id="rId1040" location="'Sources'!A15" ref="J267"/>
    <hyperlink r:id="rId1041" ref="K267"/>
    <hyperlink r:id="rId1042" location="'Club Colours'!A292" ref="L267"/>
    <hyperlink r:id="rId1043" ref="P267"/>
    <hyperlink r:id="rId1044" location="'Sources'!A15" ref="J268"/>
    <hyperlink r:id="rId1045" ref="K268"/>
    <hyperlink r:id="rId1046" location="'Club Colours'!A293" ref="L268"/>
    <hyperlink r:id="rId1047" ref="P268"/>
    <hyperlink r:id="rId1048" location="'Sources'!A15" ref="J269"/>
    <hyperlink r:id="rId1049" ref="K269"/>
    <hyperlink r:id="rId1050" location="'Club Colours'!A295" ref="L269"/>
    <hyperlink r:id="rId1051" ref="P269"/>
    <hyperlink r:id="rId1052" location="'Sources'!A15" ref="J270"/>
    <hyperlink r:id="rId1053" ref="K270"/>
    <hyperlink r:id="rId1054" location="'Club Colours'!A297" ref="L270"/>
    <hyperlink r:id="rId1055" ref="P270"/>
    <hyperlink r:id="rId1056" location="'Sources'!A15" ref="J271"/>
    <hyperlink r:id="rId1057" ref="K271"/>
    <hyperlink r:id="rId1058" location="'Club Colours'!A300" ref="L271"/>
    <hyperlink r:id="rId1059" ref="P271"/>
    <hyperlink r:id="rId1060" location="'Sources'!A15" ref="J272"/>
    <hyperlink r:id="rId1061" ref="K272"/>
    <hyperlink r:id="rId1062" location="'Club Colours'!A303" ref="L272"/>
    <hyperlink r:id="rId1063" ref="P272"/>
    <hyperlink r:id="rId1064" location="'Sources'!A15" ref="J273"/>
    <hyperlink r:id="rId1065" ref="K273"/>
    <hyperlink r:id="rId1066" location="'Club Colours'!A304" ref="L273"/>
    <hyperlink r:id="rId1067" ref="P273"/>
    <hyperlink r:id="rId1068" location="'Sources'!A15" ref="J274"/>
    <hyperlink r:id="rId1069" ref="K274"/>
    <hyperlink r:id="rId1070" location="'Club Colours'!A311" ref="L274"/>
    <hyperlink r:id="rId1071" ref="P274"/>
    <hyperlink r:id="rId1072" location="'Sources'!A16" ref="J275"/>
    <hyperlink r:id="rId1073" ref="K275"/>
    <hyperlink r:id="rId1074" location="'Club Colours'!A257" ref="L275"/>
    <hyperlink r:id="rId1075" ref="P275"/>
    <hyperlink r:id="rId1076" location="'Sources'!A16" ref="J276"/>
    <hyperlink r:id="rId1077" ref="K276"/>
    <hyperlink r:id="rId1078" location="'Club Colours'!A258" ref="L276"/>
    <hyperlink r:id="rId1079" ref="P276"/>
    <hyperlink r:id="rId1080" location="'Sources'!A16" ref="J277"/>
    <hyperlink r:id="rId1081" ref="K277"/>
    <hyperlink r:id="rId1082" location="'Club Colours'!A260" ref="L277"/>
    <hyperlink r:id="rId1083" ref="P277"/>
    <hyperlink r:id="rId1084" location="'Sources'!A16" ref="J278"/>
    <hyperlink r:id="rId1085" ref="K278"/>
    <hyperlink r:id="rId1086" location="'Club Colours'!A261" ref="L278"/>
    <hyperlink r:id="rId1087" ref="P278"/>
    <hyperlink r:id="rId1088" location="'Sources'!A16" ref="J279"/>
    <hyperlink r:id="rId1089" ref="K279"/>
    <hyperlink r:id="rId1090" location="'Club Colours'!A264" ref="L279"/>
    <hyperlink r:id="rId1091" ref="P279"/>
    <hyperlink r:id="rId1092" location="'Sources'!A16" ref="J280"/>
    <hyperlink r:id="rId1093" ref="K280"/>
    <hyperlink r:id="rId1094" location="'Club Colours'!A269" ref="L280"/>
    <hyperlink r:id="rId1095" ref="P280"/>
    <hyperlink r:id="rId1096" location="'Sources'!A16" ref="J281"/>
    <hyperlink r:id="rId1097" ref="K281"/>
    <hyperlink r:id="rId1098" location="'Club Colours'!A270" ref="L281"/>
    <hyperlink r:id="rId1099" ref="P281"/>
    <hyperlink r:id="rId1100" location="'Sources'!A16" ref="J282"/>
    <hyperlink r:id="rId1101" ref="K282"/>
    <hyperlink r:id="rId1102" location="'Club Colours'!A271" ref="L282"/>
    <hyperlink r:id="rId1103" ref="P282"/>
    <hyperlink r:id="rId1104" location="'Sources'!A16" ref="J283"/>
    <hyperlink r:id="rId1105" ref="K283"/>
    <hyperlink r:id="rId1106" location="'Club Colours'!A273" ref="L283"/>
    <hyperlink r:id="rId1107" ref="P283"/>
    <hyperlink r:id="rId1108" location="'Sources'!A16" ref="J284"/>
    <hyperlink r:id="rId1109" ref="K284"/>
    <hyperlink r:id="rId1110" location="'Club Colours'!A276" ref="L284"/>
    <hyperlink r:id="rId1111" ref="P284"/>
    <hyperlink r:id="rId1112" location="'Sources'!A16" ref="J285"/>
    <hyperlink r:id="rId1113" ref="K285"/>
    <hyperlink r:id="rId1114" location="'Club Colours'!A279" ref="L285"/>
    <hyperlink r:id="rId1115" ref="P285"/>
    <hyperlink r:id="rId1116" location="'Sources'!A16" ref="J286"/>
    <hyperlink r:id="rId1117" ref="K286"/>
    <hyperlink r:id="rId1118" location="'Club Colours'!A281" ref="L286"/>
    <hyperlink r:id="rId1119" ref="P286"/>
    <hyperlink r:id="rId1120" location="'Sources'!A16" ref="J287"/>
    <hyperlink r:id="rId1121" ref="K287"/>
    <hyperlink r:id="rId1122" location="'Club Colours'!A283" ref="L287"/>
    <hyperlink r:id="rId1123" ref="P287"/>
    <hyperlink r:id="rId1124" location="'Sources'!A16" ref="J288"/>
    <hyperlink r:id="rId1125" ref="K288"/>
    <hyperlink r:id="rId1126" location="'Club Colours'!A284" ref="L288"/>
    <hyperlink r:id="rId1127" ref="P288"/>
    <hyperlink r:id="rId1128" location="'Sources'!A16" ref="J289"/>
    <hyperlink r:id="rId1129" ref="K289"/>
    <hyperlink r:id="rId1130" location="'Club Colours'!A286" ref="L289"/>
    <hyperlink r:id="rId1131" ref="P289"/>
    <hyperlink r:id="rId1132" location="'Sources'!A16" ref="J290"/>
    <hyperlink r:id="rId1133" ref="K290"/>
    <hyperlink r:id="rId1134" location="'Club Colours'!A306" ref="L290"/>
    <hyperlink r:id="rId1135" ref="P290"/>
    <hyperlink r:id="rId1136" location="'Sources'!A16" ref="J291"/>
    <hyperlink r:id="rId1137" ref="K291"/>
    <hyperlink r:id="rId1138" location="'Club Colours'!A307" ref="L291"/>
    <hyperlink r:id="rId1139" ref="P291"/>
    <hyperlink r:id="rId1140" location="'Sources'!A16" ref="J292"/>
    <hyperlink r:id="rId1141" ref="K292"/>
    <hyperlink r:id="rId1142" location="'Club Colours'!A308" ref="L292"/>
    <hyperlink r:id="rId1143" ref="P292"/>
    <hyperlink r:id="rId1144" location="'Sources'!A17" ref="J293"/>
    <hyperlink r:id="rId1145" ref="K293"/>
    <hyperlink r:id="rId1146" location="'Club Colours'!A262" ref="L293"/>
    <hyperlink r:id="rId1147" ref="P293"/>
    <hyperlink r:id="rId1148" location="'Sources'!A17" ref="J294"/>
    <hyperlink r:id="rId1149" ref="K294"/>
    <hyperlink r:id="rId1150" location="'Club Colours'!A263" ref="L294"/>
    <hyperlink r:id="rId1151" ref="P294"/>
    <hyperlink r:id="rId1152" location="'Sources'!A17" ref="J295"/>
    <hyperlink r:id="rId1153" ref="K295"/>
    <hyperlink r:id="rId1154" location="'Club Colours'!A275" ref="L295"/>
    <hyperlink r:id="rId1155" ref="P295"/>
    <hyperlink r:id="rId1156" location="'Sources'!A17" ref="J296"/>
    <hyperlink r:id="rId1157" ref="K296"/>
    <hyperlink r:id="rId1158" location="'Club Colours'!A277" ref="L296"/>
    <hyperlink r:id="rId1159" ref="P296"/>
    <hyperlink r:id="rId1160" location="'Sources'!A17" ref="J297"/>
    <hyperlink r:id="rId1161" ref="K297"/>
    <hyperlink r:id="rId1162" location="'Club Colours'!A278" ref="L297"/>
    <hyperlink r:id="rId1163" ref="P297"/>
    <hyperlink r:id="rId1164" location="'Sources'!A17" ref="J298"/>
    <hyperlink r:id="rId1165" ref="K298"/>
    <hyperlink r:id="rId1166" location="'Club Colours'!A282" ref="L298"/>
    <hyperlink r:id="rId1167" ref="P298"/>
    <hyperlink r:id="rId1168" location="'Sources'!A17" ref="J299"/>
    <hyperlink r:id="rId1169" ref="K299"/>
    <hyperlink r:id="rId1170" location="'Club Colours'!A285" ref="L299"/>
    <hyperlink r:id="rId1171" ref="P299"/>
    <hyperlink r:id="rId1172" location="'Sources'!A17" ref="J300"/>
    <hyperlink r:id="rId1173" ref="K300"/>
    <hyperlink r:id="rId1174" location="'Club Colours'!A288" ref="L300"/>
    <hyperlink r:id="rId1175" ref="P300"/>
    <hyperlink r:id="rId1176" location="'Sources'!A17" ref="J301"/>
    <hyperlink r:id="rId1177" ref="K301"/>
    <hyperlink r:id="rId1178" location="'Club Colours'!A289" ref="L301"/>
    <hyperlink r:id="rId1179" ref="P301"/>
    <hyperlink r:id="rId1180" location="'Sources'!A17" ref="J302"/>
    <hyperlink r:id="rId1181" ref="K302"/>
    <hyperlink r:id="rId1182" location="'Club Colours'!A291" ref="L302"/>
    <hyperlink r:id="rId1183" ref="P302"/>
    <hyperlink r:id="rId1184" location="'Sources'!A17" ref="J303"/>
    <hyperlink r:id="rId1185" ref="K303"/>
    <hyperlink r:id="rId1186" location="'Club Colours'!A294" ref="L303"/>
    <hyperlink r:id="rId1187" ref="P303"/>
    <hyperlink r:id="rId1188" location="'Sources'!A17" ref="J304"/>
    <hyperlink r:id="rId1189" ref="K304"/>
    <hyperlink r:id="rId1190" location="'Club Colours'!A296" ref="L304"/>
    <hyperlink r:id="rId1191" ref="P304"/>
    <hyperlink r:id="rId1192" location="'Sources'!A17" ref="J305"/>
    <hyperlink r:id="rId1193" ref="K305"/>
    <hyperlink r:id="rId1194" location="'Club Colours'!A298" ref="L305"/>
    <hyperlink r:id="rId1195" ref="P305"/>
    <hyperlink r:id="rId1196" location="'Sources'!A17" ref="J306"/>
    <hyperlink r:id="rId1197" ref="K306"/>
    <hyperlink r:id="rId1198" location="'Club Colours'!A299" ref="L306"/>
    <hyperlink r:id="rId1199" ref="P306"/>
    <hyperlink r:id="rId1200" location="'Sources'!A17" ref="J307"/>
    <hyperlink r:id="rId1201" ref="K307"/>
    <hyperlink r:id="rId1202" location="'Club Colours'!A301" ref="L307"/>
    <hyperlink r:id="rId1203" ref="P307"/>
    <hyperlink r:id="rId1204" location="'Sources'!A17" ref="J308"/>
    <hyperlink r:id="rId1205" ref="K308"/>
    <hyperlink r:id="rId1206" location="'Club Colours'!A302" ref="L308"/>
    <hyperlink r:id="rId1207" ref="P308"/>
    <hyperlink r:id="rId1208" location="'Sources'!A17" ref="J309"/>
    <hyperlink r:id="rId1209" ref="K309"/>
    <hyperlink r:id="rId1210" location="'Club Colours'!A305" ref="L309"/>
    <hyperlink r:id="rId1211" ref="P309"/>
    <hyperlink r:id="rId1212" location="'Sources'!A17" ref="J310"/>
    <hyperlink r:id="rId1213" ref="K310"/>
    <hyperlink r:id="rId1214" location="'Club Colours'!A309" ref="L310"/>
    <hyperlink r:id="rId1215" ref="P310"/>
    <hyperlink r:id="rId1216" location="'Sources'!A17" ref="J311"/>
    <hyperlink r:id="rId1217" ref="K311"/>
    <hyperlink r:id="rId1218" location="'Club Colours'!A310" ref="L311"/>
    <hyperlink r:id="rId1219" ref="P311"/>
    <hyperlink r:id="rId1220" location="'Sources'!A17" ref="J312"/>
    <hyperlink r:id="rId1221" ref="K312"/>
    <hyperlink r:id="rId1222" location="'Club Colours'!A312" ref="L312"/>
    <hyperlink r:id="rId1223" ref="P312"/>
    <hyperlink r:id="rId1224" location="'Sources'!A18" ref="J313"/>
    <hyperlink r:id="rId1225" ref="K313"/>
    <hyperlink r:id="rId1226" location="'Club Colours'!A314" ref="L313"/>
    <hyperlink r:id="rId1227" ref="P313"/>
    <hyperlink r:id="rId1228" location="'Sources'!A18" ref="J314"/>
    <hyperlink r:id="rId1229" ref="K314"/>
    <hyperlink r:id="rId1230" location="'Club Colours'!A317" ref="L314"/>
    <hyperlink r:id="rId1231" ref="P314"/>
    <hyperlink r:id="rId1232" location="'Sources'!A18" ref="J315"/>
    <hyperlink r:id="rId1233" ref="K315"/>
    <hyperlink r:id="rId1234" location="'Club Colours'!A321" ref="L315"/>
    <hyperlink r:id="rId1235" ref="P315"/>
    <hyperlink r:id="rId1236" location="'Sources'!A18" ref="J316"/>
    <hyperlink r:id="rId1237" ref="K316"/>
    <hyperlink r:id="rId1238" location="'Club Colours'!A333" ref="L316"/>
    <hyperlink r:id="rId1239" ref="P316"/>
    <hyperlink r:id="rId1240" location="'Sources'!A18" ref="J317"/>
    <hyperlink r:id="rId1241" ref="K317"/>
    <hyperlink r:id="rId1242" location="'Club Colours'!A334" ref="L317"/>
    <hyperlink r:id="rId1243" ref="P317"/>
    <hyperlink r:id="rId1244" location="'Sources'!A18" ref="J318"/>
    <hyperlink r:id="rId1245" ref="K318"/>
    <hyperlink r:id="rId1246" location="'Club Colours'!A336" ref="L318"/>
    <hyperlink r:id="rId1247" ref="P318"/>
    <hyperlink r:id="rId1248" location="'Sources'!A18" ref="J319"/>
    <hyperlink r:id="rId1249" ref="K319"/>
    <hyperlink r:id="rId1250" location="'Club Colours'!A337" ref="L319"/>
    <hyperlink r:id="rId1251" ref="P319"/>
    <hyperlink r:id="rId1252" location="'Sources'!A18" ref="J320"/>
    <hyperlink r:id="rId1253" ref="K320"/>
    <hyperlink r:id="rId1254" location="'Club Colours'!A338" ref="L320"/>
    <hyperlink r:id="rId1255" ref="P320"/>
    <hyperlink r:id="rId1256" location="'Sources'!A18" ref="J321"/>
    <hyperlink r:id="rId1257" ref="K321"/>
    <hyperlink r:id="rId1258" location="'Club Colours'!A339" ref="L321"/>
    <hyperlink r:id="rId1259" ref="P321"/>
    <hyperlink r:id="rId1260" location="'Sources'!A18" ref="J322"/>
    <hyperlink r:id="rId1261" ref="K322"/>
    <hyperlink r:id="rId1262" location="'Club Colours'!A340" ref="L322"/>
    <hyperlink r:id="rId1263" ref="P322"/>
    <hyperlink r:id="rId1264" location="'Sources'!A18" ref="J323"/>
    <hyperlink r:id="rId1265" ref="K323"/>
    <hyperlink r:id="rId1266" location="'Club Colours'!A342" ref="L323"/>
    <hyperlink r:id="rId1267" ref="P323"/>
    <hyperlink r:id="rId1268" location="'Sources'!A18" ref="J324"/>
    <hyperlink r:id="rId1269" ref="K324"/>
    <hyperlink r:id="rId1270" location="'Club Colours'!A346" ref="L324"/>
    <hyperlink r:id="rId1271" ref="P324"/>
    <hyperlink r:id="rId1272" location="'Sources'!A18" ref="J325"/>
    <hyperlink r:id="rId1273" ref="K325"/>
    <hyperlink r:id="rId1274" location="'Club Colours'!A349" ref="L325"/>
    <hyperlink r:id="rId1275" ref="P325"/>
    <hyperlink r:id="rId1276" location="'Sources'!A18" ref="J326"/>
    <hyperlink r:id="rId1277" ref="K326"/>
    <hyperlink r:id="rId1278" location="'Club Colours'!A350" ref="L326"/>
    <hyperlink r:id="rId1279" ref="P326"/>
    <hyperlink r:id="rId1280" location="'Sources'!A18" ref="J327"/>
    <hyperlink r:id="rId1281" ref="K327"/>
    <hyperlink r:id="rId1282" location="'Club Colours'!A355" ref="L327"/>
    <hyperlink r:id="rId1283" ref="P327"/>
    <hyperlink r:id="rId1284" location="'Sources'!A18" ref="J328"/>
    <hyperlink r:id="rId1285" ref="K328"/>
    <hyperlink r:id="rId1286" location="'Club Colours'!A360" ref="L328"/>
    <hyperlink r:id="rId1287" ref="P328"/>
    <hyperlink r:id="rId1288" location="'Sources'!A18" ref="J329"/>
    <hyperlink r:id="rId1289" ref="K329"/>
    <hyperlink r:id="rId1290" location="'Club Colours'!A362" ref="L329"/>
    <hyperlink r:id="rId1291" ref="P329"/>
    <hyperlink r:id="rId1292" location="'Sources'!A18" ref="J330"/>
    <hyperlink r:id="rId1293" ref="K330"/>
    <hyperlink r:id="rId1294" location="'Club Colours'!A363" ref="L330"/>
    <hyperlink r:id="rId1295" ref="P330"/>
    <hyperlink r:id="rId1296" location="'Sources'!A19" ref="J331"/>
    <hyperlink r:id="rId1297" ref="K331"/>
    <hyperlink r:id="rId1298" location="'Club Colours'!A315" ref="L331"/>
    <hyperlink r:id="rId1299" ref="P331"/>
    <hyperlink r:id="rId1300" location="'Sources'!A19" ref="J332"/>
    <hyperlink r:id="rId1301" ref="K332"/>
    <hyperlink r:id="rId1302" location="'Club Colours'!A319" ref="L332"/>
    <hyperlink r:id="rId1303" ref="P332"/>
    <hyperlink r:id="rId1304" location="'Sources'!A19" ref="J333"/>
    <hyperlink r:id="rId1305" ref="K333"/>
    <hyperlink r:id="rId1306" location="'Club Colours'!A324" ref="L333"/>
    <hyperlink r:id="rId1307" ref="P333"/>
    <hyperlink r:id="rId1308" location="'Sources'!A19" ref="J334"/>
    <hyperlink r:id="rId1309" ref="K334"/>
    <hyperlink r:id="rId1310" location="'Club Colours'!A326" ref="L334"/>
    <hyperlink r:id="rId1311" ref="P334"/>
    <hyperlink r:id="rId1312" location="'Sources'!A19" ref="J335"/>
    <hyperlink r:id="rId1313" ref="K335"/>
    <hyperlink r:id="rId1314" location="'Club Colours'!A327" ref="L335"/>
    <hyperlink r:id="rId1315" ref="P335"/>
    <hyperlink r:id="rId1316" location="'Sources'!A19" ref="J336"/>
    <hyperlink r:id="rId1317" ref="K336"/>
    <hyperlink r:id="rId1318" location="'Club Colours'!A329" ref="L336"/>
    <hyperlink r:id="rId1319" ref="P336"/>
    <hyperlink r:id="rId1320" location="'Sources'!A19" ref="J337"/>
    <hyperlink r:id="rId1321" ref="K337"/>
    <hyperlink r:id="rId1322" location="'Club Colours'!A330" ref="L337"/>
    <hyperlink r:id="rId1323" ref="P337"/>
    <hyperlink r:id="rId1324" location="'Sources'!A19" ref="J338"/>
    <hyperlink r:id="rId1325" ref="K338"/>
    <hyperlink r:id="rId1326" location="'Club Colours'!A332" ref="L338"/>
    <hyperlink r:id="rId1327" ref="P338"/>
    <hyperlink r:id="rId1328" location="'Sources'!A19" ref="J339"/>
    <hyperlink r:id="rId1329" ref="K339"/>
    <hyperlink r:id="rId1330" location="'Club Colours'!A341" ref="L339"/>
    <hyperlink r:id="rId1331" ref="P339"/>
    <hyperlink r:id="rId1332" location="'Sources'!A19" ref="J340"/>
    <hyperlink r:id="rId1333" ref="K340"/>
    <hyperlink r:id="rId1334" location="'Club Colours'!A343" ref="L340"/>
    <hyperlink r:id="rId1335" ref="P340"/>
    <hyperlink r:id="rId1336" location="'Sources'!A19" ref="J341"/>
    <hyperlink r:id="rId1337" ref="K341"/>
    <hyperlink r:id="rId1338" location="'Club Colours'!A344" ref="L341"/>
    <hyperlink r:id="rId1339" ref="P341"/>
    <hyperlink r:id="rId1340" location="'Sources'!A19" ref="J342"/>
    <hyperlink r:id="rId1341" ref="K342"/>
    <hyperlink r:id="rId1342" location="'Club Colours'!A345" ref="L342"/>
    <hyperlink r:id="rId1343" ref="P342"/>
    <hyperlink r:id="rId1344" location="'Sources'!A19" ref="J343"/>
    <hyperlink r:id="rId1345" ref="K343"/>
    <hyperlink r:id="rId1346" location="'Club Colours'!A351" ref="L343"/>
    <hyperlink r:id="rId1347" ref="P343"/>
    <hyperlink r:id="rId1348" location="'Sources'!A19" ref="J344"/>
    <hyperlink r:id="rId1349" ref="K344"/>
    <hyperlink r:id="rId1350" location="'Club Colours'!A353" ref="L344"/>
    <hyperlink r:id="rId1351" ref="P344"/>
    <hyperlink r:id="rId1352" location="'Sources'!A19" ref="J345"/>
    <hyperlink r:id="rId1353" ref="K345"/>
    <hyperlink r:id="rId1354" location="'Club Colours'!A354" ref="L345"/>
    <hyperlink r:id="rId1355" ref="P345"/>
    <hyperlink r:id="rId1356" location="'Sources'!A19" ref="J346"/>
    <hyperlink r:id="rId1357" ref="K346"/>
    <hyperlink r:id="rId1358" location="'Club Colours'!A356" ref="L346"/>
    <hyperlink r:id="rId1359" ref="P346"/>
    <hyperlink r:id="rId1360" location="'Sources'!A19" ref="J347"/>
    <hyperlink r:id="rId1361" ref="K347"/>
    <hyperlink r:id="rId1362" location="'Club Colours'!A358" ref="L347"/>
    <hyperlink r:id="rId1363" ref="P347"/>
    <hyperlink r:id="rId1364" location="'Sources'!A19" ref="J348"/>
    <hyperlink r:id="rId1365" ref="K348"/>
    <hyperlink r:id="rId1366" location="'Club Colours'!A359" ref="L348"/>
    <hyperlink r:id="rId1367" ref="P348"/>
    <hyperlink r:id="rId1368" location="'Sources'!A20" ref="J349"/>
    <hyperlink r:id="rId1369" ref="K349"/>
    <hyperlink r:id="rId1370" location="'Club Colours'!A313" ref="L349"/>
    <hyperlink r:id="rId1371" ref="P349"/>
    <hyperlink r:id="rId1372" location="'Sources'!A20" ref="J350"/>
    <hyperlink r:id="rId1373" ref="K350"/>
    <hyperlink r:id="rId1374" location="'Club Colours'!A316" ref="L350"/>
    <hyperlink r:id="rId1375" ref="P350"/>
    <hyperlink r:id="rId1376" location="'Sources'!A20" ref="J351"/>
    <hyperlink r:id="rId1377" ref="K351"/>
    <hyperlink r:id="rId1378" location="'Club Colours'!A318" ref="L351"/>
    <hyperlink r:id="rId1379" ref="P351"/>
    <hyperlink r:id="rId1380" location="'Sources'!A20" ref="J352"/>
    <hyperlink r:id="rId1381" ref="K352"/>
    <hyperlink r:id="rId1382" location="'Club Colours'!A320" ref="L352"/>
    <hyperlink r:id="rId1383" ref="P352"/>
    <hyperlink r:id="rId1384" location="'Sources'!A20" ref="J353"/>
    <hyperlink r:id="rId1385" ref="K353"/>
    <hyperlink r:id="rId1386" location="'Club Colours'!A322" ref="L353"/>
    <hyperlink r:id="rId1387" ref="P353"/>
    <hyperlink r:id="rId1388" location="'Sources'!A20" ref="J354"/>
    <hyperlink r:id="rId1389" ref="K354"/>
    <hyperlink r:id="rId1390" location="'Club Colours'!A323" ref="L354"/>
    <hyperlink r:id="rId1391" ref="P354"/>
    <hyperlink r:id="rId1392" location="'Sources'!A20" ref="J355"/>
    <hyperlink r:id="rId1393" ref="K355"/>
    <hyperlink r:id="rId1394" location="'Club Colours'!A325" ref="L355"/>
    <hyperlink r:id="rId1395" ref="P355"/>
    <hyperlink r:id="rId1396" location="'Sources'!A20" ref="J356"/>
    <hyperlink r:id="rId1397" ref="K356"/>
    <hyperlink r:id="rId1398" location="'Club Colours'!A328" ref="L356"/>
    <hyperlink r:id="rId1399" ref="P356"/>
    <hyperlink r:id="rId1400" location="'Sources'!A20" ref="J357"/>
    <hyperlink r:id="rId1401" ref="K357"/>
    <hyperlink r:id="rId1402" location="'Club Colours'!A331" ref="L357"/>
    <hyperlink r:id="rId1403" ref="P357"/>
    <hyperlink r:id="rId1404" location="'Sources'!A20" ref="J358"/>
    <hyperlink r:id="rId1405" ref="K358"/>
    <hyperlink r:id="rId1406" location="'Club Colours'!A335" ref="L358"/>
    <hyperlink r:id="rId1407" ref="P358"/>
    <hyperlink r:id="rId1408" location="'Sources'!A20" ref="J359"/>
    <hyperlink r:id="rId1409" ref="K359"/>
    <hyperlink r:id="rId1410" location="'Club Colours'!A347" ref="L359"/>
    <hyperlink r:id="rId1411" ref="P359"/>
    <hyperlink r:id="rId1412" location="'Sources'!A20" ref="J360"/>
    <hyperlink r:id="rId1413" ref="K360"/>
    <hyperlink r:id="rId1414" location="'Club Colours'!A348" ref="L360"/>
    <hyperlink r:id="rId1415" ref="P360"/>
    <hyperlink r:id="rId1416" location="'Sources'!A20" ref="J361"/>
    <hyperlink r:id="rId1417" ref="K361"/>
    <hyperlink r:id="rId1418" location="'Club Colours'!A352" ref="L361"/>
    <hyperlink r:id="rId1419" ref="P361"/>
    <hyperlink r:id="rId1420" location="'Sources'!A20" ref="J362"/>
    <hyperlink r:id="rId1421" ref="K362"/>
    <hyperlink r:id="rId1422" location="'Club Colours'!A357" ref="L362"/>
    <hyperlink r:id="rId1423" ref="P362"/>
    <hyperlink r:id="rId1424" location="'Sources'!A20" ref="J363"/>
    <hyperlink r:id="rId1425" ref="K363"/>
    <hyperlink r:id="rId1426" location="'Club Colours'!A361" ref="L363"/>
    <hyperlink r:id="rId1427" ref="P363"/>
    <hyperlink r:id="rId1428" location="'Sources'!A20" ref="J364"/>
    <hyperlink r:id="rId1429" ref="K364"/>
    <hyperlink r:id="rId1430" location="'Club Colours'!A364" ref="L364"/>
    <hyperlink r:id="rId1431" ref="P364"/>
    <hyperlink r:id="rId1432" location="'Sources'!A20" ref="J365"/>
    <hyperlink r:id="rId1433" ref="K365"/>
    <hyperlink r:id="rId1434" location="'Club Colours'!A365" ref="L365"/>
    <hyperlink r:id="rId1435" ref="P365"/>
    <hyperlink r:id="rId1436" location="'Sources'!A20" ref="J366"/>
    <hyperlink r:id="rId1437" ref="K366"/>
    <hyperlink r:id="rId1438" location="'Club Colours'!A366" ref="L366"/>
    <hyperlink r:id="rId1439" ref="P366"/>
    <hyperlink r:id="rId1440" location="'Sources'!A22" ref="J367"/>
    <hyperlink r:id="rId1441" ref="K367"/>
    <hyperlink r:id="rId1442" location="'Club Colours'!A384" ref="L367"/>
    <hyperlink r:id="rId1443" ref="P367"/>
    <hyperlink r:id="rId1444" location="'Sources'!A22" ref="J368"/>
    <hyperlink r:id="rId1445" ref="K368"/>
    <hyperlink r:id="rId1446" location="'Club Colours'!A389" ref="L368"/>
    <hyperlink r:id="rId1447" ref="P368"/>
    <hyperlink r:id="rId1448" location="'Sources'!A22" ref="J369"/>
    <hyperlink r:id="rId1449" ref="K369"/>
    <hyperlink r:id="rId1450" location="'Club Colours'!A401" ref="L369"/>
    <hyperlink r:id="rId1451" ref="P369"/>
    <hyperlink r:id="rId1452" location="'Sources'!A22" ref="J370"/>
    <hyperlink r:id="rId1453" ref="K370"/>
    <hyperlink r:id="rId1454" location="'Club Colours'!A417" ref="L370"/>
    <hyperlink r:id="rId1455" ref="P370"/>
    <hyperlink r:id="rId1456" location="'Sources'!A22" ref="J371"/>
    <hyperlink r:id="rId1457" ref="K371"/>
    <hyperlink r:id="rId1458" location="'Club Colours'!A421" ref="L371"/>
    <hyperlink r:id="rId1459" ref="P371"/>
    <hyperlink r:id="rId1460" location="'Sources'!A22" ref="J372"/>
    <hyperlink r:id="rId1461" ref="K372"/>
    <hyperlink r:id="rId1462" location="'Club Colours'!A422" ref="L372"/>
    <hyperlink r:id="rId1463" ref="P372"/>
    <hyperlink r:id="rId1464" location="'Sources'!A22" ref="J373"/>
    <hyperlink r:id="rId1465" ref="K373"/>
    <hyperlink r:id="rId1466" location="'Club Colours'!A426" ref="L373"/>
    <hyperlink r:id="rId1467" ref="P373"/>
    <hyperlink r:id="rId1468" location="'Sources'!A22" ref="J374"/>
    <hyperlink r:id="rId1469" ref="K374"/>
    <hyperlink r:id="rId1470" location="'Club Colours'!A429" ref="L374"/>
    <hyperlink r:id="rId1471" ref="P374"/>
    <hyperlink r:id="rId1472" location="'Sources'!A22" ref="J375"/>
    <hyperlink r:id="rId1473" ref="K375"/>
    <hyperlink r:id="rId1474" location="'Club Colours'!A431" ref="L375"/>
    <hyperlink r:id="rId1475" ref="P375"/>
    <hyperlink r:id="rId1476" location="'Sources'!A22" ref="J376"/>
    <hyperlink r:id="rId1477" ref="K376"/>
    <hyperlink r:id="rId1478" location="'Club Colours'!A455" ref="L376"/>
    <hyperlink r:id="rId1479" ref="P376"/>
    <hyperlink r:id="rId1480" location="'Sources'!A22" ref="J377"/>
    <hyperlink r:id="rId1481" ref="K377"/>
    <hyperlink r:id="rId1482" location="'Club Colours'!A459" ref="L377"/>
    <hyperlink r:id="rId1483" ref="P377"/>
    <hyperlink r:id="rId1484" location="'Sources'!A22" ref="J378"/>
    <hyperlink r:id="rId1485" ref="K378"/>
    <hyperlink r:id="rId1486" location="'Club Colours'!A468" ref="L378"/>
    <hyperlink r:id="rId1487" ref="P378"/>
    <hyperlink r:id="rId1488" location="'Sources'!A22" ref="J379"/>
    <hyperlink r:id="rId1489" ref="K379"/>
    <hyperlink r:id="rId1490" location="'Club Colours'!A473" ref="L379"/>
    <hyperlink r:id="rId1491" ref="P379"/>
    <hyperlink r:id="rId1492" location="'Sources'!A22" ref="J380"/>
    <hyperlink r:id="rId1493" ref="K380"/>
    <hyperlink r:id="rId1494" location="'Club Colours'!A489" ref="L380"/>
    <hyperlink r:id="rId1495" ref="P380"/>
    <hyperlink r:id="rId1496" location="'Sources'!A22" ref="J381"/>
    <hyperlink r:id="rId1497" ref="K381"/>
    <hyperlink r:id="rId1498" location="'Club Colours'!A490" ref="L381"/>
    <hyperlink r:id="rId1499" ref="P381"/>
    <hyperlink r:id="rId1500" location="'Sources'!A22" ref="J382"/>
    <hyperlink r:id="rId1501" ref="K382"/>
    <hyperlink r:id="rId1502" location="'Club Colours'!A493" ref="L382"/>
    <hyperlink r:id="rId1503" ref="P382"/>
    <hyperlink r:id="rId1504" location="'Sources'!A23" ref="J383"/>
    <hyperlink r:id="rId1505" ref="K383"/>
    <hyperlink r:id="rId1506" location="'Club Colours'!A376" ref="N383"/>
    <hyperlink r:id="rId1507" location="'Sources'!A23" ref="J384"/>
    <hyperlink r:id="rId1508" ref="K384"/>
    <hyperlink r:id="rId1509" location="'Club Colours'!A382" ref="N384"/>
    <hyperlink r:id="rId1510" location="'Sources'!A23" ref="J385"/>
    <hyperlink r:id="rId1511" ref="K385"/>
    <hyperlink r:id="rId1512" location="'Club Colours'!A385" ref="L385"/>
    <hyperlink r:id="rId1513" ref="P385"/>
    <hyperlink r:id="rId1514" location="'Sources'!A23" ref="J386"/>
    <hyperlink r:id="rId1515" ref="K386"/>
    <hyperlink r:id="rId1516" location="'Club Colours'!A387" ref="L386"/>
    <hyperlink r:id="rId1517" ref="P386"/>
    <hyperlink r:id="rId1518" location="'Sources'!A23" ref="J387"/>
    <hyperlink r:id="rId1519" ref="K387"/>
    <hyperlink r:id="rId1520" location="'Club Colours'!A391" ref="L387"/>
    <hyperlink r:id="rId1521" ref="P387"/>
    <hyperlink r:id="rId1522" location="'Sources'!A23" ref="J388"/>
    <hyperlink r:id="rId1523" ref="K388"/>
    <hyperlink r:id="rId1524" location="'Club Colours'!A394" ref="L388"/>
    <hyperlink r:id="rId1525" ref="P388"/>
    <hyperlink r:id="rId1526" location="'Sources'!A23" ref="J389"/>
    <hyperlink r:id="rId1527" ref="K389"/>
    <hyperlink r:id="rId1528" location="'Club Colours'!A399" ref="L389"/>
    <hyperlink r:id="rId1529" ref="P389"/>
    <hyperlink r:id="rId1530" location="'Sources'!A23" ref="J390"/>
    <hyperlink r:id="rId1531" ref="K390"/>
    <hyperlink r:id="rId1532" location="'Club Colours'!A400" ref="L390"/>
    <hyperlink r:id="rId1533" ref="P390"/>
    <hyperlink r:id="rId1534" location="'Sources'!A23" ref="J391"/>
    <hyperlink r:id="rId1535" ref="K391"/>
    <hyperlink r:id="rId1536" location="'Club Colours'!A402" ref="N391"/>
    <hyperlink r:id="rId1537" location="'Sources'!A23" ref="J392"/>
    <hyperlink r:id="rId1538" ref="K392"/>
    <hyperlink r:id="rId1539" location="'Club Colours'!A407" ref="L392"/>
    <hyperlink r:id="rId1540" ref="P392"/>
    <hyperlink r:id="rId1541" location="'Sources'!A23" ref="J393"/>
    <hyperlink r:id="rId1542" ref="K393"/>
    <hyperlink r:id="rId1543" location="'Club Colours'!A410" ref="L393"/>
    <hyperlink r:id="rId1544" ref="P393"/>
    <hyperlink r:id="rId1545" location="'Sources'!A23" ref="J394"/>
    <hyperlink r:id="rId1546" ref="K394"/>
    <hyperlink r:id="rId1547" location="'Club Colours'!A423" ref="N394"/>
    <hyperlink r:id="rId1548" location="'Sources'!A23" ref="J395"/>
    <hyperlink r:id="rId1549" ref="K395"/>
    <hyperlink r:id="rId1550" location="'Club Colours'!A425" ref="L395"/>
    <hyperlink r:id="rId1551" ref="P395"/>
    <hyperlink r:id="rId1552" location="'Sources'!A23" ref="J396"/>
    <hyperlink r:id="rId1553" ref="K396"/>
    <hyperlink r:id="rId1554" location="'Club Colours'!A435" ref="N396"/>
    <hyperlink r:id="rId1555" location="'Sources'!A23" ref="J397"/>
    <hyperlink r:id="rId1556" ref="K397"/>
    <hyperlink r:id="rId1557" location="'Club Colours'!A437" ref="L397"/>
    <hyperlink r:id="rId1558" ref="P397"/>
    <hyperlink r:id="rId1559" location="'Sources'!A23" ref="J398"/>
    <hyperlink r:id="rId1560" ref="K398"/>
    <hyperlink r:id="rId1561" location="'Club Colours'!A444" ref="N398"/>
    <hyperlink r:id="rId1562" location="'Sources'!A23" ref="J399"/>
    <hyperlink r:id="rId1563" ref="K399"/>
    <hyperlink r:id="rId1564" location="'Club Colours'!A445" ref="N399"/>
    <hyperlink r:id="rId1565" location="'Sources'!A23" ref="J400"/>
    <hyperlink r:id="rId1566" ref="K400"/>
    <hyperlink r:id="rId1567" location="'Club Colours'!A460" ref="L400"/>
    <hyperlink r:id="rId1568" ref="P400"/>
    <hyperlink r:id="rId1569" location="'Sources'!A23" ref="J401"/>
    <hyperlink r:id="rId1570" ref="K401"/>
    <hyperlink r:id="rId1571" location="'Club Colours'!A470" ref="L401"/>
    <hyperlink r:id="rId1572" ref="P401"/>
    <hyperlink r:id="rId1573" location="'Sources'!A23" ref="J402"/>
    <hyperlink r:id="rId1574" ref="K402"/>
    <hyperlink r:id="rId1575" location="'Club Colours'!A471" ref="N402"/>
    <hyperlink r:id="rId1576" location="'Sources'!A23" ref="J403"/>
    <hyperlink r:id="rId1577" ref="K403"/>
    <hyperlink r:id="rId1578" location="'Club Colours'!A476" ref="L403"/>
    <hyperlink r:id="rId1579" ref="P403"/>
    <hyperlink r:id="rId1580" location="'Sources'!A23" ref="J404"/>
    <hyperlink r:id="rId1581" ref="K404"/>
    <hyperlink r:id="rId1582" location="'Club Colours'!A486" ref="L404"/>
    <hyperlink r:id="rId1583" ref="P404"/>
    <hyperlink r:id="rId1584" location="'Sources'!A24" ref="J405"/>
    <hyperlink r:id="rId1585" ref="K405"/>
    <hyperlink r:id="rId1586" location="'Club Colours'!A371" ref="N405"/>
    <hyperlink r:id="rId1587" location="'Sources'!A24" ref="J406"/>
    <hyperlink r:id="rId1588" ref="K406"/>
    <hyperlink r:id="rId1589" location="'Club Colours'!A373" ref="L406"/>
    <hyperlink r:id="rId1590" ref="P406"/>
    <hyperlink r:id="rId1591" location="'Sources'!A24" ref="J407"/>
    <hyperlink r:id="rId1592" ref="K407"/>
    <hyperlink r:id="rId1593" location="'Club Colours'!A374" ref="N407"/>
    <hyperlink r:id="rId1594" location="'Sources'!A24" ref="J408"/>
    <hyperlink r:id="rId1595" ref="K408"/>
    <hyperlink r:id="rId1596" location="'Club Colours'!A379" ref="N408"/>
    <hyperlink r:id="rId1597" location="'Sources'!A24" ref="J409"/>
    <hyperlink r:id="rId1598" ref="K409"/>
    <hyperlink r:id="rId1599" location="'Club Colours'!A381" ref="L409"/>
    <hyperlink r:id="rId1600" ref="P409"/>
    <hyperlink r:id="rId1601" location="'Sources'!A24" ref="J410"/>
    <hyperlink r:id="rId1602" ref="K410"/>
    <hyperlink r:id="rId1603" location="'Club Colours'!A396" ref="N410"/>
    <hyperlink r:id="rId1604" location="'Sources'!A24" ref="J411"/>
    <hyperlink r:id="rId1605" ref="K411"/>
    <hyperlink r:id="rId1606" location="'Club Colours'!A403" ref="N411"/>
    <hyperlink r:id="rId1607" location="'Sources'!A24" ref="J412"/>
    <hyperlink r:id="rId1608" ref="K412"/>
    <hyperlink r:id="rId1609" location="'Club Colours'!A406" ref="N412"/>
    <hyperlink r:id="rId1610" location="'Sources'!A24" ref="J413"/>
    <hyperlink r:id="rId1611" ref="K413"/>
    <hyperlink r:id="rId1612" location="'Club Colours'!A413" ref="N413"/>
    <hyperlink r:id="rId1613" location="'Sources'!A24" ref="J414"/>
    <hyperlink r:id="rId1614" ref="K414"/>
    <hyperlink r:id="rId1615" location="'Club Colours'!A424" ref="N414"/>
    <hyperlink r:id="rId1616" location="'Sources'!A24" ref="J415"/>
    <hyperlink r:id="rId1617" ref="K415"/>
    <hyperlink r:id="rId1618" location="'Club Colours'!A442" ref="L415"/>
    <hyperlink r:id="rId1619" ref="P415"/>
    <hyperlink r:id="rId1620" location="'Sources'!A24" ref="J416"/>
    <hyperlink r:id="rId1621" ref="K416"/>
    <hyperlink r:id="rId1622" location="'Club Colours'!A497" ref="N416"/>
    <hyperlink r:id="rId1623" location="'Sources'!A24" ref="J417"/>
    <hyperlink r:id="rId1624" ref="K417"/>
    <hyperlink r:id="rId1625" location="'Club Colours'!A370" ref="L417"/>
    <hyperlink r:id="rId1626" ref="P417"/>
    <hyperlink r:id="rId1627" location="'Sources'!A24" ref="J418"/>
    <hyperlink r:id="rId1628" ref="K418"/>
    <hyperlink r:id="rId1629" location="'Club Colours'!A380" ref="N418"/>
    <hyperlink r:id="rId1630" location="'Sources'!A24" ref="J419"/>
    <hyperlink r:id="rId1631" ref="K419"/>
    <hyperlink r:id="rId1632" location="'Club Colours'!A388" ref="N419"/>
    <hyperlink r:id="rId1633" location="'Sources'!A24" ref="J420"/>
    <hyperlink r:id="rId1634" ref="K420"/>
    <hyperlink r:id="rId1635" location="'Club Colours'!A411" ref="L420"/>
    <hyperlink r:id="rId1636" ref="P420"/>
    <hyperlink r:id="rId1637" location="'Sources'!A24" ref="J421"/>
    <hyperlink r:id="rId1638" ref="K421"/>
    <hyperlink r:id="rId1639" location="'Club Colours'!A414" ref="N421"/>
    <hyperlink r:id="rId1640" location="'Sources'!A24" ref="J422"/>
    <hyperlink r:id="rId1641" ref="K422"/>
    <hyperlink r:id="rId1642" location="'Club Colours'!A439" ref="N422"/>
    <hyperlink r:id="rId1643" location="'Sources'!A24" ref="J423"/>
    <hyperlink r:id="rId1644" ref="K423"/>
    <hyperlink r:id="rId1645" location="'Club Colours'!A441" ref="N423"/>
    <hyperlink r:id="rId1646" location="'Sources'!A24" ref="J424"/>
    <hyperlink r:id="rId1647" ref="K424"/>
    <hyperlink r:id="rId1648" location="'Club Colours'!A449" ref="N424"/>
    <hyperlink r:id="rId1649" location="'Sources'!A24" ref="J425"/>
    <hyperlink r:id="rId1650" ref="K425"/>
    <hyperlink r:id="rId1651" location="'Club Colours'!A451" ref="N425"/>
    <hyperlink r:id="rId1652" location="'Sources'!A24" ref="J426"/>
    <hyperlink r:id="rId1653" ref="K426"/>
    <hyperlink r:id="rId1654" location="'Club Colours'!A474" ref="L426"/>
    <hyperlink r:id="rId1655" ref="P426"/>
    <hyperlink r:id="rId1656" location="'Sources'!A24" ref="J427"/>
    <hyperlink r:id="rId1657" ref="K427"/>
    <hyperlink r:id="rId1658" location="'Club Colours'!A478" ref="N427"/>
    <hyperlink r:id="rId1659" location="'Sources'!A24" ref="J428"/>
    <hyperlink r:id="rId1660" ref="K428"/>
    <hyperlink r:id="rId1661" location="'Club Colours'!A481" ref="N428"/>
    <hyperlink r:id="rId1662" location="'Sources'!A24" ref="J429"/>
    <hyperlink r:id="rId1663" ref="K429"/>
    <hyperlink r:id="rId1664" location="'Club Colours'!A393" ref="N429"/>
    <hyperlink r:id="rId1665" location="'Sources'!A24" ref="J430"/>
    <hyperlink r:id="rId1666" ref="K430"/>
    <hyperlink r:id="rId1667" location="'Club Colours'!A397" ref="N430"/>
    <hyperlink r:id="rId1668" location="'Sources'!A24" ref="J431"/>
    <hyperlink r:id="rId1669" ref="K431"/>
    <hyperlink r:id="rId1670" location="'Club Colours'!A398" ref="N431"/>
    <hyperlink r:id="rId1671" location="'Sources'!A24" ref="J432"/>
    <hyperlink r:id="rId1672" ref="K432"/>
    <hyperlink r:id="rId1673" location="'Club Colours'!A408" ref="N432"/>
    <hyperlink r:id="rId1674" location="'Sources'!A24" ref="J433"/>
    <hyperlink r:id="rId1675" ref="K433"/>
    <hyperlink r:id="rId1676" location="'Club Colours'!A415" ref="N433"/>
    <hyperlink r:id="rId1677" location="'Sources'!A24" ref="J434"/>
    <hyperlink r:id="rId1678" ref="K434"/>
    <hyperlink r:id="rId1679" location="'Club Colours'!A427" ref="N434"/>
    <hyperlink r:id="rId1680" location="'Sources'!A24" ref="J435"/>
    <hyperlink r:id="rId1681" ref="K435"/>
    <hyperlink r:id="rId1682" location="'Club Colours'!A433" ref="N435"/>
    <hyperlink r:id="rId1683" location="'Sources'!A24" ref="J436"/>
    <hyperlink r:id="rId1684" ref="K436"/>
    <hyperlink r:id="rId1685" location="'Club Colours'!A457" ref="N436"/>
    <hyperlink r:id="rId1686" location="'Sources'!A24" ref="J437"/>
    <hyperlink r:id="rId1687" ref="K437"/>
    <hyperlink r:id="rId1688" location="'Club Colours'!A463" ref="N437"/>
    <hyperlink r:id="rId1689" location="'Sources'!A24" ref="J438"/>
    <hyperlink r:id="rId1690" ref="K438"/>
    <hyperlink r:id="rId1691" location="'Club Colours'!A492" ref="N438"/>
    <hyperlink r:id="rId1692" location="'Sources'!A24" ref="J439"/>
    <hyperlink r:id="rId1693" ref="K439"/>
    <hyperlink r:id="rId1694" location="'Club Colours'!A496" ref="N439"/>
    <hyperlink r:id="rId1695" location="'Sources'!A24" ref="J440"/>
    <hyperlink r:id="rId1696" ref="K440"/>
    <hyperlink r:id="rId1697" location="'Club Colours'!A498" ref="N440"/>
    <hyperlink r:id="rId1698" location="'Sources'!A24" ref="J441"/>
    <hyperlink r:id="rId1699" ref="K441"/>
    <hyperlink r:id="rId1700" location="'Club Colours'!A375" ref="N441"/>
    <hyperlink r:id="rId1701" location="'Sources'!A24" ref="J442"/>
    <hyperlink r:id="rId1702" ref="K442"/>
    <hyperlink r:id="rId1703" location="'Club Colours'!A377" ref="N442"/>
    <hyperlink r:id="rId1704" location="'Sources'!A24" ref="J443"/>
    <hyperlink r:id="rId1705" ref="K443"/>
    <hyperlink r:id="rId1706" location="'Club Colours'!A392" ref="N443"/>
    <hyperlink r:id="rId1707" location="'Sources'!A24" ref="J444"/>
    <hyperlink r:id="rId1708" ref="K444"/>
    <hyperlink r:id="rId1709" location="'Club Colours'!A419" ref="L444"/>
    <hyperlink r:id="rId1710" ref="P444"/>
    <hyperlink r:id="rId1711" location="'Sources'!A24" ref="J445"/>
    <hyperlink r:id="rId1712" ref="K445"/>
    <hyperlink r:id="rId1713" location="'Club Colours'!A436" ref="N445"/>
    <hyperlink r:id="rId1714" location="'Sources'!A24" ref="J446"/>
    <hyperlink r:id="rId1715" ref="K446"/>
    <hyperlink r:id="rId1716" location="'Club Colours'!A456" ref="L446"/>
    <hyperlink r:id="rId1717" ref="P446"/>
    <hyperlink r:id="rId1718" location="'Sources'!A24" ref="J447"/>
    <hyperlink r:id="rId1719" ref="K447"/>
    <hyperlink r:id="rId1720" location="'Club Colours'!A462" ref="N447"/>
    <hyperlink r:id="rId1721" location="'Sources'!A24" ref="J448"/>
    <hyperlink r:id="rId1722" ref="K448"/>
    <hyperlink r:id="rId1723" location="'Club Colours'!A464" ref="N448"/>
    <hyperlink r:id="rId1724" location="'Sources'!A24" ref="J449"/>
    <hyperlink r:id="rId1725" ref="K449"/>
    <hyperlink r:id="rId1726" location="'Club Colours'!A469" ref="N449"/>
    <hyperlink r:id="rId1727" location="'Sources'!A24" ref="J450"/>
    <hyperlink r:id="rId1728" ref="K450"/>
    <hyperlink r:id="rId1729" location="'Club Colours'!A475" ref="N450"/>
    <hyperlink r:id="rId1730" location="'Sources'!A24" ref="J451"/>
    <hyperlink r:id="rId1731" ref="K451"/>
    <hyperlink r:id="rId1732" location="'Club Colours'!A484" ref="N451"/>
    <hyperlink r:id="rId1733" location="'Sources'!A24" ref="J452"/>
    <hyperlink r:id="rId1734" ref="K452"/>
    <hyperlink r:id="rId1735" location="'Club Colours'!A500" ref="N452"/>
    <hyperlink r:id="rId1736" location="'Sources'!A25" ref="J453"/>
    <hyperlink r:id="rId1737" ref="K453"/>
    <hyperlink r:id="rId1738" location="'Club Colours'!A369" ref="N453"/>
    <hyperlink r:id="rId1739" location="'Sources'!A25" ref="J454"/>
    <hyperlink r:id="rId1740" ref="K454"/>
    <hyperlink r:id="rId1741" location="'Club Colours'!A383" ref="N454"/>
    <hyperlink r:id="rId1742" location="'Sources'!A25" ref="J455"/>
    <hyperlink r:id="rId1743" ref="K455"/>
    <hyperlink r:id="rId1744" location="'Club Colours'!A404" ref="N455"/>
    <hyperlink r:id="rId1745" location="'Sources'!A25" ref="J456"/>
    <hyperlink r:id="rId1746" ref="K456"/>
    <hyperlink r:id="rId1747" location="'Club Colours'!A418" ref="L456"/>
    <hyperlink r:id="rId1748" ref="P456"/>
    <hyperlink r:id="rId1749" location="'Sources'!A25" ref="J457"/>
    <hyperlink r:id="rId1750" ref="K457"/>
    <hyperlink r:id="rId1751" location="'Club Colours'!A420" ref="N457"/>
    <hyperlink r:id="rId1752" location="'Sources'!A25" ref="J458"/>
    <hyperlink r:id="rId1753" ref="K458"/>
    <hyperlink r:id="rId1754" location="'Club Colours'!A430" ref="L458"/>
    <hyperlink r:id="rId1755" ref="P458"/>
    <hyperlink r:id="rId1756" location="'Sources'!A25" ref="J459"/>
    <hyperlink r:id="rId1757" ref="K459"/>
    <hyperlink r:id="rId1758" location="'Club Colours'!A432" ref="L459"/>
    <hyperlink r:id="rId1759" ref="P459"/>
    <hyperlink r:id="rId1760" location="'Sources'!A25" ref="J460"/>
    <hyperlink r:id="rId1761" ref="K460"/>
    <hyperlink r:id="rId1762" location="'Club Colours'!A438" ref="N460"/>
    <hyperlink r:id="rId1763" location="'Sources'!A25" ref="J461"/>
    <hyperlink r:id="rId1764" ref="K461"/>
    <hyperlink r:id="rId1765" location="'Club Colours'!A453" ref="N461"/>
    <hyperlink r:id="rId1766" location="'Sources'!A25" ref="J462"/>
    <hyperlink r:id="rId1767" ref="K462"/>
    <hyperlink r:id="rId1768" location="'Club Colours'!A454" ref="N462"/>
    <hyperlink r:id="rId1769" location="'Sources'!A25" ref="J463"/>
    <hyperlink r:id="rId1770" ref="K463"/>
    <hyperlink r:id="rId1771" location="'Club Colours'!A465" ref="N463"/>
    <hyperlink r:id="rId1772" location="'Sources'!A25" ref="J464"/>
    <hyperlink r:id="rId1773" ref="K464"/>
    <hyperlink r:id="rId1774" location="'Club Colours'!A467" ref="N464"/>
    <hyperlink r:id="rId1775" location="'Sources'!A25" ref="J465"/>
    <hyperlink r:id="rId1776" ref="K465"/>
    <hyperlink r:id="rId1777" location="'Club Colours'!A367" ref="N465"/>
    <hyperlink r:id="rId1778" location="'Sources'!A25" ref="J466"/>
    <hyperlink r:id="rId1779" ref="K466"/>
    <hyperlink r:id="rId1780" location="'Club Colours'!A372" ref="L466"/>
    <hyperlink r:id="rId1781" ref="P466"/>
    <hyperlink r:id="rId1782" location="'Sources'!A25" ref="J467"/>
    <hyperlink r:id="rId1783" ref="K467"/>
    <hyperlink r:id="rId1784" location="'Club Colours'!A395" ref="N467"/>
    <hyperlink r:id="rId1785" location="'Sources'!A25" ref="J468"/>
    <hyperlink r:id="rId1786" ref="K468"/>
    <hyperlink r:id="rId1787" location="'Club Colours'!A412" ref="N468"/>
    <hyperlink r:id="rId1788" location="'Sources'!A25" ref="J469"/>
    <hyperlink r:id="rId1789" ref="K469"/>
    <hyperlink r:id="rId1790" location="'Club Colours'!A428" ref="N469"/>
    <hyperlink r:id="rId1791" location="'Sources'!A25" ref="J470"/>
    <hyperlink r:id="rId1792" ref="K470"/>
    <hyperlink r:id="rId1793" location="'Club Colours'!A440" ref="L470"/>
    <hyperlink r:id="rId1794" ref="P470"/>
    <hyperlink r:id="rId1795" location="'Sources'!A25" ref="J471"/>
    <hyperlink r:id="rId1796" ref="K471"/>
    <hyperlink r:id="rId1797" location="'Club Colours'!A448" ref="L471"/>
    <hyperlink r:id="rId1798" ref="P471"/>
    <hyperlink r:id="rId1799" location="'Sources'!A25" ref="J472"/>
    <hyperlink r:id="rId1800" ref="K472"/>
    <hyperlink r:id="rId1801" location="'Club Colours'!A452" ref="N472"/>
    <hyperlink r:id="rId1802" location="'Sources'!A25" ref="J473"/>
    <hyperlink r:id="rId1803" ref="K473"/>
    <hyperlink r:id="rId1804" location="'Club Colours'!A458" ref="N473"/>
    <hyperlink r:id="rId1805" location="'Sources'!A25" ref="J474"/>
    <hyperlink r:id="rId1806" ref="K474"/>
    <hyperlink r:id="rId1807" location="'Club Colours'!A483" ref="N474"/>
    <hyperlink r:id="rId1808" location="'Sources'!A25" ref="J475"/>
    <hyperlink r:id="rId1809" ref="K475"/>
    <hyperlink r:id="rId1810" location="'Club Colours'!A491" ref="L475"/>
    <hyperlink r:id="rId1811" ref="P475"/>
    <hyperlink r:id="rId1812" location="'Sources'!A25" ref="J476"/>
    <hyperlink r:id="rId1813" ref="K476"/>
    <hyperlink r:id="rId1814" location="'Club Colours'!A499" ref="N476"/>
    <hyperlink r:id="rId1815" location="'Sources'!A25" ref="J477"/>
    <hyperlink r:id="rId1816" ref="K477"/>
    <hyperlink r:id="rId1817" location="'Club Colours'!A386" ref="N477"/>
    <hyperlink r:id="rId1818" location="'Sources'!A25" ref="J478"/>
    <hyperlink r:id="rId1819" ref="K478"/>
    <hyperlink r:id="rId1820" location="'Club Colours'!A405" ref="N478"/>
    <hyperlink r:id="rId1821" location="'Sources'!A25" ref="J479"/>
    <hyperlink r:id="rId1822" ref="K479"/>
    <hyperlink r:id="rId1823" location="'Club Colours'!A416" ref="N479"/>
    <hyperlink r:id="rId1824" location="'Sources'!A25" ref="J480"/>
    <hyperlink r:id="rId1825" ref="K480"/>
    <hyperlink r:id="rId1826" location="'Club Colours'!A434" ref="N480"/>
    <hyperlink r:id="rId1827" location="'Sources'!A25" ref="J481"/>
    <hyperlink r:id="rId1828" ref="K481"/>
    <hyperlink r:id="rId1829" location="'Club Colours'!A446" ref="N481"/>
    <hyperlink r:id="rId1830" location="'Sources'!A25" ref="J482"/>
    <hyperlink r:id="rId1831" ref="K482"/>
    <hyperlink r:id="rId1832" location="'Club Colours'!A450" ref="N482"/>
    <hyperlink r:id="rId1833" location="'Sources'!A25" ref="J483"/>
    <hyperlink r:id="rId1834" ref="K483"/>
    <hyperlink r:id="rId1835" location="'Club Colours'!A461" ref="L483"/>
    <hyperlink r:id="rId1836" ref="P483"/>
    <hyperlink r:id="rId1837" location="'Sources'!A25" ref="J484"/>
    <hyperlink r:id="rId1838" ref="K484"/>
    <hyperlink r:id="rId1839" location="'Club Colours'!A466" ref="N484"/>
    <hyperlink r:id="rId1840" location="'Sources'!A25" ref="J485"/>
    <hyperlink r:id="rId1841" ref="K485"/>
    <hyperlink r:id="rId1842" location="'Club Colours'!A479" ref="N485"/>
    <hyperlink r:id="rId1843" location="'Sources'!A25" ref="J486"/>
    <hyperlink r:id="rId1844" ref="K486"/>
    <hyperlink r:id="rId1845" location="'Club Colours'!A482" ref="L486"/>
    <hyperlink r:id="rId1846" ref="P486"/>
    <hyperlink r:id="rId1847" location="'Sources'!A25" ref="J487"/>
    <hyperlink r:id="rId1848" ref="K487"/>
    <hyperlink r:id="rId1849" location="'Club Colours'!A487" ref="N487"/>
    <hyperlink r:id="rId1850" location="'Sources'!A25" ref="J488"/>
    <hyperlink r:id="rId1851" ref="K488"/>
    <hyperlink r:id="rId1852" location="'Club Colours'!A494" ref="N488"/>
    <hyperlink r:id="rId1853" location="'Sources'!A25" ref="J489"/>
    <hyperlink r:id="rId1854" ref="K489"/>
    <hyperlink r:id="rId1855" location="'Club Colours'!A368" ref="N489"/>
    <hyperlink r:id="rId1856" location="'Sources'!A25" ref="J490"/>
    <hyperlink r:id="rId1857" ref="K490"/>
    <hyperlink r:id="rId1858" location="'Club Colours'!A378" ref="N490"/>
    <hyperlink r:id="rId1859" location="'Sources'!A25" ref="J491"/>
    <hyperlink r:id="rId1860" ref="K491"/>
    <hyperlink r:id="rId1861" location="'Club Colours'!A390" ref="N491"/>
    <hyperlink r:id="rId1862" location="'Sources'!A25" ref="J492"/>
    <hyperlink r:id="rId1863" ref="K492"/>
    <hyperlink r:id="rId1864" location="'Club Colours'!A409" ref="N492"/>
    <hyperlink r:id="rId1865" location="'Sources'!A25" ref="J493"/>
    <hyperlink r:id="rId1866" ref="K493"/>
    <hyperlink r:id="rId1867" location="'Club Colours'!A443" ref="N493"/>
    <hyperlink r:id="rId1868" location="'Sources'!A25" ref="J494"/>
    <hyperlink r:id="rId1869" ref="K494"/>
    <hyperlink r:id="rId1870" location="'Club Colours'!A447" ref="N494"/>
    <hyperlink r:id="rId1871" location="'Sources'!A25" ref="J495"/>
    <hyperlink r:id="rId1872" ref="K495"/>
    <hyperlink r:id="rId1873" location="'Club Colours'!A472" ref="N495"/>
    <hyperlink r:id="rId1874" location="'Sources'!A25" ref="J496"/>
    <hyperlink r:id="rId1875" ref="K496"/>
    <hyperlink r:id="rId1876" location="'Club Colours'!A477" ref="N496"/>
    <hyperlink r:id="rId1877" location="'Sources'!A25" ref="J497"/>
    <hyperlink r:id="rId1878" ref="K497"/>
    <hyperlink r:id="rId1879" location="'Club Colours'!A480" ref="N497"/>
    <hyperlink r:id="rId1880" location="'Sources'!A25" ref="J498"/>
    <hyperlink r:id="rId1881" ref="K498"/>
    <hyperlink r:id="rId1882" location="'Club Colours'!A485" ref="L498"/>
    <hyperlink r:id="rId1883" ref="P498"/>
    <hyperlink r:id="rId1884" location="'Sources'!A25" ref="J499"/>
    <hyperlink r:id="rId1885" ref="K499"/>
    <hyperlink r:id="rId1886" location="'Club Colours'!A488" ref="N499"/>
    <hyperlink r:id="rId1887" location="'Sources'!A25" ref="J500"/>
    <hyperlink r:id="rId1888" ref="K500"/>
    <hyperlink r:id="rId1889" location="'Club Colours'!A495" ref="N500"/>
    <hyperlink r:id="rId1890" location="'Sources'!A27" ref="J501"/>
    <hyperlink r:id="rId1891" ref="K501"/>
    <hyperlink r:id="rId1892" location="'Club Colours'!A506" ref="L501"/>
    <hyperlink r:id="rId1893" ref="P501"/>
    <hyperlink r:id="rId1894" location="'Sources'!A27" ref="J502"/>
    <hyperlink r:id="rId1895" ref="K502"/>
    <hyperlink r:id="rId1896" location="'Club Colours'!A523" ref="L502"/>
    <hyperlink r:id="rId1897" ref="P502"/>
    <hyperlink r:id="rId1898" location="'Sources'!A27" ref="J503"/>
    <hyperlink r:id="rId1899" ref="K503"/>
    <hyperlink r:id="rId1900" location="'Club Colours'!A530" ref="L503"/>
    <hyperlink r:id="rId1901" ref="P503"/>
    <hyperlink r:id="rId1902" location="'Sources'!A27" ref="J504"/>
    <hyperlink r:id="rId1903" ref="K504"/>
    <hyperlink r:id="rId1904" location="'Club Colours'!A535" ref="L504"/>
    <hyperlink r:id="rId1905" ref="P504"/>
    <hyperlink r:id="rId1906" location="'Sources'!A27" ref="J505"/>
    <hyperlink r:id="rId1907" ref="K505"/>
    <hyperlink r:id="rId1908" location="'Club Colours'!A564" ref="L505"/>
    <hyperlink r:id="rId1909" ref="P505"/>
    <hyperlink r:id="rId1910" location="'Sources'!A27" ref="J506"/>
    <hyperlink r:id="rId1911" ref="K506"/>
    <hyperlink r:id="rId1912" location="'Club Colours'!A568" ref="L506"/>
    <hyperlink r:id="rId1913" ref="P506"/>
    <hyperlink r:id="rId1914" location="'Sources'!A27" ref="J507"/>
    <hyperlink r:id="rId1915" ref="K507"/>
    <hyperlink r:id="rId1916" location="'Club Colours'!A573" ref="L507"/>
    <hyperlink r:id="rId1917" ref="P507"/>
    <hyperlink r:id="rId1918" location="'Sources'!A27" ref="J508"/>
    <hyperlink r:id="rId1919" ref="K508"/>
    <hyperlink r:id="rId1920" location="'Club Colours'!A578" ref="N508"/>
    <hyperlink r:id="rId1921" location="'Sources'!A27" ref="J509"/>
    <hyperlink r:id="rId1922" ref="K509"/>
    <hyperlink r:id="rId1923" location="'Club Colours'!A594" ref="L509"/>
    <hyperlink r:id="rId1924" ref="P509"/>
    <hyperlink r:id="rId1925" location="'Sources'!A27" ref="J510"/>
    <hyperlink r:id="rId1926" ref="K510"/>
    <hyperlink r:id="rId1927" location="'Club Colours'!A595" ref="L510"/>
    <hyperlink r:id="rId1928" ref="P510"/>
    <hyperlink r:id="rId1929" location="'Sources'!A27" ref="J511"/>
    <hyperlink r:id="rId1930" ref="K511"/>
    <hyperlink r:id="rId1931" location="'Club Colours'!A604" ref="L511"/>
    <hyperlink r:id="rId1932" ref="P511"/>
    <hyperlink r:id="rId1933" location="'Sources'!A27" ref="J512"/>
    <hyperlink r:id="rId1934" ref="K512"/>
    <hyperlink r:id="rId1935" location="'Club Colours'!A606" ref="L512"/>
    <hyperlink r:id="rId1936" ref="P512"/>
    <hyperlink r:id="rId1937" location="'Sources'!A27" ref="J513"/>
    <hyperlink r:id="rId1938" ref="K513"/>
    <hyperlink r:id="rId1939" location="'Club Colours'!A616" ref="L513"/>
    <hyperlink r:id="rId1940" ref="P513"/>
    <hyperlink r:id="rId1941" location="'Sources'!A27" ref="J514"/>
    <hyperlink r:id="rId1942" ref="K514"/>
    <hyperlink r:id="rId1943" location="'Club Colours'!A641" ref="N514"/>
    <hyperlink r:id="rId1944" location="'Sources'!A28" ref="J515"/>
    <hyperlink r:id="rId1945" ref="K515"/>
    <hyperlink r:id="rId1946" location="'Club Colours'!A507" ref="L515"/>
    <hyperlink r:id="rId1947" ref="P515"/>
    <hyperlink r:id="rId1948" location="'Sources'!A28" ref="J516"/>
    <hyperlink r:id="rId1949" ref="K516"/>
    <hyperlink r:id="rId1950" location="'Club Colours'!A513" ref="L516"/>
    <hyperlink r:id="rId1951" ref="P516"/>
    <hyperlink r:id="rId1952" location="'Sources'!A28" ref="J517"/>
    <hyperlink r:id="rId1953" ref="K517"/>
    <hyperlink r:id="rId1954" location="'Club Colours'!A518" ref="L517"/>
    <hyperlink r:id="rId1955" ref="P517"/>
    <hyperlink r:id="rId1956" location="'Sources'!A28" ref="J518"/>
    <hyperlink r:id="rId1957" ref="K518"/>
    <hyperlink r:id="rId1958" location="'Club Colours'!A531" ref="L518"/>
    <hyperlink r:id="rId1959" ref="P518"/>
    <hyperlink r:id="rId1960" location="'Sources'!A28" ref="J519"/>
    <hyperlink r:id="rId1961" ref="K519"/>
    <hyperlink r:id="rId1962" location="'Club Colours'!A534" ref="L519"/>
    <hyperlink r:id="rId1963" ref="P519"/>
    <hyperlink r:id="rId1964" location="'Sources'!A28" ref="J520"/>
    <hyperlink r:id="rId1965" ref="K520"/>
    <hyperlink r:id="rId1966" location="'Club Colours'!A559" ref="L520"/>
    <hyperlink r:id="rId1967" ref="P520"/>
    <hyperlink r:id="rId1968" location="'Sources'!A28" ref="J521"/>
    <hyperlink r:id="rId1969" ref="K521"/>
    <hyperlink r:id="rId1970" location="'Club Colours'!A582" ref="L521"/>
    <hyperlink r:id="rId1971" ref="P521"/>
    <hyperlink r:id="rId1972" location="'Sources'!A28" ref="J522"/>
    <hyperlink r:id="rId1973" ref="K522"/>
    <hyperlink r:id="rId1974" location="'Club Colours'!A591" ref="L522"/>
    <hyperlink r:id="rId1975" ref="P522"/>
    <hyperlink r:id="rId1976" location="'Sources'!A28" ref="J523"/>
    <hyperlink r:id="rId1977" ref="K523"/>
    <hyperlink r:id="rId1978" location="'Club Colours'!A592" ref="L523"/>
    <hyperlink r:id="rId1979" ref="P523"/>
    <hyperlink r:id="rId1980" location="'Sources'!A28" ref="J524"/>
    <hyperlink r:id="rId1981" ref="K524"/>
    <hyperlink r:id="rId1982" location="'Club Colours'!A596" ref="L524"/>
    <hyperlink r:id="rId1983" ref="P524"/>
    <hyperlink r:id="rId1984" location="'Sources'!A28" ref="J525"/>
    <hyperlink r:id="rId1985" ref="K525"/>
    <hyperlink r:id="rId1986" location="'Club Colours'!A607" ref="L525"/>
    <hyperlink r:id="rId1987" ref="P525"/>
    <hyperlink r:id="rId1988" location="'Sources'!A28" ref="J526"/>
    <hyperlink r:id="rId1989" ref="K526"/>
    <hyperlink r:id="rId1990" location="'Club Colours'!A609" ref="L526"/>
    <hyperlink r:id="rId1991" ref="P526"/>
    <hyperlink r:id="rId1992" location="'Sources'!A28" ref="J527"/>
    <hyperlink r:id="rId1993" ref="K527"/>
    <hyperlink r:id="rId1994" location="'Club Colours'!A611" ref="L527"/>
    <hyperlink r:id="rId1995" ref="P527"/>
    <hyperlink r:id="rId1996" location="'Sources'!A28" ref="J528"/>
    <hyperlink r:id="rId1997" ref="K528"/>
    <hyperlink r:id="rId1998" location="'Club Colours'!A617" ref="L528"/>
    <hyperlink r:id="rId1999" ref="P528"/>
    <hyperlink r:id="rId2000" location="'Sources'!A28" ref="J529"/>
    <hyperlink r:id="rId2001" ref="K529"/>
    <hyperlink r:id="rId2002" location="'Club Colours'!A622" ref="N529"/>
    <hyperlink r:id="rId2003" location="'Sources'!A28" ref="J530"/>
    <hyperlink r:id="rId2004" ref="K530"/>
    <hyperlink r:id="rId2005" location="'Club Colours'!A643" ref="L530"/>
    <hyperlink r:id="rId2006" ref="P530"/>
    <hyperlink r:id="rId2007" location="'Sources'!A29" ref="J531"/>
    <hyperlink r:id="rId2008" ref="K531"/>
    <hyperlink r:id="rId2009" location="'Club Colours'!A505" ref="N531"/>
    <hyperlink r:id="rId2010" location="'Sources'!A29" ref="J532"/>
    <hyperlink r:id="rId2011" ref="K532"/>
    <hyperlink r:id="rId2012" location="'Club Colours'!A520" ref="N532"/>
    <hyperlink r:id="rId2013" location="'Sources'!A29" ref="J533"/>
    <hyperlink r:id="rId2014" ref="K533"/>
    <hyperlink r:id="rId2015" location="'Club Colours'!A522" ref="N533"/>
    <hyperlink r:id="rId2016" location="'Sources'!A29" ref="J534"/>
    <hyperlink r:id="rId2017" ref="K534"/>
    <hyperlink r:id="rId2018" location="'Club Colours'!A542" ref="L534"/>
    <hyperlink r:id="rId2019" ref="P534"/>
    <hyperlink r:id="rId2020" location="'Sources'!A29" ref="J535"/>
    <hyperlink r:id="rId2021" ref="K535"/>
    <hyperlink r:id="rId2022" location="'Club Colours'!A544" ref="N535"/>
    <hyperlink r:id="rId2023" location="'Sources'!A29" ref="J536"/>
    <hyperlink r:id="rId2024" ref="K536"/>
    <hyperlink r:id="rId2025" location="'Club Colours'!A572" ref="L536"/>
    <hyperlink r:id="rId2026" ref="P536"/>
    <hyperlink r:id="rId2027" location="'Sources'!A29" ref="J537"/>
    <hyperlink r:id="rId2028" ref="K537"/>
    <hyperlink r:id="rId2029" location="'Club Colours'!A583" ref="N537"/>
    <hyperlink r:id="rId2030" location="'Sources'!A29" ref="J538"/>
    <hyperlink r:id="rId2031" ref="K538"/>
    <hyperlink r:id="rId2032" location="'Club Colours'!A598" ref="L538"/>
    <hyperlink r:id="rId2033" ref="P538"/>
    <hyperlink r:id="rId2034" location="'Sources'!A29" ref="J539"/>
    <hyperlink r:id="rId2035" ref="K539"/>
    <hyperlink r:id="rId2036" location="'Club Colours'!A614" ref="L539"/>
    <hyperlink r:id="rId2037" ref="P539"/>
    <hyperlink r:id="rId2038" location="'Sources'!A29" ref="J540"/>
    <hyperlink r:id="rId2039" ref="K540"/>
    <hyperlink r:id="rId2040" location="'Club Colours'!A642" ref="L540"/>
    <hyperlink r:id="rId2041" ref="P540"/>
    <hyperlink r:id="rId2042" location="'Sources'!A29" ref="J541"/>
    <hyperlink r:id="rId2043" ref="K541"/>
    <hyperlink r:id="rId2044" location="'Club Colours'!A504" ref="L541"/>
    <hyperlink r:id="rId2045" ref="P541"/>
    <hyperlink r:id="rId2046" location="'Sources'!A29" ref="J542"/>
    <hyperlink r:id="rId2047" ref="K542"/>
    <hyperlink r:id="rId2048" location="'Club Colours'!A510" ref="N542"/>
    <hyperlink r:id="rId2049" location="'Sources'!A29" ref="J543"/>
    <hyperlink r:id="rId2050" ref="K543"/>
    <hyperlink r:id="rId2051" location="'Club Colours'!A526" ref="N543"/>
    <hyperlink r:id="rId2052" location="'Sources'!A29" ref="J544"/>
    <hyperlink r:id="rId2053" ref="K544"/>
    <hyperlink r:id="rId2054" location="'Club Colours'!A556" ref="L544"/>
    <hyperlink r:id="rId2055" ref="P544"/>
    <hyperlink r:id="rId2056" location="'Sources'!A29" ref="J545"/>
    <hyperlink r:id="rId2057" ref="K545"/>
    <hyperlink r:id="rId2058" location="'Club Colours'!A566" ref="N545"/>
    <hyperlink r:id="rId2059" location="'Sources'!A29" ref="J546"/>
    <hyperlink r:id="rId2060" ref="K546"/>
    <hyperlink r:id="rId2061" location="'Club Colours'!A575" ref="L546"/>
    <hyperlink r:id="rId2062" ref="P546"/>
    <hyperlink r:id="rId2063" location="'Sources'!A29" ref="J547"/>
    <hyperlink r:id="rId2064" ref="K547"/>
    <hyperlink r:id="rId2065" location="'Club Colours'!A580" ref="L547"/>
    <hyperlink r:id="rId2066" ref="P547"/>
    <hyperlink r:id="rId2067" location="'Sources'!A29" ref="J548"/>
    <hyperlink r:id="rId2068" ref="K548"/>
    <hyperlink r:id="rId2069" location="'Club Colours'!A586" ref="N548"/>
    <hyperlink r:id="rId2070" location="'Sources'!A29" ref="J549"/>
    <hyperlink r:id="rId2071" ref="K549"/>
    <hyperlink r:id="rId2072" location="'Club Colours'!A613" ref="N549"/>
    <hyperlink r:id="rId2073" location="'Sources'!A29" ref="J550"/>
    <hyperlink r:id="rId2074" ref="K550"/>
    <hyperlink r:id="rId2075" location="'Club Colours'!A620" ref="N550"/>
    <hyperlink r:id="rId2076" location="'Sources'!A29" ref="J551"/>
    <hyperlink r:id="rId2077" ref="K551"/>
    <hyperlink r:id="rId2078" location="'Club Colours'!A626" ref="L551"/>
    <hyperlink r:id="rId2079" ref="P551"/>
    <hyperlink r:id="rId2080" location="'Sources'!A29" ref="J552"/>
    <hyperlink r:id="rId2081" ref="K552"/>
    <hyperlink r:id="rId2082" location="'Club Colours'!A512" ref="L552"/>
    <hyperlink r:id="rId2083" ref="P552"/>
    <hyperlink r:id="rId2084" location="'Sources'!A29" ref="J553"/>
    <hyperlink r:id="rId2085" ref="K553"/>
    <hyperlink r:id="rId2086" location="'Club Colours'!A525" ref="N553"/>
    <hyperlink r:id="rId2087" location="'Sources'!A29" ref="J554"/>
    <hyperlink r:id="rId2088" ref="K554"/>
    <hyperlink r:id="rId2089" location="'Club Colours'!A543" ref="N554"/>
    <hyperlink r:id="rId2090" location="'Sources'!A29" ref="J555"/>
    <hyperlink r:id="rId2091" ref="K555"/>
    <hyperlink r:id="rId2092" location="'Club Colours'!A548" ref="N555"/>
    <hyperlink r:id="rId2093" location="'Sources'!A29" ref="J556"/>
    <hyperlink r:id="rId2094" ref="K556"/>
    <hyperlink r:id="rId2095" location="'Club Colours'!A570" ref="N556"/>
    <hyperlink r:id="rId2096" location="'Sources'!A29" ref="J557"/>
    <hyperlink r:id="rId2097" ref="K557"/>
    <hyperlink r:id="rId2098" location="'Club Colours'!A581" ref="N557"/>
    <hyperlink r:id="rId2099" location="'Sources'!A29" ref="J558"/>
    <hyperlink r:id="rId2100" ref="K558"/>
    <hyperlink r:id="rId2101" location="'Club Colours'!A584" ref="L558"/>
    <hyperlink r:id="rId2102" ref="P558"/>
    <hyperlink r:id="rId2103" location="'Sources'!A29" ref="J559"/>
    <hyperlink r:id="rId2104" ref="K559"/>
    <hyperlink r:id="rId2105" location="'Club Colours'!A588" ref="L559"/>
    <hyperlink r:id="rId2106" ref="P559"/>
    <hyperlink r:id="rId2107" location="'Sources'!A29" ref="J560"/>
    <hyperlink r:id="rId2108" ref="K560"/>
    <hyperlink r:id="rId2109" location="'Club Colours'!A618" ref="L560"/>
    <hyperlink r:id="rId2110" ref="P560"/>
    <hyperlink r:id="rId2111" location="'Sources'!A29" ref="J561"/>
    <hyperlink r:id="rId2112" ref="K561"/>
    <hyperlink r:id="rId2113" location="'Club Colours'!A635" ref="N561"/>
    <hyperlink r:id="rId2114" location="'Sources'!A29" ref="J562"/>
    <hyperlink r:id="rId2115" ref="K562"/>
    <hyperlink r:id="rId2116" location="'Club Colours'!A640" ref="L562"/>
    <hyperlink r:id="rId2117" ref="P562"/>
    <hyperlink r:id="rId2118" location="'Sources'!A29" ref="J563"/>
    <hyperlink r:id="rId2119" ref="K563"/>
    <hyperlink r:id="rId2120" location="'Club Colours'!A502" ref="N563"/>
    <hyperlink r:id="rId2121" location="'Sources'!A29" ref="J564"/>
    <hyperlink r:id="rId2122" ref="K564"/>
    <hyperlink r:id="rId2123" location="'Club Colours'!A515" ref="N564"/>
    <hyperlink r:id="rId2124" location="'Sources'!A29" ref="J565"/>
    <hyperlink r:id="rId2125" ref="K565"/>
    <hyperlink r:id="rId2126" location="'Club Colours'!A541" ref="N565"/>
    <hyperlink r:id="rId2127" location="'Sources'!A29" ref="J566"/>
    <hyperlink r:id="rId2128" ref="K566"/>
    <hyperlink r:id="rId2129" location="'Club Colours'!A547" ref="N566"/>
    <hyperlink r:id="rId2130" location="'Sources'!A29" ref="J567"/>
    <hyperlink r:id="rId2131" ref="K567"/>
    <hyperlink r:id="rId2132" location="'Club Colours'!A551" ref="N567"/>
    <hyperlink r:id="rId2133" location="'Sources'!A29" ref="J568"/>
    <hyperlink r:id="rId2134" ref="K568"/>
    <hyperlink r:id="rId2135" location="'Club Colours'!A554" ref="N568"/>
    <hyperlink r:id="rId2136" location="'Sources'!A29" ref="J569"/>
    <hyperlink r:id="rId2137" ref="K569"/>
    <hyperlink r:id="rId2138" location="'Club Colours'!A565" ref="N569"/>
    <hyperlink r:id="rId2139" location="'Sources'!A29" ref="J570"/>
    <hyperlink r:id="rId2140" ref="K570"/>
    <hyperlink r:id="rId2141" location="'Club Colours'!A624" ref="L570"/>
    <hyperlink r:id="rId2142" ref="P570"/>
    <hyperlink r:id="rId2143" location="'Sources'!A29" ref="J571"/>
    <hyperlink r:id="rId2144" ref="K571"/>
    <hyperlink r:id="rId2145" location="'Club Colours'!A629" ref="L571"/>
    <hyperlink r:id="rId2146" ref="P571"/>
    <hyperlink r:id="rId2147" location="'Sources'!A29" ref="J572"/>
    <hyperlink r:id="rId2148" ref="K572"/>
    <hyperlink r:id="rId2149" location="'Club Colours'!A630" ref="N572"/>
    <hyperlink r:id="rId2150" location="'Sources'!A29" ref="J573"/>
    <hyperlink r:id="rId2151" ref="K573"/>
    <hyperlink r:id="rId2152" location="'Club Colours'!A638" ref="L573"/>
    <hyperlink r:id="rId2153" ref="P573"/>
    <hyperlink r:id="rId2154" location="'Sources'!A29" ref="J574"/>
    <hyperlink r:id="rId2155" ref="K574"/>
    <hyperlink r:id="rId2156" location="'Club Colours'!A514" ref="N574"/>
    <hyperlink r:id="rId2157" location="'Sources'!A29" ref="J575"/>
    <hyperlink r:id="rId2158" ref="K575"/>
    <hyperlink r:id="rId2159" location="'Club Colours'!A529" ref="N575"/>
    <hyperlink r:id="rId2160" location="'Sources'!A29" ref="J576"/>
    <hyperlink r:id="rId2161" ref="K576"/>
    <hyperlink r:id="rId2162" location="'Club Colours'!A540" ref="N576"/>
    <hyperlink r:id="rId2163" location="'Sources'!A29" ref="J577"/>
    <hyperlink r:id="rId2164" ref="K577"/>
    <hyperlink r:id="rId2165" location="'Club Colours'!A557" ref="L577"/>
    <hyperlink r:id="rId2166" ref="P577"/>
    <hyperlink r:id="rId2167" location="'Sources'!A29" ref="J578"/>
    <hyperlink r:id="rId2168" ref="K578"/>
    <hyperlink r:id="rId2169" location="'Club Colours'!A569" ref="N578"/>
    <hyperlink r:id="rId2170" location="'Sources'!A29" ref="J579"/>
    <hyperlink r:id="rId2171" ref="K579"/>
    <hyperlink r:id="rId2172" location="'Club Colours'!A571" ref="N579"/>
    <hyperlink r:id="rId2173" location="'Sources'!A29" ref="J580"/>
    <hyperlink r:id="rId2174" ref="K580"/>
    <hyperlink r:id="rId2175" location="'Club Colours'!A574" ref="N580"/>
    <hyperlink r:id="rId2176" location="'Sources'!A29" ref="J581"/>
    <hyperlink r:id="rId2177" ref="K581"/>
    <hyperlink r:id="rId2178" location="'Club Colours'!A576" ref="L581"/>
    <hyperlink r:id="rId2179" ref="P581"/>
    <hyperlink r:id="rId2180" location="'Sources'!A29" ref="J582"/>
    <hyperlink r:id="rId2181" ref="K582"/>
    <hyperlink r:id="rId2182" location="'Club Colours'!A589" ref="L582"/>
    <hyperlink r:id="rId2183" ref="P582"/>
    <hyperlink r:id="rId2184" location="'Sources'!A29" ref="J583"/>
    <hyperlink r:id="rId2185" ref="K583"/>
    <hyperlink r:id="rId2186" location="'Club Colours'!A632" ref="N583"/>
    <hyperlink r:id="rId2187" location="'Sources'!A29" ref="J584"/>
    <hyperlink r:id="rId2188" ref="K584"/>
    <hyperlink r:id="rId2189" location="'Club Colours'!A634" ref="L584"/>
    <hyperlink r:id="rId2190" ref="P584"/>
    <hyperlink r:id="rId2191" location="'Sources'!A29" ref="J585"/>
    <hyperlink r:id="rId2192" ref="K585"/>
    <hyperlink r:id="rId2193" location="'Club Colours'!A516" ref="N585"/>
    <hyperlink r:id="rId2194" location="'Sources'!A29" ref="J586"/>
    <hyperlink r:id="rId2195" ref="K586"/>
    <hyperlink r:id="rId2196" location="'Club Colours'!A517" ref="N586"/>
    <hyperlink r:id="rId2197" location="'Sources'!A29" ref="J587"/>
    <hyperlink r:id="rId2198" ref="K587"/>
    <hyperlink r:id="rId2199" location="'Club Colours'!A524" ref="N587"/>
    <hyperlink r:id="rId2200" location="'Sources'!A29" ref="J588"/>
    <hyperlink r:id="rId2201" ref="K588"/>
    <hyperlink r:id="rId2202" location="'Club Colours'!A536" ref="L588"/>
    <hyperlink r:id="rId2203" ref="P588"/>
    <hyperlink r:id="rId2204" location="'Sources'!A29" ref="J589"/>
    <hyperlink r:id="rId2205" ref="K589"/>
    <hyperlink r:id="rId2206" location="'Club Colours'!A577" ref="N589"/>
    <hyperlink r:id="rId2207" location="'Sources'!A29" ref="J590"/>
    <hyperlink r:id="rId2208" ref="K590"/>
    <hyperlink r:id="rId2209" location="'Club Colours'!A593" ref="N590"/>
    <hyperlink r:id="rId2210" location="'Sources'!A29" ref="J591"/>
    <hyperlink r:id="rId2211" ref="K591"/>
    <hyperlink r:id="rId2212" location="'Club Colours'!A599" ref="N591"/>
    <hyperlink r:id="rId2213" location="'Sources'!A29" ref="J592"/>
    <hyperlink r:id="rId2214" ref="K592"/>
    <hyperlink r:id="rId2215" location="'Club Colours'!A600" ref="L592"/>
    <hyperlink r:id="rId2216" ref="P592"/>
    <hyperlink r:id="rId2217" location="'Sources'!A29" ref="J593"/>
    <hyperlink r:id="rId2218" ref="K593"/>
    <hyperlink r:id="rId2219" location="'Club Colours'!A601" ref="N593"/>
    <hyperlink r:id="rId2220" location="'Sources'!A29" ref="J594"/>
    <hyperlink r:id="rId2221" ref="K594"/>
    <hyperlink r:id="rId2222" location="'Club Colours'!A605" ref="L594"/>
    <hyperlink r:id="rId2223" ref="P594"/>
    <hyperlink r:id="rId2224" location="'Sources'!A29" ref="J595"/>
    <hyperlink r:id="rId2225" ref="K595"/>
    <hyperlink r:id="rId2226" location="'Club Colours'!A621" ref="L595"/>
    <hyperlink r:id="rId2227" ref="P595"/>
    <hyperlink r:id="rId2228" location="'Sources'!A29" ref="J596"/>
    <hyperlink r:id="rId2229" ref="K596"/>
    <hyperlink r:id="rId2230" location="'Club Colours'!A637" ref="L596"/>
    <hyperlink r:id="rId2231" ref="P596"/>
    <hyperlink r:id="rId2232" location="'Sources'!A31" ref="J597"/>
    <hyperlink r:id="rId2233" ref="K597"/>
    <hyperlink r:id="rId2234" location="'Club Colours'!A527" ref="L597"/>
    <hyperlink r:id="rId2235" ref="P597"/>
    <hyperlink r:id="rId2236" location="'Sources'!A31" ref="J598"/>
    <hyperlink r:id="rId2237" ref="K598"/>
    <hyperlink r:id="rId2238" location="'Club Colours'!A533" ref="L598"/>
    <hyperlink r:id="rId2239" ref="P598"/>
    <hyperlink r:id="rId2240" location="'Sources'!A31" ref="J599"/>
    <hyperlink r:id="rId2241" ref="K599"/>
    <hyperlink r:id="rId2242" location="'Club Colours'!A552" ref="N599"/>
    <hyperlink r:id="rId2243" location="'Sources'!A31" ref="J600"/>
    <hyperlink r:id="rId2244" ref="K600"/>
    <hyperlink r:id="rId2245" location="'Club Colours'!A567" ref="N600"/>
    <hyperlink r:id="rId2246" location="'Sources'!A31" ref="J601"/>
    <hyperlink r:id="rId2247" ref="K601"/>
    <hyperlink r:id="rId2248" location="'Club Colours'!A579" ref="N601"/>
    <hyperlink r:id="rId2249" location="'Sources'!A31" ref="J602"/>
    <hyperlink r:id="rId2250" ref="K602"/>
    <hyperlink r:id="rId2251" location="'Club Colours'!A585" ref="L602"/>
    <hyperlink r:id="rId2252" ref="P602"/>
    <hyperlink r:id="rId2253" location="'Sources'!A31" ref="J603"/>
    <hyperlink r:id="rId2254" ref="K603"/>
    <hyperlink r:id="rId2255" location="'Club Colours'!A603" ref="N603"/>
    <hyperlink r:id="rId2256" location="'Sources'!A31" ref="J604"/>
    <hyperlink r:id="rId2257" ref="K604"/>
    <hyperlink r:id="rId2258" location="'Club Colours'!A610" ref="N604"/>
    <hyperlink r:id="rId2259" location="'Sources'!A31" ref="J605"/>
    <hyperlink r:id="rId2260" ref="K605"/>
    <hyperlink r:id="rId2261" location="'Club Colours'!A612" ref="N605"/>
    <hyperlink r:id="rId2262" location="'Sources'!A31" ref="J606"/>
    <hyperlink r:id="rId2263" ref="K606"/>
    <hyperlink r:id="rId2264" location="'Club Colours'!A619" ref="N606"/>
    <hyperlink r:id="rId2265" location="'Sources'!A31" ref="J607"/>
    <hyperlink r:id="rId2266" ref="K607"/>
    <hyperlink r:id="rId2267" location="'Club Colours'!A623" ref="L607"/>
    <hyperlink r:id="rId2268" ref="P607"/>
    <hyperlink r:id="rId2269" location="'Sources'!A31" ref="J608"/>
    <hyperlink r:id="rId2270" ref="K608"/>
    <hyperlink r:id="rId2271" location="'Club Colours'!A633" ref="N608"/>
    <hyperlink r:id="rId2272" location="'Sources'!A30" ref="J609"/>
    <hyperlink r:id="rId2273" ref="K609"/>
    <hyperlink r:id="rId2274" location="'Club Colours'!A508" ref="N609"/>
    <hyperlink r:id="rId2275" location="'Sources'!A30" ref="J610"/>
    <hyperlink r:id="rId2276" ref="K610"/>
    <hyperlink r:id="rId2277" location="'Club Colours'!A511" ref="N610"/>
    <hyperlink r:id="rId2278" location="'Sources'!A30" ref="J611"/>
    <hyperlink r:id="rId2279" ref="K611"/>
    <hyperlink r:id="rId2280" location="'Club Colours'!A519" ref="L611"/>
    <hyperlink r:id="rId2281" ref="P611"/>
    <hyperlink r:id="rId2282" location="'Sources'!A30" ref="J612"/>
    <hyperlink r:id="rId2283" ref="K612"/>
    <hyperlink r:id="rId2284" location="'Club Colours'!A521" ref="L612"/>
    <hyperlink r:id="rId2285" ref="P612"/>
    <hyperlink r:id="rId2286" location="'Sources'!A30" ref="J613"/>
    <hyperlink r:id="rId2287" ref="K613"/>
    <hyperlink r:id="rId2288" location="'Club Colours'!A539" ref="L613"/>
    <hyperlink r:id="rId2289" ref="P613"/>
    <hyperlink r:id="rId2290" location="'Sources'!A30" ref="J614"/>
    <hyperlink r:id="rId2291" ref="K614"/>
    <hyperlink r:id="rId2292" location="'Club Colours'!A545" ref="N614"/>
    <hyperlink r:id="rId2293" location="'Sources'!A30" ref="J615"/>
    <hyperlink r:id="rId2294" ref="K615"/>
    <hyperlink r:id="rId2295" location="'Club Colours'!A546" ref="L615"/>
    <hyperlink r:id="rId2296" ref="P615"/>
    <hyperlink r:id="rId2297" location="'Sources'!A30" ref="J616"/>
    <hyperlink r:id="rId2298" ref="K616"/>
    <hyperlink r:id="rId2299" location="'Club Colours'!A555" ref="L616"/>
    <hyperlink r:id="rId2300" ref="P616"/>
    <hyperlink r:id="rId2301" location="'Sources'!A30" ref="J617"/>
    <hyperlink r:id="rId2302" ref="K617"/>
    <hyperlink r:id="rId2303" location="'Club Colours'!A560" ref="L617"/>
    <hyperlink r:id="rId2304" ref="P617"/>
    <hyperlink r:id="rId2305" location="'Sources'!A30" ref="J618"/>
    <hyperlink r:id="rId2306" ref="K618"/>
    <hyperlink r:id="rId2307" location="'Club Colours'!A563" ref="L618"/>
    <hyperlink r:id="rId2308" ref="P618"/>
    <hyperlink r:id="rId2309" location="'Sources'!A30" ref="J619"/>
    <hyperlink r:id="rId2310" ref="K619"/>
    <hyperlink r:id="rId2311" location="'Club Colours'!A615" ref="L619"/>
    <hyperlink r:id="rId2312" ref="P619"/>
    <hyperlink r:id="rId2313" location="'Sources'!A30" ref="J620"/>
    <hyperlink r:id="rId2314" ref="K620"/>
    <hyperlink r:id="rId2315" location="'Club Colours'!A627" ref="L620"/>
    <hyperlink r:id="rId2316" ref="P620"/>
    <hyperlink r:id="rId2317" location="'Sources'!A29" ref="J621"/>
    <hyperlink r:id="rId2318" ref="K621"/>
    <hyperlink r:id="rId2319" location="'Club Colours'!A501" ref="N621"/>
    <hyperlink r:id="rId2320" location="'Sources'!A29" ref="J622"/>
    <hyperlink r:id="rId2321" ref="K622"/>
    <hyperlink r:id="rId2322" location="'Club Colours'!A528" ref="N622"/>
    <hyperlink r:id="rId2323" location="'Sources'!A29" ref="J623"/>
    <hyperlink r:id="rId2324" ref="K623"/>
    <hyperlink r:id="rId2325" location="'Club Colours'!A532" ref="L623"/>
    <hyperlink r:id="rId2326" ref="P623"/>
    <hyperlink r:id="rId2327" location="'Sources'!A29" ref="J624"/>
    <hyperlink r:id="rId2328" ref="K624"/>
    <hyperlink r:id="rId2329" location="'Club Colours'!A553" ref="L624"/>
    <hyperlink r:id="rId2330" ref="P624"/>
    <hyperlink r:id="rId2331" location="'Sources'!A29" ref="J625"/>
    <hyperlink r:id="rId2332" ref="K625"/>
    <hyperlink r:id="rId2333" location="'Club Colours'!A561" ref="N625"/>
    <hyperlink r:id="rId2334" location="'Sources'!A29" ref="J626"/>
    <hyperlink r:id="rId2335" ref="K626"/>
    <hyperlink r:id="rId2336" location="'Club Colours'!A562" ref="L626"/>
    <hyperlink r:id="rId2337" ref="P626"/>
    <hyperlink r:id="rId2338" location="'Sources'!A29" ref="J627"/>
    <hyperlink r:id="rId2339" ref="K627"/>
    <hyperlink r:id="rId2340" location="'Club Colours'!A587" ref="N627"/>
    <hyperlink r:id="rId2341" location="'Sources'!A29" ref="J628"/>
    <hyperlink r:id="rId2342" ref="K628"/>
    <hyperlink r:id="rId2343" location="'Club Colours'!A590" ref="N628"/>
    <hyperlink r:id="rId2344" location="'Sources'!A29" ref="J629"/>
    <hyperlink r:id="rId2345" ref="K629"/>
    <hyperlink r:id="rId2346" location="'Club Colours'!A608" ref="L629"/>
    <hyperlink r:id="rId2347" ref="P629"/>
    <hyperlink r:id="rId2348" location="'Sources'!A29" ref="J630"/>
    <hyperlink r:id="rId2349" ref="K630"/>
    <hyperlink r:id="rId2350" location="'Club Colours'!A631" ref="N630"/>
    <hyperlink r:id="rId2351" location="'Sources'!A29" ref="J631"/>
    <hyperlink r:id="rId2352" ref="K631"/>
    <hyperlink r:id="rId2353" location="'Club Colours'!A636" ref="N631"/>
    <hyperlink r:id="rId2354" location="'Sources'!A32" ref="J632"/>
    <hyperlink r:id="rId2355" ref="K632"/>
    <hyperlink r:id="rId2356" location="'Club Colours'!A503" ref="N632"/>
    <hyperlink r:id="rId2357" location="'Sources'!A32" ref="J633"/>
    <hyperlink r:id="rId2358" ref="K633"/>
    <hyperlink r:id="rId2359" location="'Club Colours'!A509" ref="L633"/>
    <hyperlink r:id="rId2360" ref="P633"/>
    <hyperlink r:id="rId2361" location="'Sources'!A32" ref="J634"/>
    <hyperlink r:id="rId2362" ref="K634"/>
    <hyperlink r:id="rId2363" location="'Club Colours'!A537" ref="N634"/>
    <hyperlink r:id="rId2364" location="'Sources'!A32" ref="J635"/>
    <hyperlink r:id="rId2365" ref="K635"/>
    <hyperlink r:id="rId2366" location="'Club Colours'!A538" ref="N635"/>
    <hyperlink r:id="rId2367" location="'Sources'!A32" ref="J636"/>
    <hyperlink r:id="rId2368" ref="K636"/>
    <hyperlink r:id="rId2369" location="'Club Colours'!A549" ref="N636"/>
    <hyperlink r:id="rId2370" location="'Sources'!A32" ref="J637"/>
    <hyperlink r:id="rId2371" ref="K637"/>
    <hyperlink r:id="rId2372" location="'Club Colours'!A550" ref="L637"/>
    <hyperlink r:id="rId2373" ref="P637"/>
    <hyperlink r:id="rId2374" location="'Sources'!A32" ref="J638"/>
    <hyperlink r:id="rId2375" ref="K638"/>
    <hyperlink r:id="rId2376" location="'Club Colours'!A558" ref="N638"/>
    <hyperlink r:id="rId2377" location="'Sources'!A32" ref="J639"/>
    <hyperlink r:id="rId2378" ref="K639"/>
    <hyperlink r:id="rId2379" location="'Club Colours'!A597" ref="N639"/>
    <hyperlink r:id="rId2380" location="'Sources'!A32" ref="J640"/>
    <hyperlink r:id="rId2381" ref="K640"/>
    <hyperlink r:id="rId2382" location="'Club Colours'!A602" ref="N640"/>
    <hyperlink r:id="rId2383" location="'Sources'!A32" ref="J641"/>
    <hyperlink r:id="rId2384" ref="K641"/>
    <hyperlink r:id="rId2385" location="'Club Colours'!A625" ref="L641"/>
    <hyperlink r:id="rId2386" ref="P641"/>
    <hyperlink r:id="rId2387" location="'Sources'!A32" ref="J642"/>
    <hyperlink r:id="rId2388" ref="K642"/>
    <hyperlink r:id="rId2389" location="'Club Colours'!A628" ref="N642"/>
    <hyperlink r:id="rId2390" location="'Sources'!A32" ref="J643"/>
    <hyperlink r:id="rId2391" ref="K643"/>
    <hyperlink r:id="rId2392" location="'Club Colours'!A639" ref="N643"/>
    <hyperlink r:id="rId2393" location="'Sources'!A34" ref="J644"/>
    <hyperlink r:id="rId2394" ref="K644"/>
    <hyperlink r:id="rId2395" location="'Club Colours'!A644" ref="L644"/>
    <hyperlink r:id="rId2396" ref="P644"/>
    <hyperlink r:id="rId2397" location="'Sources'!A34" ref="J645"/>
    <hyperlink r:id="rId2398" ref="K645"/>
    <hyperlink r:id="rId2399" location="'Club Colours'!A647" ref="L645"/>
    <hyperlink r:id="rId2400" ref="P645"/>
    <hyperlink r:id="rId2401" location="'Sources'!A34" ref="J646"/>
    <hyperlink r:id="rId2402" ref="K646"/>
    <hyperlink r:id="rId2403" location="'Club Colours'!A650" ref="L646"/>
    <hyperlink r:id="rId2404" ref="P646"/>
    <hyperlink r:id="rId2405" location="'Sources'!A34" ref="J647"/>
    <hyperlink r:id="rId2406" ref="K647"/>
    <hyperlink r:id="rId2407" location="'Club Colours'!A651" ref="L647"/>
    <hyperlink r:id="rId2408" ref="P647"/>
    <hyperlink r:id="rId2409" location="'Sources'!A34" ref="J648"/>
    <hyperlink r:id="rId2410" ref="K648"/>
    <hyperlink r:id="rId2411" location="'Club Colours'!A652" ref="L648"/>
    <hyperlink r:id="rId2412" ref="P648"/>
    <hyperlink r:id="rId2413" location="'Sources'!A34" ref="J649"/>
    <hyperlink r:id="rId2414" ref="K649"/>
    <hyperlink r:id="rId2415" location="'Club Colours'!A654" ref="L649"/>
    <hyperlink r:id="rId2416" ref="P649"/>
    <hyperlink r:id="rId2417" location="'Sources'!A34" ref="J650"/>
    <hyperlink r:id="rId2418" ref="K650"/>
    <hyperlink r:id="rId2419" location="'Club Colours'!A655" ref="L650"/>
    <hyperlink r:id="rId2420" ref="P650"/>
    <hyperlink r:id="rId2421" location="'Sources'!A34" ref="J651"/>
    <hyperlink r:id="rId2422" ref="K651"/>
    <hyperlink r:id="rId2423" location="'Club Colours'!A656" ref="L651"/>
    <hyperlink r:id="rId2424" ref="P651"/>
    <hyperlink r:id="rId2425" location="'Sources'!A34" ref="J652"/>
    <hyperlink r:id="rId2426" ref="K652"/>
    <hyperlink r:id="rId2427" location="'Club Colours'!A662" ref="L652"/>
    <hyperlink r:id="rId2428" ref="P652"/>
    <hyperlink r:id="rId2429" location="'Sources'!A34" ref="J653"/>
    <hyperlink r:id="rId2430" ref="K653"/>
    <hyperlink r:id="rId2431" location="'Club Colours'!A671" ref="L653"/>
    <hyperlink r:id="rId2432" ref="P653"/>
    <hyperlink r:id="rId2433" location="'Sources'!A34" ref="J654"/>
    <hyperlink r:id="rId2434" ref="K654"/>
    <hyperlink r:id="rId2435" location="'Club Colours'!A674" ref="L654"/>
    <hyperlink r:id="rId2436" ref="P654"/>
    <hyperlink r:id="rId2437" location="'Sources'!A34" ref="J655"/>
    <hyperlink r:id="rId2438" ref="K655"/>
    <hyperlink r:id="rId2439" location="'Club Colours'!A677" ref="L655"/>
    <hyperlink r:id="rId2440" ref="P655"/>
    <hyperlink r:id="rId2441" location="'Sources'!A35" ref="J656"/>
    <hyperlink r:id="rId2442" ref="K656"/>
    <hyperlink r:id="rId2443" location="'Club Colours'!A645" ref="L656"/>
    <hyperlink r:id="rId2444" ref="P656"/>
    <hyperlink r:id="rId2445" location="'Sources'!A35" ref="J657"/>
    <hyperlink r:id="rId2446" ref="K657"/>
    <hyperlink r:id="rId2447" location="'Club Colours'!A646" ref="L657"/>
    <hyperlink r:id="rId2448" ref="P657"/>
    <hyperlink r:id="rId2449" location="'Sources'!A35" ref="J658"/>
    <hyperlink r:id="rId2450" ref="K658"/>
    <hyperlink r:id="rId2451" location="'Club Colours'!A653" ref="L658"/>
    <hyperlink r:id="rId2452" ref="P658"/>
    <hyperlink r:id="rId2453" location="'Sources'!A35" ref="J659"/>
    <hyperlink r:id="rId2454" ref="K659"/>
    <hyperlink r:id="rId2455" location="'Club Colours'!A657" ref="L659"/>
    <hyperlink r:id="rId2456" ref="P659"/>
    <hyperlink r:id="rId2457" location="'Sources'!A35" ref="J660"/>
    <hyperlink r:id="rId2458" ref="K660"/>
    <hyperlink r:id="rId2459" location="'Club Colours'!A659" ref="L660"/>
    <hyperlink r:id="rId2460" ref="P660"/>
    <hyperlink r:id="rId2461" location="'Sources'!A35" ref="J661"/>
    <hyperlink r:id="rId2462" ref="K661"/>
    <hyperlink r:id="rId2463" location="'Club Colours'!A661" ref="L661"/>
    <hyperlink r:id="rId2464" ref="P661"/>
    <hyperlink r:id="rId2465" location="'Sources'!A35" ref="J662"/>
    <hyperlink r:id="rId2466" ref="K662"/>
    <hyperlink r:id="rId2467" location="'Club Colours'!A664" ref="L662"/>
    <hyperlink r:id="rId2468" ref="P662"/>
    <hyperlink r:id="rId2469" location="'Sources'!A35" ref="J663"/>
    <hyperlink r:id="rId2470" ref="K663"/>
    <hyperlink r:id="rId2471" location="'Club Colours'!A665" ref="L663"/>
    <hyperlink r:id="rId2472" ref="P663"/>
    <hyperlink r:id="rId2473" location="'Sources'!A35" ref="J664"/>
    <hyperlink r:id="rId2474" ref="K664"/>
    <hyperlink r:id="rId2475" location="'Club Colours'!A667" ref="L664"/>
    <hyperlink r:id="rId2476" ref="P664"/>
    <hyperlink r:id="rId2477" location="'Sources'!A35" ref="J665"/>
    <hyperlink r:id="rId2478" ref="K665"/>
    <hyperlink r:id="rId2479" location="'Club Colours'!A672" ref="L665"/>
    <hyperlink r:id="rId2480" ref="P665"/>
    <hyperlink r:id="rId2481" location="'Sources'!A36" ref="J666"/>
    <hyperlink r:id="rId2482" ref="K666"/>
    <hyperlink r:id="rId2483" location="'Club Colours'!A648" ref="L666"/>
    <hyperlink r:id="rId2484" ref="P666"/>
    <hyperlink r:id="rId2485" location="'Sources'!A36" ref="J667"/>
    <hyperlink r:id="rId2486" ref="K667"/>
    <hyperlink r:id="rId2487" location="'Club Colours'!A649" ref="L667"/>
    <hyperlink r:id="rId2488" ref="P667"/>
    <hyperlink r:id="rId2489" location="'Sources'!A36" ref="J668"/>
    <hyperlink r:id="rId2490" ref="K668"/>
    <hyperlink r:id="rId2491" location="'Club Colours'!A658" ref="L668"/>
    <hyperlink r:id="rId2492" ref="P668"/>
    <hyperlink r:id="rId2493" location="'Sources'!A36" ref="J669"/>
    <hyperlink r:id="rId2494" ref="K669"/>
    <hyperlink r:id="rId2495" location="'Club Colours'!A660" ref="L669"/>
    <hyperlink r:id="rId2496" ref="P669"/>
    <hyperlink r:id="rId2497" location="'Sources'!A36" ref="J670"/>
    <hyperlink r:id="rId2498" ref="K670"/>
    <hyperlink r:id="rId2499" location="'Club Colours'!A663" ref="L670"/>
    <hyperlink r:id="rId2500" ref="P670"/>
    <hyperlink r:id="rId2501" location="'Sources'!A36" ref="J671"/>
    <hyperlink r:id="rId2502" ref="K671"/>
    <hyperlink r:id="rId2503" location="'Club Colours'!A666" ref="L671"/>
    <hyperlink r:id="rId2504" ref="P671"/>
    <hyperlink r:id="rId2505" location="'Sources'!A36" ref="J672"/>
    <hyperlink r:id="rId2506" ref="K672"/>
    <hyperlink r:id="rId2507" location="'Club Colours'!A668" ref="N672"/>
    <hyperlink r:id="rId2508" location="'Sources'!A36" ref="J673"/>
    <hyperlink r:id="rId2509" ref="K673"/>
    <hyperlink r:id="rId2510" location="'Club Colours'!A669" ref="L673"/>
    <hyperlink r:id="rId2511" ref="P673"/>
    <hyperlink r:id="rId2512" location="'Sources'!A36" ref="J674"/>
    <hyperlink r:id="rId2513" ref="K674"/>
    <hyperlink r:id="rId2514" location="'Club Colours'!A670" ref="L674"/>
    <hyperlink r:id="rId2515" ref="P674"/>
    <hyperlink r:id="rId2516" location="'Sources'!A36" ref="J675"/>
    <hyperlink r:id="rId2517" ref="K675"/>
    <hyperlink r:id="rId2518" location="'Club Colours'!A673" ref="L675"/>
    <hyperlink r:id="rId2519" ref="P675"/>
    <hyperlink r:id="rId2520" location="'Sources'!A36" ref="J676"/>
    <hyperlink r:id="rId2521" ref="K676"/>
    <hyperlink r:id="rId2522" location="'Club Colours'!A675" ref="L676"/>
    <hyperlink r:id="rId2523" ref="P676"/>
    <hyperlink r:id="rId2524" location="'Sources'!A36" ref="J677"/>
    <hyperlink r:id="rId2525" ref="K677"/>
    <hyperlink r:id="rId2526" location="'Club Colours'!A676" ref="L677"/>
    <hyperlink r:id="rId2527" ref="P677"/>
    <hyperlink r:id="rId2528" location="'Sources'!A38" ref="J678"/>
    <hyperlink r:id="rId2529" ref="K678"/>
    <hyperlink r:id="rId2530" location="'Club Colours'!A506" ref="L678"/>
    <hyperlink r:id="rId2531" ref="P678"/>
    <hyperlink r:id="rId2532" location="'Sources'!A38" ref="J679"/>
    <hyperlink r:id="rId2533" ref="K679"/>
    <hyperlink r:id="rId2534" location="'Club Colours'!A8" ref="L679"/>
    <hyperlink r:id="rId2535" ref="P679"/>
    <hyperlink r:id="rId2536" location="'Sources'!A38" ref="J680"/>
    <hyperlink r:id="rId2537" ref="K680"/>
    <hyperlink r:id="rId2538" location="'Club Colours'!A9" ref="L680"/>
    <hyperlink r:id="rId2539" ref="P680"/>
    <hyperlink r:id="rId2540" location="'Sources'!A38" ref="J681"/>
    <hyperlink r:id="rId2541" ref="K681"/>
    <hyperlink r:id="rId2542" location="'Club Colours'!A84" ref="L681"/>
    <hyperlink r:id="rId2543" ref="P681"/>
    <hyperlink r:id="rId2544" location="'Sources'!A38" ref="J682"/>
    <hyperlink r:id="rId2545" ref="K682"/>
    <hyperlink r:id="rId2546" location="'Club Colours'!A87" ref="L682"/>
    <hyperlink r:id="rId2547" ref="P682"/>
    <hyperlink r:id="rId2548" location="'Sources'!A38" ref="J683"/>
    <hyperlink r:id="rId2549" ref="K683"/>
    <hyperlink r:id="rId2550" location="'Club Colours'!A266" ref="L683"/>
    <hyperlink r:id="rId2551" ref="P683"/>
    <hyperlink r:id="rId2552" location="'Sources'!A38" ref="J684"/>
    <hyperlink r:id="rId2553" ref="K684"/>
    <hyperlink r:id="rId2554" location="'Club Colours'!A678" ref="L684"/>
    <hyperlink r:id="rId2555" ref="P684"/>
    <hyperlink r:id="rId2556" location="'Sources'!A38" ref="J685"/>
    <hyperlink r:id="rId2557" ref="K685"/>
    <hyperlink r:id="rId2558" location="'Club Colours'!A267" ref="L685"/>
    <hyperlink r:id="rId2559" ref="P685"/>
    <hyperlink r:id="rId2560" location="'Sources'!A38" ref="J686"/>
    <hyperlink r:id="rId2561" ref="K686"/>
    <hyperlink r:id="rId2562" location="'Club Colours'!A683" ref="L686"/>
    <hyperlink r:id="rId2563" ref="P686"/>
    <hyperlink r:id="rId2564" location="'Sources'!A38" ref="J687"/>
    <hyperlink r:id="rId2565" ref="K687"/>
    <hyperlink r:id="rId2566" location="'Club Colours'!A181" ref="L687"/>
    <hyperlink r:id="rId2567" ref="P687"/>
    <hyperlink r:id="rId2568" location="'Sources'!A38" ref="J688"/>
    <hyperlink r:id="rId2569" ref="K688"/>
    <hyperlink r:id="rId2570" location="'Club Colours'!A688" ref="L688"/>
    <hyperlink r:id="rId2571" ref="P688"/>
    <hyperlink r:id="rId2572" location="'Sources'!A38" ref="J689"/>
    <hyperlink r:id="rId2573" ref="K689"/>
    <hyperlink r:id="rId2574" location="'Club Colours'!A694" ref="L689"/>
    <hyperlink r:id="rId2575" ref="P689"/>
    <hyperlink r:id="rId2576" location="'Sources'!A38" ref="J690"/>
    <hyperlink r:id="rId2577" ref="K690"/>
    <hyperlink r:id="rId2578" location="'Club Colours'!A689" ref="L690"/>
    <hyperlink r:id="rId2579" ref="P690"/>
    <hyperlink r:id="rId2580" location="'Sources'!A38" ref="J691"/>
    <hyperlink r:id="rId2581" ref="K691"/>
    <hyperlink r:id="rId2582" location="'Club Colours'!A200" ref="L691"/>
    <hyperlink r:id="rId2583" ref="P691"/>
    <hyperlink r:id="rId2584" location="'Sources'!A38" ref="J692"/>
    <hyperlink r:id="rId2585" ref="K692"/>
    <hyperlink r:id="rId2586" location="'Club Colours'!A697" ref="L692"/>
    <hyperlink r:id="rId2587" ref="P692"/>
    <hyperlink r:id="rId2588" location="'Sources'!A38" ref="J693"/>
    <hyperlink r:id="rId2589" ref="K693"/>
    <hyperlink r:id="rId2590" location="'Club Colours'!A336" ref="L693"/>
    <hyperlink r:id="rId2591" ref="P693"/>
    <hyperlink r:id="rId2592" location="'Sources'!A38" ref="J694"/>
    <hyperlink r:id="rId2593" ref="K694"/>
    <hyperlink r:id="rId2594" location="'Club Colours'!A337" ref="L694"/>
    <hyperlink r:id="rId2595" ref="P694"/>
    <hyperlink r:id="rId2596" location="'Sources'!A38" ref="J695"/>
    <hyperlink r:id="rId2597" ref="K695"/>
    <hyperlink r:id="rId2598" location="'Club Colours'!A40" ref="L695"/>
    <hyperlink r:id="rId2599" ref="P695"/>
    <hyperlink r:id="rId2600" location="'Sources'!A38" ref="J696"/>
    <hyperlink r:id="rId2601" ref="K696"/>
    <hyperlink r:id="rId2602" location="'Club Colours'!A42" ref="L696"/>
    <hyperlink r:id="rId2603" ref="P696"/>
    <hyperlink r:id="rId2604" location="'Sources'!A38" ref="J697"/>
    <hyperlink r:id="rId2605" ref="K697"/>
    <hyperlink r:id="rId2606" location="'Club Colours'!A43" ref="L697"/>
    <hyperlink r:id="rId2607" ref="P697"/>
    <hyperlink r:id="rId2608" location="'Sources'!A38" ref="J698"/>
    <hyperlink r:id="rId2609" ref="K698"/>
    <hyperlink r:id="rId2610" location="'Club Colours'!A216" ref="L698"/>
    <hyperlink r:id="rId2611" ref="P698"/>
    <hyperlink r:id="rId2612" location="'Sources'!A38" ref="J699"/>
    <hyperlink r:id="rId2613" ref="K699"/>
    <hyperlink r:id="rId2614" location="'Club Colours'!A350" ref="L699"/>
    <hyperlink r:id="rId2615" ref="P699"/>
    <hyperlink r:id="rId2616" location="'Sources'!A38" ref="J700"/>
    <hyperlink r:id="rId2617" ref="K700"/>
    <hyperlink r:id="rId2618" location="'Club Colours'!A702" ref="L700"/>
    <hyperlink r:id="rId2619" ref="P700"/>
    <hyperlink r:id="rId2620" location="'Sources'!A38" ref="J701"/>
    <hyperlink r:id="rId2621" ref="K701"/>
    <hyperlink r:id="rId2622" location="'Club Colours'!A696" ref="L701"/>
    <hyperlink r:id="rId2623" ref="P701"/>
    <hyperlink r:id="rId2624" location="'Sources'!A38" ref="J702"/>
    <hyperlink r:id="rId2625" ref="K702"/>
    <hyperlink r:id="rId2626" location="'Club Colours'!A290" ref="L702"/>
    <hyperlink r:id="rId2627" ref="P702"/>
    <hyperlink r:id="rId2628" location="'Sources'!A38" ref="J703"/>
    <hyperlink r:id="rId2629" ref="K703"/>
    <hyperlink r:id="rId2630" location="'Club Colours'!A131" ref="L703"/>
    <hyperlink r:id="rId2631" ref="P703"/>
    <hyperlink r:id="rId2632" location="'Sources'!A38" ref="J704"/>
    <hyperlink r:id="rId2633" ref="K704"/>
    <hyperlink r:id="rId2634" location="'Club Colours'!A133" ref="L704"/>
    <hyperlink r:id="rId2635" ref="P704"/>
    <hyperlink r:id="rId2636" location="'Sources'!A38" ref="J705"/>
    <hyperlink r:id="rId2637" ref="K705"/>
    <hyperlink r:id="rId2638" location="'Club Colours'!A235" ref="L705"/>
    <hyperlink r:id="rId2639" ref="P705"/>
    <hyperlink r:id="rId2640" location="'Sources'!A38" ref="J706"/>
    <hyperlink r:id="rId2641" ref="K706"/>
    <hyperlink r:id="rId2642" location="'Club Colours'!A705" ref="L706"/>
    <hyperlink r:id="rId2643" ref="P706"/>
    <hyperlink r:id="rId2644" location="'Sources'!A38" ref="J707"/>
    <hyperlink r:id="rId2645" ref="K707"/>
    <hyperlink r:id="rId2646" location="'Club Colours'!A706" ref="L707"/>
    <hyperlink r:id="rId2647" ref="P707"/>
    <hyperlink r:id="rId2648" location="'Sources'!A38" ref="J708"/>
    <hyperlink r:id="rId2649" ref="K708"/>
    <hyperlink r:id="rId2650" location="'Club Colours'!A708" ref="L708"/>
    <hyperlink r:id="rId2651" ref="P708"/>
    <hyperlink r:id="rId2652" location="'Sources'!A38" ref="J709"/>
    <hyperlink r:id="rId2653" ref="K709"/>
    <hyperlink r:id="rId2654" location="'Club Colours'!A711" ref="L709"/>
    <hyperlink r:id="rId2655" ref="P709"/>
    <hyperlink r:id="rId2656" location="'Sources'!A38" ref="J710"/>
    <hyperlink r:id="rId2657" ref="K710"/>
    <hyperlink r:id="rId2658" location="'Club Colours'!A703" ref="L710"/>
    <hyperlink r:id="rId2659" ref="P710"/>
    <hyperlink r:id="rId2660" location="'Sources'!A38" ref="J711"/>
    <hyperlink r:id="rId2661" ref="K711"/>
    <hyperlink r:id="rId2662" location="'Club Colours'!A304" ref="L711"/>
    <hyperlink r:id="rId2663" ref="P711"/>
    <hyperlink r:id="rId2664" location="'Sources'!A38" ref="J712"/>
    <hyperlink r:id="rId2665" ref="K712"/>
    <hyperlink r:id="rId2666" location="'Club Colours'!A681" ref="L712"/>
    <hyperlink r:id="rId2667" ref="P712"/>
    <hyperlink r:id="rId2668" location="'Sources'!A38" ref="J713"/>
    <hyperlink r:id="rId2669" ref="K713"/>
    <hyperlink r:id="rId2670" location="'Club Colours'!A153" ref="L713"/>
    <hyperlink r:id="rId2671" ref="P713"/>
    <hyperlink r:id="rId2672" location="'Sources'!A39" ref="J714"/>
    <hyperlink r:id="rId2673" ref="K714"/>
    <hyperlink r:id="rId2674" location="'Club Colours'!A682" ref="L714"/>
    <hyperlink r:id="rId2675" ref="P714"/>
    <hyperlink r:id="rId2676" location="'Sources'!A39" ref="J715"/>
    <hyperlink r:id="rId2677" ref="K715"/>
    <hyperlink r:id="rId2678" location="'Club Colours'!A712" ref="L715"/>
    <hyperlink r:id="rId2679" ref="P715"/>
    <hyperlink r:id="rId2680" location="'Sources'!A39" ref="J716"/>
    <hyperlink r:id="rId2681" ref="K716"/>
    <hyperlink r:id="rId2682" location="'Club Colours'!A692" ref="L716"/>
    <hyperlink r:id="rId2683" ref="P716"/>
    <hyperlink r:id="rId2684" location="'Sources'!A39" ref="J717"/>
    <hyperlink r:id="rId2685" ref="K717"/>
    <hyperlink r:id="rId2686" location="'Club Colours'!A265" ref="L717"/>
    <hyperlink r:id="rId2687" ref="P717"/>
    <hyperlink r:id="rId2688" location="'Sources'!A39" ref="J718"/>
    <hyperlink r:id="rId2689" ref="K718"/>
    <hyperlink r:id="rId2690" location="'Club Colours'!A700" ref="L718"/>
    <hyperlink r:id="rId2691" ref="P718"/>
    <hyperlink r:id="rId2692" location="'Sources'!A39" ref="J719"/>
    <hyperlink r:id="rId2693" ref="K719"/>
    <hyperlink r:id="rId2694" location="'Club Colours'!A687" ref="L719"/>
    <hyperlink r:id="rId2695" ref="P719"/>
    <hyperlink r:id="rId2696" location="'Sources'!A39" ref="J720"/>
    <hyperlink r:id="rId2697" ref="K720"/>
    <hyperlink r:id="rId2698" location="'Club Colours'!A15" ref="L720"/>
    <hyperlink r:id="rId2699" ref="P720"/>
    <hyperlink r:id="rId2700" location="'Sources'!A39" ref="J721"/>
    <hyperlink r:id="rId2701" ref="K721"/>
    <hyperlink r:id="rId2702" location="'Club Colours'!A713" ref="L721"/>
    <hyperlink r:id="rId2703" ref="P721"/>
    <hyperlink r:id="rId2704" location="'Sources'!A39" ref="J722"/>
    <hyperlink r:id="rId2705" ref="K722"/>
    <hyperlink r:id="rId2706" location="'Club Colours'!A94" ref="L722"/>
    <hyperlink r:id="rId2707" ref="P722"/>
    <hyperlink r:id="rId2708" location="'Sources'!A39" ref="J723"/>
    <hyperlink r:id="rId2709" ref="K723"/>
    <hyperlink r:id="rId2710" location="'Club Colours'!A714" ref="L723"/>
    <hyperlink r:id="rId2711" ref="P723"/>
    <hyperlink r:id="rId2712" location="'Sources'!A39" ref="J724"/>
    <hyperlink r:id="rId2713" ref="K724"/>
    <hyperlink r:id="rId2714" location="'Club Colours'!A28" ref="L724"/>
    <hyperlink r:id="rId2715" ref="P724"/>
    <hyperlink r:id="rId2716" location="'Sources'!A39" ref="J725"/>
    <hyperlink r:id="rId2717" ref="K725"/>
    <hyperlink r:id="rId2718" location="'Club Colours'!A716" ref="L725"/>
    <hyperlink r:id="rId2719" ref="P725"/>
    <hyperlink r:id="rId2720" location="'Sources'!A39" ref="J726"/>
    <hyperlink r:id="rId2721" ref="K726"/>
    <hyperlink r:id="rId2722" location="'Club Colours'!A718" ref="L726"/>
    <hyperlink r:id="rId2723" ref="P726"/>
    <hyperlink r:id="rId2724" location="'Sources'!A39" ref="J727"/>
    <hyperlink r:id="rId2725" ref="K727"/>
    <hyperlink r:id="rId2726" location="'Club Colours'!A719" ref="L727"/>
    <hyperlink r:id="rId2727" ref="P727"/>
    <hyperlink r:id="rId2728" location="'Sources'!A39" ref="J728"/>
    <hyperlink r:id="rId2729" ref="K728"/>
    <hyperlink r:id="rId2730" location="'Club Colours'!A720" ref="L728"/>
    <hyperlink r:id="rId2731" ref="P728"/>
    <hyperlink r:id="rId2732" location="'Sources'!A39" ref="J729"/>
    <hyperlink r:id="rId2733" ref="K729"/>
    <hyperlink r:id="rId2734" location="'Club Colours'!A203" ref="L729"/>
    <hyperlink r:id="rId2735" ref="P729"/>
    <hyperlink r:id="rId2736" location="'Sources'!A39" ref="J730"/>
    <hyperlink r:id="rId2737" ref="K730"/>
    <hyperlink r:id="rId2738" location="'Club Colours'!A721" ref="L730"/>
    <hyperlink r:id="rId2739" ref="P730"/>
    <hyperlink r:id="rId2740" location="'Sources'!A39" ref="J731"/>
    <hyperlink r:id="rId2741" ref="K731"/>
    <hyperlink r:id="rId2742" location="'Club Colours'!A723" ref="L731"/>
    <hyperlink r:id="rId2743" ref="P731"/>
    <hyperlink r:id="rId2744" location="'Sources'!A39" ref="J732"/>
    <hyperlink r:id="rId2745" ref="K732"/>
    <hyperlink r:id="rId2746" location="'Club Colours'!A680" ref="L732"/>
    <hyperlink r:id="rId2747" ref="P732"/>
    <hyperlink r:id="rId2748" location="'Sources'!A39" ref="J733"/>
    <hyperlink r:id="rId2749" ref="K733"/>
    <hyperlink r:id="rId2750" location="'Club Colours'!A339" ref="L733"/>
    <hyperlink r:id="rId2751" ref="P733"/>
    <hyperlink r:id="rId2752" location="'Sources'!A39" ref="J734"/>
    <hyperlink r:id="rId2753" ref="K734"/>
    <hyperlink r:id="rId2754" location="'Club Colours'!A340" ref="L734"/>
    <hyperlink r:id="rId2755" ref="P734"/>
    <hyperlink r:id="rId2756" location="'Sources'!A39" ref="J735"/>
    <hyperlink r:id="rId2757" ref="K735"/>
    <hyperlink r:id="rId2758" location="'Club Colours'!A212" ref="L735"/>
    <hyperlink r:id="rId2759" ref="P735"/>
    <hyperlink r:id="rId2760" location="'Sources'!A39" ref="J736"/>
    <hyperlink r:id="rId2761" ref="K736"/>
    <hyperlink r:id="rId2762" location="'Club Colours'!A695" ref="L736"/>
    <hyperlink r:id="rId2763" ref="P736"/>
    <hyperlink r:id="rId2764" location="'Sources'!A39" ref="J737"/>
    <hyperlink r:id="rId2765" ref="K737"/>
    <hyperlink r:id="rId2766" location="'Club Colours'!A594" ref="L737"/>
    <hyperlink r:id="rId2767" ref="P737"/>
    <hyperlink r:id="rId2768" location="'Sources'!A39" ref="J738"/>
    <hyperlink r:id="rId2769" ref="K738"/>
    <hyperlink r:id="rId2770" location="'Club Colours'!A595" ref="L738"/>
    <hyperlink r:id="rId2771" ref="P738"/>
    <hyperlink r:id="rId2772" location="'Sources'!A39" ref="J739"/>
    <hyperlink r:id="rId2773" ref="K739"/>
    <hyperlink r:id="rId2774" location="'Club Colours'!A724" ref="L739"/>
    <hyperlink r:id="rId2775" ref="P739"/>
    <hyperlink r:id="rId2776" location="'Sources'!A39" ref="J740"/>
    <hyperlink r:id="rId2777" ref="K740"/>
    <hyperlink r:id="rId2778" location="'Club Colours'!A137" ref="L740"/>
    <hyperlink r:id="rId2779" ref="P740"/>
    <hyperlink r:id="rId2780" location="'Sources'!A39" ref="J741"/>
    <hyperlink r:id="rId2781" ref="K741"/>
    <hyperlink r:id="rId2782" location="'Club Colours'!A698" ref="L741"/>
    <hyperlink r:id="rId2783" ref="P741"/>
    <hyperlink r:id="rId2784" location="'Sources'!A39" ref="J742"/>
    <hyperlink r:id="rId2785" ref="K742"/>
    <hyperlink r:id="rId2786" location="'Club Colours'!A355" ref="L742"/>
    <hyperlink r:id="rId2787" ref="P742"/>
    <hyperlink r:id="rId2788" location="'Sources'!A39" ref="J743"/>
    <hyperlink r:id="rId2789" ref="K743"/>
    <hyperlink r:id="rId2790" location="'Club Colours'!A709" ref="L743"/>
    <hyperlink r:id="rId2791" ref="P743"/>
    <hyperlink r:id="rId2792" location="'Sources'!A39" ref="J744"/>
    <hyperlink r:id="rId2793" ref="K744"/>
    <hyperlink r:id="rId2794" location="'Club Colours'!A699" ref="L744"/>
    <hyperlink r:id="rId2795" ref="P744"/>
    <hyperlink r:id="rId2796" location="'Sources'!A39" ref="J745"/>
    <hyperlink r:id="rId2797" ref="K745"/>
    <hyperlink r:id="rId2798" location="'Club Colours'!A65" ref="L745"/>
    <hyperlink r:id="rId2799" ref="P745"/>
    <hyperlink r:id="rId2800" location="'Sources'!A39" ref="J746"/>
    <hyperlink r:id="rId2801" ref="K746"/>
    <hyperlink r:id="rId2802" location="'Club Colours'!A704" ref="L746"/>
    <hyperlink r:id="rId2803" ref="P746"/>
    <hyperlink r:id="rId2804" location="'Sources'!A39" ref="J747"/>
    <hyperlink r:id="rId2805" ref="K747"/>
    <hyperlink r:id="rId2806" location="'Club Colours'!A300" ref="L747"/>
    <hyperlink r:id="rId2807" ref="P747"/>
    <hyperlink r:id="rId2808" location="'Sources'!A39" ref="J748"/>
    <hyperlink r:id="rId2809" ref="K748"/>
    <hyperlink r:id="rId2810" location="'Club Colours'!A686" ref="L748"/>
    <hyperlink r:id="rId2811" ref="P748"/>
    <hyperlink r:id="rId2812" location="'Sources'!A39" ref="J749"/>
    <hyperlink r:id="rId2813" ref="K749"/>
    <hyperlink r:id="rId2814" location="'Club Colours'!A710" ref="L749"/>
    <hyperlink r:id="rId2815" ref="P749"/>
    <hyperlink r:id="rId2816" location="'Sources'!A40" ref="J750"/>
    <hyperlink r:id="rId2817" ref="K750"/>
    <hyperlink r:id="rId2818" location="'Club Colours'!A726" ref="L750"/>
    <hyperlink r:id="rId2819" ref="P750"/>
    <hyperlink r:id="rId2820" location="'Sources'!A40" ref="J751"/>
    <hyperlink r:id="rId2821" ref="K751"/>
    <hyperlink r:id="rId2822" location="'Club Colours'!A691" ref="L751"/>
    <hyperlink r:id="rId2823" ref="P751"/>
    <hyperlink r:id="rId2824" location="'Sources'!A40" ref="J752"/>
    <hyperlink r:id="rId2825" ref="K752"/>
    <hyperlink r:id="rId2826" location="'Club Colours'!A162" ref="L752"/>
    <hyperlink r:id="rId2827" ref="P752"/>
    <hyperlink r:id="rId2828" location="'Sources'!A40" ref="J753"/>
    <hyperlink r:id="rId2829" ref="K753"/>
    <hyperlink r:id="rId2830" location="'Club Colours'!A730" ref="L753"/>
    <hyperlink r:id="rId2831" ref="P753"/>
    <hyperlink r:id="rId2832" location="'Sources'!A40" ref="J754"/>
    <hyperlink r:id="rId2833" ref="K754"/>
    <hyperlink r:id="rId2834" location="'Club Colours'!A701" ref="L754"/>
    <hyperlink r:id="rId2835" ref="P754"/>
    <hyperlink r:id="rId2836" location="'Sources'!A40" ref="J755"/>
    <hyperlink r:id="rId2837" ref="K755"/>
    <hyperlink r:id="rId2838" location="'Club Colours'!A679" ref="L755"/>
    <hyperlink r:id="rId2839" ref="P755"/>
    <hyperlink r:id="rId2840" location="'Sources'!A40" ref="J756"/>
    <hyperlink r:id="rId2841" ref="K756"/>
    <hyperlink r:id="rId2842" location="'Club Colours'!A18" ref="L756"/>
    <hyperlink r:id="rId2843" ref="P756"/>
    <hyperlink r:id="rId2844" location="'Sources'!A40" ref="J757"/>
    <hyperlink r:id="rId2845" ref="K757"/>
    <hyperlink r:id="rId2846" location="'Club Colours'!A731" ref="L757"/>
    <hyperlink r:id="rId2847" ref="P757"/>
    <hyperlink r:id="rId2848" location="'Sources'!A40" ref="J758"/>
    <hyperlink r:id="rId2849" ref="K758"/>
    <hyperlink r:id="rId2850" location="'Club Colours'!A722" ref="L758"/>
    <hyperlink r:id="rId2851" ref="P758"/>
    <hyperlink r:id="rId2852" location="'Sources'!A40" ref="J759"/>
    <hyperlink r:id="rId2853" ref="K759"/>
    <hyperlink r:id="rId2854" location="'Club Colours'!A732" ref="L759"/>
    <hyperlink r:id="rId2855" ref="P759"/>
    <hyperlink r:id="rId2856" location="'Sources'!A40" ref="J760"/>
    <hyperlink r:id="rId2857" ref="K760"/>
    <hyperlink r:id="rId2858" location="'Club Colours'!A727" ref="L760"/>
    <hyperlink r:id="rId2859" ref="P760"/>
    <hyperlink r:id="rId2860" location="'Sources'!A40" ref="J761"/>
    <hyperlink r:id="rId2861" ref="K761"/>
    <hyperlink r:id="rId2862" location="'Club Colours'!A728" ref="L761"/>
    <hyperlink r:id="rId2863" ref="P761"/>
    <hyperlink r:id="rId2864" location="'Sources'!A40" ref="J762"/>
    <hyperlink r:id="rId2865" ref="K762"/>
    <hyperlink r:id="rId2866" location="'Club Colours'!A729" ref="L762"/>
    <hyperlink r:id="rId2867" ref="P762"/>
    <hyperlink r:id="rId2868" location="'Sources'!A40" ref="J763"/>
    <hyperlink r:id="rId2869" ref="K763"/>
    <hyperlink r:id="rId2870" location="'Club Colours'!A693" ref="L763"/>
    <hyperlink r:id="rId2871" ref="P763"/>
    <hyperlink r:id="rId2872" location="'Sources'!A40" ref="J764"/>
    <hyperlink r:id="rId2873" ref="K764"/>
    <hyperlink r:id="rId2874" location="'Club Colours'!A684" ref="L764"/>
    <hyperlink r:id="rId2875" ref="P764"/>
    <hyperlink r:id="rId2876" location="'Sources'!A40" ref="J765"/>
    <hyperlink r:id="rId2877" ref="K765"/>
    <hyperlink r:id="rId2878" location="'Club Colours'!A108" ref="L765"/>
    <hyperlink r:id="rId2879" ref="P765"/>
    <hyperlink r:id="rId2880" location="'Sources'!A40" ref="J766"/>
    <hyperlink r:id="rId2881" ref="K766"/>
    <hyperlink r:id="rId2882" location="'Club Colours'!A717" ref="L766"/>
    <hyperlink r:id="rId2883" ref="P766"/>
    <hyperlink r:id="rId2884" location="'Sources'!A40" ref="J767"/>
    <hyperlink r:id="rId2885" ref="K767"/>
    <hyperlink r:id="rId2886" location="'Club Colours'!A715" ref="L767"/>
    <hyperlink r:id="rId2887" ref="P767"/>
    <hyperlink r:id="rId2888" location="'Sources'!A40" ref="J768"/>
    <hyperlink r:id="rId2889" ref="K768"/>
    <hyperlink r:id="rId2890" location="'Club Colours'!A733" ref="L768"/>
    <hyperlink r:id="rId2891" ref="P768"/>
    <hyperlink r:id="rId2892" location="'Sources'!A40" ref="J769"/>
    <hyperlink r:id="rId2893" ref="K769"/>
    <hyperlink r:id="rId2894" location="'Club Colours'!A734" ref="L769"/>
    <hyperlink r:id="rId2895" ref="P769"/>
    <hyperlink r:id="rId2896" location="'Sources'!A40" ref="J770"/>
    <hyperlink r:id="rId2897" ref="K770"/>
    <hyperlink r:id="rId2898" location="'Club Colours'!A707" ref="L770"/>
    <hyperlink r:id="rId2899" ref="P770"/>
    <hyperlink r:id="rId2900" location="'Sources'!A40" ref="J771"/>
    <hyperlink r:id="rId2901" ref="K771"/>
    <hyperlink r:id="rId2902" location="'Club Colours'!A735" ref="L771"/>
    <hyperlink r:id="rId2903" ref="P771"/>
    <hyperlink r:id="rId2904" location="'Sources'!A40" ref="J772"/>
    <hyperlink r:id="rId2905" ref="K772"/>
    <hyperlink r:id="rId2906" location="'Club Colours'!A736" ref="L772"/>
    <hyperlink r:id="rId2907" ref="P772"/>
    <hyperlink r:id="rId2908" location="'Sources'!A40" ref="J773"/>
    <hyperlink r:id="rId2909" ref="K773"/>
    <hyperlink r:id="rId2910" location="'Club Colours'!A662" ref="L773"/>
    <hyperlink r:id="rId2911" ref="P773"/>
    <hyperlink r:id="rId2912" location="'Sources'!A40" ref="J774"/>
    <hyperlink r:id="rId2913" ref="K774"/>
    <hyperlink r:id="rId2914" location="'Club Colours'!A737" ref="L774"/>
    <hyperlink r:id="rId2915" ref="P774"/>
    <hyperlink r:id="rId2916" location="'Sources'!A40" ref="J775"/>
    <hyperlink r:id="rId2917" ref="K775"/>
    <hyperlink r:id="rId2918" location="'Club Colours'!A738" ref="L775"/>
    <hyperlink r:id="rId2919" ref="P775"/>
    <hyperlink r:id="rId2920" location="'Sources'!A40" ref="J776"/>
    <hyperlink r:id="rId2921" ref="K776"/>
    <hyperlink r:id="rId2922" location="'Club Colours'!A740" ref="L776"/>
    <hyperlink r:id="rId2923" ref="P776"/>
    <hyperlink r:id="rId2924" location="'Sources'!A40" ref="J777"/>
    <hyperlink r:id="rId2925" ref="K777"/>
    <hyperlink r:id="rId2926" location="'Club Colours'!A342" ref="L777"/>
    <hyperlink r:id="rId2927" ref="P777"/>
    <hyperlink r:id="rId2928" location="'Sources'!A40" ref="J778"/>
    <hyperlink r:id="rId2929" ref="K778"/>
    <hyperlink r:id="rId2930" location="'Club Colours'!A725" ref="L778"/>
    <hyperlink r:id="rId2931" ref="P778"/>
    <hyperlink r:id="rId2932" location="'Sources'!A40" ref="J779"/>
    <hyperlink r:id="rId2933" ref="K779"/>
    <hyperlink r:id="rId2934" location="'Club Colours'!A604" ref="L779"/>
    <hyperlink r:id="rId2935" ref="P779"/>
    <hyperlink r:id="rId2936" location="'Sources'!A40" ref="J780"/>
    <hyperlink r:id="rId2937" ref="K780"/>
    <hyperlink r:id="rId2938" location="'Club Colours'!A741" ref="L780"/>
    <hyperlink r:id="rId2939" ref="P780"/>
    <hyperlink r:id="rId2940" location="'Sources'!A40" ref="J781"/>
    <hyperlink r:id="rId2941" ref="K781"/>
    <hyperlink r:id="rId2942" location="'Club Colours'!A292" ref="L781"/>
    <hyperlink r:id="rId2943" ref="P781"/>
    <hyperlink r:id="rId2944" location="'Sources'!A40" ref="J782"/>
    <hyperlink r:id="rId2945" ref="K782"/>
    <hyperlink r:id="rId2946" location="'Club Colours'!A685" ref="L782"/>
    <hyperlink r:id="rId2947" ref="P782"/>
    <hyperlink r:id="rId2948" location="'Sources'!A40" ref="J783"/>
    <hyperlink r:id="rId2949" ref="K783"/>
    <hyperlink r:id="rId2950" location="'Club Colours'!A739" ref="L783"/>
    <hyperlink r:id="rId2951" ref="P783"/>
    <hyperlink r:id="rId2952" location="'Sources'!A40" ref="J784"/>
    <hyperlink r:id="rId2953" ref="K784"/>
    <hyperlink r:id="rId2954" location="'Club Colours'!A690" ref="L784"/>
    <hyperlink r:id="rId2955" ref="P784"/>
    <hyperlink r:id="rId2956" location="'Sources'!A40" ref="J785"/>
    <hyperlink r:id="rId2957" ref="K785"/>
    <hyperlink r:id="rId2958" location="'Club Colours'!A490" ref="L785"/>
    <hyperlink r:id="rId2959" ref="P785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2960"/>
  <legacyDrawing r:id="rId2961"/>
  <tableParts count="1">
    <tablePart r:id="rId296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20.0"/>
    <col customWidth="1" min="2" max="2" width="31.0"/>
    <col customWidth="1" min="3" max="3" width="8.0"/>
    <col customWidth="1" min="4" max="4" width="12.0"/>
    <col customWidth="1" min="5" max="5" width="9.0"/>
    <col customWidth="1" min="6" max="8" width="13.0"/>
    <col customWidth="1" min="9" max="9" width="12.0"/>
    <col customWidth="1" min="10" max="10" width="63.0"/>
    <col customWidth="1" min="11" max="11" width="12.0"/>
    <col customWidth="1" min="12" max="12" width="88.0"/>
    <col customWidth="1" min="13" max="26" width="8.71"/>
  </cols>
  <sheetData>
    <row r="1" ht="22.5" customHeight="1">
      <c r="A1" s="1" t="s">
        <v>234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6"/>
    </row>
    <row r="3" ht="24.0" customHeight="1">
      <c r="A3" s="7" t="s">
        <v>237</v>
      </c>
    </row>
    <row r="4" ht="21.75" customHeight="1">
      <c r="A4" s="60" t="s">
        <v>85</v>
      </c>
    </row>
    <row r="5" ht="9.0" customHeight="1"/>
    <row r="6" ht="30.75" customHeight="1">
      <c r="A6" s="30" t="s">
        <v>31</v>
      </c>
      <c r="B6" s="30" t="s">
        <v>22</v>
      </c>
      <c r="C6" s="30" t="s">
        <v>91</v>
      </c>
      <c r="D6" s="30" t="s">
        <v>94</v>
      </c>
      <c r="E6" s="30" t="s">
        <v>240</v>
      </c>
      <c r="F6" s="30" t="s">
        <v>241</v>
      </c>
      <c r="G6" s="30" t="s">
        <v>242</v>
      </c>
      <c r="H6" s="30" t="s">
        <v>243</v>
      </c>
      <c r="I6" s="30" t="s">
        <v>96</v>
      </c>
      <c r="J6" s="30" t="s">
        <v>105</v>
      </c>
      <c r="K6" s="30" t="s">
        <v>109</v>
      </c>
      <c r="L6" s="30" t="s">
        <v>111</v>
      </c>
    </row>
    <row r="7" ht="33.75" customHeight="1">
      <c r="A7" s="75" t="s">
        <v>24</v>
      </c>
      <c r="B7" s="73" t="s">
        <v>141</v>
      </c>
      <c r="C7" s="77">
        <v>1.0</v>
      </c>
      <c r="D7" s="77" t="s">
        <v>148</v>
      </c>
      <c r="E7" s="128">
        <v>1.0</v>
      </c>
      <c r="F7" s="128">
        <v>20.0</v>
      </c>
      <c r="G7" s="129">
        <f>COUNTIF('All Teams'!$C$7:$C$785,B7)</f>
        <v>20</v>
      </c>
      <c r="H7" s="131" t="str">
        <f t="shared" ref="H7:H33" si="1">IF(F7=G7,"OK","REVIEW")</f>
        <v>OK</v>
      </c>
      <c r="I7" s="77" t="s">
        <v>149</v>
      </c>
      <c r="J7" s="75"/>
      <c r="K7" s="81" t="s">
        <v>152</v>
      </c>
      <c r="L7" s="132" t="s">
        <v>155</v>
      </c>
    </row>
    <row r="8" ht="33.75" customHeight="1">
      <c r="A8" s="96" t="s">
        <v>24</v>
      </c>
      <c r="B8" s="94" t="s">
        <v>248</v>
      </c>
      <c r="C8" s="97">
        <v>2.0</v>
      </c>
      <c r="D8" s="97" t="s">
        <v>148</v>
      </c>
      <c r="E8" s="133">
        <v>1.0</v>
      </c>
      <c r="F8" s="133">
        <v>24.0</v>
      </c>
      <c r="G8" s="134">
        <f>COUNTIF('All Teams'!$C$7:$C$785,B8)</f>
        <v>24</v>
      </c>
      <c r="H8" s="131" t="str">
        <f t="shared" si="1"/>
        <v>OK</v>
      </c>
      <c r="I8" s="97" t="s">
        <v>149</v>
      </c>
      <c r="J8" s="96"/>
      <c r="K8" s="100" t="s">
        <v>251</v>
      </c>
      <c r="L8" s="135" t="s">
        <v>253</v>
      </c>
    </row>
    <row r="9" ht="33.75" customHeight="1">
      <c r="A9" s="75" t="s">
        <v>24</v>
      </c>
      <c r="B9" s="73" t="s">
        <v>254</v>
      </c>
      <c r="C9" s="77">
        <v>3.0</v>
      </c>
      <c r="D9" s="77" t="s">
        <v>148</v>
      </c>
      <c r="E9" s="128">
        <v>1.0</v>
      </c>
      <c r="F9" s="128">
        <v>24.0</v>
      </c>
      <c r="G9" s="129">
        <f>COUNTIF('All Teams'!$C$7:$C$785,B9)</f>
        <v>24</v>
      </c>
      <c r="H9" s="131" t="str">
        <f t="shared" si="1"/>
        <v>OK</v>
      </c>
      <c r="I9" s="77" t="s">
        <v>149</v>
      </c>
      <c r="J9" s="75"/>
      <c r="K9" s="81" t="s">
        <v>256</v>
      </c>
      <c r="L9" s="132" t="s">
        <v>257</v>
      </c>
    </row>
    <row r="10" ht="33.75" customHeight="1">
      <c r="A10" s="96" t="s">
        <v>39</v>
      </c>
      <c r="B10" s="94" t="s">
        <v>259</v>
      </c>
      <c r="C10" s="97">
        <v>1.0</v>
      </c>
      <c r="D10" s="97" t="s">
        <v>148</v>
      </c>
      <c r="E10" s="133">
        <v>1.0</v>
      </c>
      <c r="F10" s="133">
        <v>20.0</v>
      </c>
      <c r="G10" s="134">
        <f>COUNTIF('All Teams'!$C$7:$C$785,B10)</f>
        <v>20</v>
      </c>
      <c r="H10" s="131" t="str">
        <f t="shared" si="1"/>
        <v>OK</v>
      </c>
      <c r="I10" s="97" t="s">
        <v>149</v>
      </c>
      <c r="J10" s="96"/>
      <c r="K10" s="100" t="s">
        <v>264</v>
      </c>
      <c r="L10" s="135" t="s">
        <v>265</v>
      </c>
    </row>
    <row r="11" ht="33.75" customHeight="1">
      <c r="A11" s="75" t="s">
        <v>39</v>
      </c>
      <c r="B11" s="73" t="s">
        <v>268</v>
      </c>
      <c r="C11" s="77">
        <v>2.0</v>
      </c>
      <c r="D11" s="77" t="s">
        <v>148</v>
      </c>
      <c r="E11" s="128">
        <v>1.0</v>
      </c>
      <c r="F11" s="128">
        <v>22.0</v>
      </c>
      <c r="G11" s="129">
        <f>COUNTIF('All Teams'!$C$7:$C$785,B11)</f>
        <v>22</v>
      </c>
      <c r="H11" s="131" t="str">
        <f t="shared" si="1"/>
        <v>OK</v>
      </c>
      <c r="I11" s="77" t="s">
        <v>149</v>
      </c>
      <c r="J11" s="75"/>
      <c r="K11" s="81" t="s">
        <v>271</v>
      </c>
      <c r="L11" s="132" t="s">
        <v>272</v>
      </c>
    </row>
    <row r="12" ht="33.75" customHeight="1">
      <c r="A12" s="96" t="s">
        <v>39</v>
      </c>
      <c r="B12" s="94" t="s">
        <v>274</v>
      </c>
      <c r="C12" s="97">
        <v>3.0</v>
      </c>
      <c r="D12" s="97" t="s">
        <v>148</v>
      </c>
      <c r="E12" s="133">
        <v>2.0</v>
      </c>
      <c r="F12" s="133">
        <v>40.0</v>
      </c>
      <c r="G12" s="134">
        <f>COUNTIF('All Teams'!$C$7:$C$785,B12)</f>
        <v>40</v>
      </c>
      <c r="H12" s="131" t="str">
        <f t="shared" si="1"/>
        <v>OK</v>
      </c>
      <c r="I12" s="97" t="s">
        <v>149</v>
      </c>
      <c r="J12" s="96" t="s">
        <v>278</v>
      </c>
      <c r="K12" s="100" t="s">
        <v>280</v>
      </c>
      <c r="L12" s="135" t="s">
        <v>281</v>
      </c>
    </row>
    <row r="13" ht="33.75" customHeight="1">
      <c r="A13" s="75" t="s">
        <v>51</v>
      </c>
      <c r="B13" s="73" t="s">
        <v>282</v>
      </c>
      <c r="C13" s="77">
        <v>1.0</v>
      </c>
      <c r="D13" s="77" t="s">
        <v>148</v>
      </c>
      <c r="E13" s="128">
        <v>1.0</v>
      </c>
      <c r="F13" s="128">
        <v>20.0</v>
      </c>
      <c r="G13" s="129">
        <f>COUNTIF('All Teams'!$C$7:$C$785,B13)</f>
        <v>20</v>
      </c>
      <c r="H13" s="131" t="str">
        <f t="shared" si="1"/>
        <v>OK</v>
      </c>
      <c r="I13" s="77" t="s">
        <v>149</v>
      </c>
      <c r="J13" s="75"/>
      <c r="K13" s="81" t="s">
        <v>284</v>
      </c>
      <c r="L13" s="132" t="s">
        <v>285</v>
      </c>
    </row>
    <row r="14" ht="33.75" customHeight="1">
      <c r="A14" s="96" t="s">
        <v>51</v>
      </c>
      <c r="B14" s="94" t="s">
        <v>287</v>
      </c>
      <c r="C14" s="97">
        <v>2.0</v>
      </c>
      <c r="D14" s="97" t="s">
        <v>148</v>
      </c>
      <c r="E14" s="133">
        <v>1.0</v>
      </c>
      <c r="F14" s="133">
        <v>20.0</v>
      </c>
      <c r="G14" s="134">
        <f>COUNTIF('All Teams'!$C$7:$C$785,B14)</f>
        <v>20</v>
      </c>
      <c r="H14" s="131" t="str">
        <f t="shared" si="1"/>
        <v>OK</v>
      </c>
      <c r="I14" s="97" t="s">
        <v>149</v>
      </c>
      <c r="J14" s="96"/>
      <c r="K14" s="100" t="s">
        <v>284</v>
      </c>
      <c r="L14" s="135" t="s">
        <v>285</v>
      </c>
    </row>
    <row r="15" ht="33.75" customHeight="1">
      <c r="A15" s="75" t="s">
        <v>51</v>
      </c>
      <c r="B15" s="73" t="s">
        <v>288</v>
      </c>
      <c r="C15" s="77">
        <v>3.0</v>
      </c>
      <c r="D15" s="77" t="s">
        <v>148</v>
      </c>
      <c r="E15" s="128">
        <v>3.0</v>
      </c>
      <c r="F15" s="128">
        <v>60.0</v>
      </c>
      <c r="G15" s="129">
        <f>COUNTIF('All Teams'!$C$7:$C$785,B15)</f>
        <v>60</v>
      </c>
      <c r="H15" s="131" t="str">
        <f t="shared" si="1"/>
        <v>OK</v>
      </c>
      <c r="I15" s="77" t="s">
        <v>149</v>
      </c>
      <c r="J15" s="75" t="s">
        <v>291</v>
      </c>
      <c r="K15" s="81" t="s">
        <v>292</v>
      </c>
      <c r="L15" s="132" t="s">
        <v>293</v>
      </c>
    </row>
    <row r="16" ht="33.75" customHeight="1">
      <c r="A16" s="96" t="s">
        <v>60</v>
      </c>
      <c r="B16" s="94" t="s">
        <v>294</v>
      </c>
      <c r="C16" s="97">
        <v>1.0</v>
      </c>
      <c r="D16" s="97" t="s">
        <v>148</v>
      </c>
      <c r="E16" s="133">
        <v>1.0</v>
      </c>
      <c r="F16" s="133">
        <v>18.0</v>
      </c>
      <c r="G16" s="134">
        <f>COUNTIF('All Teams'!$C$7:$C$785,B16)</f>
        <v>18</v>
      </c>
      <c r="H16" s="131" t="str">
        <f t="shared" si="1"/>
        <v>OK</v>
      </c>
      <c r="I16" s="97" t="s">
        <v>149</v>
      </c>
      <c r="J16" s="96"/>
      <c r="K16" s="100" t="s">
        <v>296</v>
      </c>
      <c r="L16" s="135" t="s">
        <v>297</v>
      </c>
    </row>
    <row r="17" ht="33.75" customHeight="1">
      <c r="A17" s="75" t="s">
        <v>60</v>
      </c>
      <c r="B17" s="73" t="s">
        <v>299</v>
      </c>
      <c r="C17" s="77">
        <v>2.0</v>
      </c>
      <c r="D17" s="77" t="s">
        <v>148</v>
      </c>
      <c r="E17" s="128">
        <v>1.0</v>
      </c>
      <c r="F17" s="128">
        <v>18.0</v>
      </c>
      <c r="G17" s="129">
        <f>COUNTIF('All Teams'!$C$7:$C$785,B17)</f>
        <v>18</v>
      </c>
      <c r="H17" s="131" t="str">
        <f t="shared" si="1"/>
        <v>OK</v>
      </c>
      <c r="I17" s="77" t="s">
        <v>149</v>
      </c>
      <c r="J17" s="75"/>
      <c r="K17" s="81" t="s">
        <v>300</v>
      </c>
      <c r="L17" s="132" t="s">
        <v>301</v>
      </c>
    </row>
    <row r="18" ht="33.75" customHeight="1">
      <c r="A18" s="96" t="s">
        <v>60</v>
      </c>
      <c r="B18" s="94" t="s">
        <v>302</v>
      </c>
      <c r="C18" s="97">
        <v>3.0</v>
      </c>
      <c r="D18" s="97" t="s">
        <v>148</v>
      </c>
      <c r="E18" s="133">
        <v>1.0</v>
      </c>
      <c r="F18" s="133">
        <v>20.0</v>
      </c>
      <c r="G18" s="134">
        <f>COUNTIF('All Teams'!$C$7:$C$785,B18)</f>
        <v>20</v>
      </c>
      <c r="H18" s="131" t="str">
        <f t="shared" si="1"/>
        <v>OK</v>
      </c>
      <c r="I18" s="97" t="s">
        <v>149</v>
      </c>
      <c r="J18" s="96" t="s">
        <v>305</v>
      </c>
      <c r="K18" s="100" t="s">
        <v>306</v>
      </c>
      <c r="L18" s="135" t="s">
        <v>307</v>
      </c>
    </row>
    <row r="19" ht="33.75" customHeight="1">
      <c r="A19" s="75" t="s">
        <v>66</v>
      </c>
      <c r="B19" s="73" t="s">
        <v>309</v>
      </c>
      <c r="C19" s="77">
        <v>1.0</v>
      </c>
      <c r="D19" s="77" t="s">
        <v>148</v>
      </c>
      <c r="E19" s="128">
        <v>1.0</v>
      </c>
      <c r="F19" s="128">
        <v>18.0</v>
      </c>
      <c r="G19" s="129">
        <f>COUNTIF('All Teams'!$C$7:$C$785,B19)</f>
        <v>18</v>
      </c>
      <c r="H19" s="131" t="str">
        <f t="shared" si="1"/>
        <v>OK</v>
      </c>
      <c r="I19" s="77" t="s">
        <v>149</v>
      </c>
      <c r="J19" s="75"/>
      <c r="K19" s="81" t="s">
        <v>313</v>
      </c>
      <c r="L19" s="132" t="s">
        <v>314</v>
      </c>
    </row>
    <row r="20" ht="33.75" customHeight="1">
      <c r="A20" s="96" t="s">
        <v>66</v>
      </c>
      <c r="B20" s="94" t="s">
        <v>316</v>
      </c>
      <c r="C20" s="97">
        <v>2.0</v>
      </c>
      <c r="D20" s="97" t="s">
        <v>148</v>
      </c>
      <c r="E20" s="133">
        <v>1.0</v>
      </c>
      <c r="F20" s="133">
        <v>18.0</v>
      </c>
      <c r="G20" s="134">
        <f>COUNTIF('All Teams'!$C$7:$C$785,B20)</f>
        <v>18</v>
      </c>
      <c r="H20" s="131" t="str">
        <f t="shared" si="1"/>
        <v>OK</v>
      </c>
      <c r="I20" s="97" t="s">
        <v>149</v>
      </c>
      <c r="J20" s="96"/>
      <c r="K20" s="100" t="s">
        <v>318</v>
      </c>
      <c r="L20" s="135" t="s">
        <v>319</v>
      </c>
    </row>
    <row r="21" ht="33.75" customHeight="1">
      <c r="A21" s="75" t="s">
        <v>66</v>
      </c>
      <c r="B21" s="73" t="s">
        <v>320</v>
      </c>
      <c r="C21" s="77">
        <v>3.0</v>
      </c>
      <c r="D21" s="77" t="s">
        <v>148</v>
      </c>
      <c r="E21" s="128">
        <v>1.0</v>
      </c>
      <c r="F21" s="128">
        <v>18.0</v>
      </c>
      <c r="G21" s="129">
        <f>COUNTIF('All Teams'!$C$7:$C$785,B21)</f>
        <v>18</v>
      </c>
      <c r="H21" s="131" t="str">
        <f t="shared" si="1"/>
        <v>OK</v>
      </c>
      <c r="I21" s="77" t="s">
        <v>149</v>
      </c>
      <c r="J21" s="75" t="s">
        <v>322</v>
      </c>
      <c r="K21" s="81" t="s">
        <v>323</v>
      </c>
      <c r="L21" s="132" t="s">
        <v>324</v>
      </c>
    </row>
    <row r="22" ht="33.75" customHeight="1">
      <c r="A22" s="96" t="s">
        <v>71</v>
      </c>
      <c r="B22" s="94" t="s">
        <v>327</v>
      </c>
      <c r="C22" s="97">
        <v>1.0</v>
      </c>
      <c r="D22" s="97" t="s">
        <v>148</v>
      </c>
      <c r="E22" s="133">
        <v>1.0</v>
      </c>
      <c r="F22" s="133">
        <v>16.0</v>
      </c>
      <c r="G22" s="134">
        <f>COUNTIF('All Teams'!$C$7:$C$785,B22)</f>
        <v>16</v>
      </c>
      <c r="H22" s="131" t="str">
        <f t="shared" si="1"/>
        <v>OK</v>
      </c>
      <c r="I22" s="97" t="s">
        <v>149</v>
      </c>
      <c r="J22" s="96"/>
      <c r="K22" s="100" t="s">
        <v>328</v>
      </c>
      <c r="L22" s="135" t="s">
        <v>329</v>
      </c>
    </row>
    <row r="23" ht="33.75" customHeight="1">
      <c r="A23" s="75" t="s">
        <v>71</v>
      </c>
      <c r="B23" s="73" t="s">
        <v>331</v>
      </c>
      <c r="C23" s="77">
        <v>2.0</v>
      </c>
      <c r="D23" s="77" t="s">
        <v>148</v>
      </c>
      <c r="E23" s="128">
        <v>1.0</v>
      </c>
      <c r="F23" s="128">
        <v>22.0</v>
      </c>
      <c r="G23" s="129">
        <f>COUNTIF('All Teams'!$C$7:$C$785,B23)</f>
        <v>22</v>
      </c>
      <c r="H23" s="131" t="str">
        <f t="shared" si="1"/>
        <v>OK</v>
      </c>
      <c r="I23" s="77" t="s">
        <v>149</v>
      </c>
      <c r="J23" s="75"/>
      <c r="K23" s="81" t="s">
        <v>332</v>
      </c>
      <c r="L23" s="132" t="s">
        <v>333</v>
      </c>
    </row>
    <row r="24" ht="33.75" customHeight="1">
      <c r="A24" s="96" t="s">
        <v>71</v>
      </c>
      <c r="B24" s="94" t="s">
        <v>334</v>
      </c>
      <c r="C24" s="97">
        <v>3.0</v>
      </c>
      <c r="D24" s="97" t="s">
        <v>148</v>
      </c>
      <c r="E24" s="133">
        <v>8.0</v>
      </c>
      <c r="F24" s="133">
        <v>96.0</v>
      </c>
      <c r="G24" s="134">
        <f>COUNTIF('All Teams'!$C$7:$C$785,B24)</f>
        <v>96</v>
      </c>
      <c r="H24" s="131" t="str">
        <f t="shared" si="1"/>
        <v>OK</v>
      </c>
      <c r="I24" s="97" t="s">
        <v>149</v>
      </c>
      <c r="J24" s="96" t="s">
        <v>335</v>
      </c>
      <c r="K24" s="100" t="s">
        <v>336</v>
      </c>
      <c r="L24" s="135" t="s">
        <v>338</v>
      </c>
    </row>
    <row r="25" ht="33.75" customHeight="1">
      <c r="A25" s="75" t="s">
        <v>82</v>
      </c>
      <c r="B25" s="73" t="s">
        <v>339</v>
      </c>
      <c r="C25" s="77">
        <v>1.0</v>
      </c>
      <c r="D25" s="77" t="s">
        <v>148</v>
      </c>
      <c r="E25" s="128">
        <v>1.0</v>
      </c>
      <c r="F25" s="128">
        <v>14.0</v>
      </c>
      <c r="G25" s="129">
        <f>COUNTIF('All Teams'!$C$7:$C$785,B25)</f>
        <v>14</v>
      </c>
      <c r="H25" s="131" t="str">
        <f t="shared" si="1"/>
        <v>OK</v>
      </c>
      <c r="I25" s="77" t="s">
        <v>149</v>
      </c>
      <c r="J25" s="75"/>
      <c r="K25" s="81" t="s">
        <v>340</v>
      </c>
      <c r="L25" s="132" t="s">
        <v>341</v>
      </c>
    </row>
    <row r="26" ht="33.75" customHeight="1">
      <c r="A26" s="96" t="s">
        <v>82</v>
      </c>
      <c r="B26" s="94" t="s">
        <v>343</v>
      </c>
      <c r="C26" s="97">
        <v>2.0</v>
      </c>
      <c r="D26" s="97" t="s">
        <v>148</v>
      </c>
      <c r="E26" s="133">
        <v>1.0</v>
      </c>
      <c r="F26" s="133">
        <v>16.0</v>
      </c>
      <c r="G26" s="134">
        <f>COUNTIF('All Teams'!$C$7:$C$785,B26)</f>
        <v>16</v>
      </c>
      <c r="H26" s="131" t="str">
        <f t="shared" si="1"/>
        <v>OK</v>
      </c>
      <c r="I26" s="97" t="s">
        <v>149</v>
      </c>
      <c r="J26" s="96" t="s">
        <v>344</v>
      </c>
      <c r="K26" s="100" t="s">
        <v>345</v>
      </c>
      <c r="L26" s="135" t="s">
        <v>346</v>
      </c>
    </row>
    <row r="27" ht="33.75" customHeight="1">
      <c r="A27" s="75" t="s">
        <v>82</v>
      </c>
      <c r="B27" s="73" t="s">
        <v>348</v>
      </c>
      <c r="C27" s="77">
        <v>3.0</v>
      </c>
      <c r="D27" s="77" t="s">
        <v>148</v>
      </c>
      <c r="E27" s="128">
        <v>10.0</v>
      </c>
      <c r="F27" s="128">
        <v>113.0</v>
      </c>
      <c r="G27" s="129">
        <f>COUNTIF('All Teams'!$C$7:$C$785,B27)</f>
        <v>113</v>
      </c>
      <c r="H27" s="131" t="str">
        <f t="shared" si="1"/>
        <v>OK</v>
      </c>
      <c r="I27" s="77" t="s">
        <v>149</v>
      </c>
      <c r="J27" s="75" t="s">
        <v>349</v>
      </c>
      <c r="K27" s="81" t="s">
        <v>351</v>
      </c>
      <c r="L27" s="132" t="s">
        <v>352</v>
      </c>
    </row>
    <row r="28" ht="33.75" customHeight="1">
      <c r="A28" s="96" t="s">
        <v>88</v>
      </c>
      <c r="B28" s="94" t="s">
        <v>354</v>
      </c>
      <c r="C28" s="97">
        <v>1.0</v>
      </c>
      <c r="D28" s="97" t="s">
        <v>355</v>
      </c>
      <c r="E28" s="133">
        <v>1.0</v>
      </c>
      <c r="F28" s="133">
        <v>12.0</v>
      </c>
      <c r="G28" s="134">
        <f>COUNTIF('All Teams'!$C$7:$C$785,B28)</f>
        <v>12</v>
      </c>
      <c r="H28" s="131" t="str">
        <f t="shared" si="1"/>
        <v>OK</v>
      </c>
      <c r="I28" s="97" t="s">
        <v>149</v>
      </c>
      <c r="J28" s="96"/>
      <c r="K28" s="100" t="s">
        <v>356</v>
      </c>
      <c r="L28" s="135" t="s">
        <v>357</v>
      </c>
    </row>
    <row r="29" ht="33.75" customHeight="1">
      <c r="A29" s="75" t="s">
        <v>88</v>
      </c>
      <c r="B29" s="73" t="s">
        <v>359</v>
      </c>
      <c r="C29" s="77">
        <v>2.0</v>
      </c>
      <c r="D29" s="77" t="s">
        <v>355</v>
      </c>
      <c r="E29" s="128">
        <v>1.0</v>
      </c>
      <c r="F29" s="128">
        <v>10.0</v>
      </c>
      <c r="G29" s="129">
        <f>COUNTIF('All Teams'!$C$7:$C$785,B29)</f>
        <v>10</v>
      </c>
      <c r="H29" s="131" t="str">
        <f t="shared" si="1"/>
        <v>OK</v>
      </c>
      <c r="I29" s="77" t="s">
        <v>149</v>
      </c>
      <c r="J29" s="75"/>
      <c r="K29" s="81" t="s">
        <v>360</v>
      </c>
      <c r="L29" s="132" t="s">
        <v>361</v>
      </c>
    </row>
    <row r="30" ht="33.75" customHeight="1">
      <c r="A30" s="96" t="s">
        <v>88</v>
      </c>
      <c r="B30" s="94" t="s">
        <v>364</v>
      </c>
      <c r="C30" s="97">
        <v>3.0</v>
      </c>
      <c r="D30" s="97" t="s">
        <v>355</v>
      </c>
      <c r="E30" s="133">
        <v>1.0</v>
      </c>
      <c r="F30" s="133">
        <v>12.0</v>
      </c>
      <c r="G30" s="134">
        <f>COUNTIF('All Teams'!$C$7:$C$785,B30)</f>
        <v>12</v>
      </c>
      <c r="H30" s="131" t="str">
        <f t="shared" si="1"/>
        <v>OK</v>
      </c>
      <c r="I30" s="97" t="s">
        <v>149</v>
      </c>
      <c r="J30" s="96" t="s">
        <v>366</v>
      </c>
      <c r="K30" s="100" t="s">
        <v>367</v>
      </c>
      <c r="L30" s="135" t="s">
        <v>368</v>
      </c>
    </row>
    <row r="31" ht="33.75" customHeight="1">
      <c r="A31" s="75" t="s">
        <v>106</v>
      </c>
      <c r="B31" s="73" t="s">
        <v>369</v>
      </c>
      <c r="C31" s="77" t="s">
        <v>370</v>
      </c>
      <c r="D31" s="77" t="s">
        <v>148</v>
      </c>
      <c r="E31" s="128">
        <v>1.0</v>
      </c>
      <c r="F31" s="128">
        <v>36.0</v>
      </c>
      <c r="G31" s="129">
        <f>COUNTIF('All Teams'!$C$7:$C$785,B31)</f>
        <v>36</v>
      </c>
      <c r="H31" s="131" t="str">
        <f t="shared" si="1"/>
        <v>OK</v>
      </c>
      <c r="I31" s="77" t="s">
        <v>106</v>
      </c>
      <c r="J31" s="75" t="s">
        <v>371</v>
      </c>
      <c r="K31" s="81" t="s">
        <v>373</v>
      </c>
      <c r="L31" s="132" t="s">
        <v>374</v>
      </c>
    </row>
    <row r="32" ht="33.75" customHeight="1">
      <c r="A32" s="96" t="s">
        <v>106</v>
      </c>
      <c r="B32" s="94" t="s">
        <v>375</v>
      </c>
      <c r="C32" s="97" t="s">
        <v>370</v>
      </c>
      <c r="D32" s="97" t="s">
        <v>148</v>
      </c>
      <c r="E32" s="133">
        <v>1.0</v>
      </c>
      <c r="F32" s="133">
        <v>36.0</v>
      </c>
      <c r="G32" s="134">
        <f>COUNTIF('All Teams'!$C$7:$C$785,B32)</f>
        <v>36</v>
      </c>
      <c r="H32" s="131" t="str">
        <f t="shared" si="1"/>
        <v>OK</v>
      </c>
      <c r="I32" s="97" t="s">
        <v>106</v>
      </c>
      <c r="J32" s="96" t="s">
        <v>371</v>
      </c>
      <c r="K32" s="100" t="s">
        <v>376</v>
      </c>
      <c r="L32" s="135" t="s">
        <v>377</v>
      </c>
    </row>
    <row r="33" ht="33.75" customHeight="1">
      <c r="A33" s="75" t="s">
        <v>106</v>
      </c>
      <c r="B33" s="73" t="s">
        <v>378</v>
      </c>
      <c r="C33" s="77" t="s">
        <v>370</v>
      </c>
      <c r="D33" s="77" t="s">
        <v>148</v>
      </c>
      <c r="E33" s="128">
        <v>1.0</v>
      </c>
      <c r="F33" s="128">
        <v>36.0</v>
      </c>
      <c r="G33" s="129">
        <f>COUNTIF('All Teams'!$C$7:$C$785,B33)</f>
        <v>36</v>
      </c>
      <c r="H33" s="131" t="str">
        <f t="shared" si="1"/>
        <v>OK</v>
      </c>
      <c r="I33" s="77" t="s">
        <v>106</v>
      </c>
      <c r="J33" s="75" t="s">
        <v>371</v>
      </c>
      <c r="K33" s="81" t="s">
        <v>379</v>
      </c>
      <c r="L33" s="132" t="s">
        <v>380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C2F46C1-A152-4753-B07A-464C4AF7AFAF}" filter="1" showAutoFilter="1">
      <autoFilter ref="$A$6:$L$33"/>
    </customSheetView>
  </customSheetViews>
  <mergeCells count="3">
    <mergeCell ref="A1:L2"/>
    <mergeCell ref="A3:L3"/>
    <mergeCell ref="A4:L4"/>
  </mergeCells>
  <conditionalFormatting sqref="H7:H33">
    <cfRule type="cellIs" dxfId="5" priority="1" operator="equal">
      <formula>"REVIEW"</formula>
    </cfRule>
  </conditionalFormatting>
  <conditionalFormatting sqref="H7:H33">
    <cfRule type="cellIs" dxfId="6" priority="2" operator="equal">
      <formula>"OK"</formula>
    </cfRule>
  </conditionalFormatting>
  <hyperlinks>
    <hyperlink r:id="rId1" location="'Overview'!A1" ref="A4"/>
    <hyperlink r:id="rId2" location="'Sources'!A7" ref="K7"/>
    <hyperlink r:id="rId3" ref="L7"/>
    <hyperlink r:id="rId4" location="'Sources'!A8" ref="K8"/>
    <hyperlink r:id="rId5" ref="L8"/>
    <hyperlink r:id="rId6" location="'Sources'!A9" ref="K9"/>
    <hyperlink r:id="rId7" ref="L9"/>
    <hyperlink r:id="rId8" location="'Sources'!A10" ref="K10"/>
    <hyperlink r:id="rId9" ref="L10"/>
    <hyperlink r:id="rId10" location="'Sources'!A11" ref="K11"/>
    <hyperlink r:id="rId11" ref="L11"/>
    <hyperlink r:id="rId12" location="'Sources'!A12" ref="K12"/>
    <hyperlink r:id="rId13" ref="L12"/>
    <hyperlink r:id="rId14" location="'Sources'!A13" ref="K13"/>
    <hyperlink r:id="rId15" ref="L13"/>
    <hyperlink r:id="rId16" location="'Sources'!A13" ref="K14"/>
    <hyperlink r:id="rId17" ref="L14"/>
    <hyperlink r:id="rId18" location="'Sources'!A14" ref="K15"/>
    <hyperlink r:id="rId19" ref="L15"/>
    <hyperlink r:id="rId20" location="'Sources'!A15" ref="K16"/>
    <hyperlink r:id="rId21" ref="L16"/>
    <hyperlink r:id="rId22" location="'Sources'!A16" ref="K17"/>
    <hyperlink r:id="rId23" ref="L17"/>
    <hyperlink r:id="rId24" location="'Sources'!A17" ref="K18"/>
    <hyperlink r:id="rId25" ref="L18"/>
    <hyperlink r:id="rId26" location="'Sources'!A18" ref="K19"/>
    <hyperlink r:id="rId27" ref="L19"/>
    <hyperlink r:id="rId28" location="'Sources'!A19" ref="K20"/>
    <hyperlink r:id="rId29" ref="L20"/>
    <hyperlink r:id="rId30" location="'Sources'!A20" ref="K21"/>
    <hyperlink r:id="rId31" ref="L21"/>
    <hyperlink r:id="rId32" location="'Sources'!A22" ref="K22"/>
    <hyperlink r:id="rId33" ref="L22"/>
    <hyperlink r:id="rId34" location="'Sources'!A23" ref="K23"/>
    <hyperlink r:id="rId35" ref="L23"/>
    <hyperlink r:id="rId36" location="'Sources'!A26" ref="K24"/>
    <hyperlink r:id="rId37" ref="L24"/>
    <hyperlink r:id="rId38" location="'Sources'!A27" ref="K25"/>
    <hyperlink r:id="rId39" ref="L25"/>
    <hyperlink r:id="rId40" location="'Sources'!A28" ref="K26"/>
    <hyperlink r:id="rId41" ref="L26"/>
    <hyperlink r:id="rId42" location="'Sources'!A29" ref="K27"/>
    <hyperlink r:id="rId43" ref="L27"/>
    <hyperlink r:id="rId44" location="'Sources'!A34" ref="K28"/>
    <hyperlink r:id="rId45" ref="L28"/>
    <hyperlink r:id="rId46" location="'Sources'!A35" ref="K29"/>
    <hyperlink r:id="rId47" ref="L29"/>
    <hyperlink r:id="rId48" location="'Sources'!A36" ref="K30"/>
    <hyperlink r:id="rId49" ref="L30"/>
    <hyperlink r:id="rId50" location="'Sources'!A38" ref="K31"/>
    <hyperlink r:id="rId51" ref="L31"/>
    <hyperlink r:id="rId52" location="'Sources'!A39" ref="K32"/>
    <hyperlink r:id="rId53" ref="L32"/>
    <hyperlink r:id="rId54" location="'Sources'!A40" ref="K33"/>
    <hyperlink r:id="rId55" ref="L33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56"/>
  <tableParts count="1">
    <tablePart r:id="rId5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273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276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0.0" customHeight="1">
      <c r="A7" s="73" t="s">
        <v>61</v>
      </c>
      <c r="B7" s="75" t="s">
        <v>24</v>
      </c>
      <c r="C7" s="73" t="s">
        <v>141</v>
      </c>
      <c r="D7" s="77">
        <v>1.0</v>
      </c>
      <c r="E7" s="77" t="s">
        <v>146</v>
      </c>
      <c r="F7" s="77" t="s">
        <v>148</v>
      </c>
      <c r="G7" s="77" t="s">
        <v>149</v>
      </c>
      <c r="H7" s="77" t="s">
        <v>151</v>
      </c>
      <c r="I7" s="75"/>
      <c r="J7" s="81" t="s">
        <v>152</v>
      </c>
      <c r="K7" s="45" t="s">
        <v>155</v>
      </c>
      <c r="L7" s="88" t="s">
        <v>63</v>
      </c>
      <c r="M7" s="50" t="s">
        <v>64</v>
      </c>
      <c r="N7" s="43" t="s">
        <v>55</v>
      </c>
      <c r="O7" s="59" t="s">
        <v>68</v>
      </c>
      <c r="P7" s="45" t="s">
        <v>70</v>
      </c>
      <c r="Q7" s="44" t="s">
        <v>74</v>
      </c>
    </row>
    <row r="8" ht="30.0" customHeight="1">
      <c r="A8" s="94" t="s">
        <v>75</v>
      </c>
      <c r="B8" s="96" t="s">
        <v>24</v>
      </c>
      <c r="C8" s="94" t="s">
        <v>141</v>
      </c>
      <c r="D8" s="97">
        <v>1.0</v>
      </c>
      <c r="E8" s="97" t="s">
        <v>146</v>
      </c>
      <c r="F8" s="97" t="s">
        <v>148</v>
      </c>
      <c r="G8" s="97" t="s">
        <v>149</v>
      </c>
      <c r="H8" s="97" t="s">
        <v>151</v>
      </c>
      <c r="I8" s="96"/>
      <c r="J8" s="100" t="s">
        <v>152</v>
      </c>
      <c r="K8" s="101" t="s">
        <v>155</v>
      </c>
      <c r="L8" s="103" t="s">
        <v>76</v>
      </c>
      <c r="M8" s="57" t="s">
        <v>78</v>
      </c>
      <c r="N8" s="43" t="s">
        <v>55</v>
      </c>
      <c r="O8" s="105" t="s">
        <v>68</v>
      </c>
      <c r="P8" s="101" t="s">
        <v>70</v>
      </c>
      <c r="Q8" s="107" t="s">
        <v>74</v>
      </c>
    </row>
    <row r="9" ht="30.0" customHeight="1">
      <c r="A9" s="73" t="s">
        <v>161</v>
      </c>
      <c r="B9" s="75" t="s">
        <v>24</v>
      </c>
      <c r="C9" s="73" t="s">
        <v>141</v>
      </c>
      <c r="D9" s="77">
        <v>1.0</v>
      </c>
      <c r="E9" s="77" t="s">
        <v>146</v>
      </c>
      <c r="F9" s="77" t="s">
        <v>148</v>
      </c>
      <c r="G9" s="77" t="s">
        <v>149</v>
      </c>
      <c r="H9" s="77" t="s">
        <v>151</v>
      </c>
      <c r="I9" s="75"/>
      <c r="J9" s="81" t="s">
        <v>152</v>
      </c>
      <c r="K9" s="45" t="s">
        <v>155</v>
      </c>
      <c r="L9" s="88" t="s">
        <v>63</v>
      </c>
      <c r="M9" s="86" t="s">
        <v>164</v>
      </c>
      <c r="N9" s="43" t="s">
        <v>55</v>
      </c>
      <c r="O9" s="115" t="s">
        <v>56</v>
      </c>
      <c r="P9" s="45" t="s">
        <v>168</v>
      </c>
      <c r="Q9" s="44"/>
    </row>
    <row r="10" ht="30.0" customHeight="1">
      <c r="A10" s="94" t="s">
        <v>181</v>
      </c>
      <c r="B10" s="96" t="s">
        <v>24</v>
      </c>
      <c r="C10" s="94" t="s">
        <v>141</v>
      </c>
      <c r="D10" s="97">
        <v>1.0</v>
      </c>
      <c r="E10" s="97" t="s">
        <v>146</v>
      </c>
      <c r="F10" s="97" t="s">
        <v>148</v>
      </c>
      <c r="G10" s="97" t="s">
        <v>149</v>
      </c>
      <c r="H10" s="97" t="s">
        <v>151</v>
      </c>
      <c r="I10" s="96"/>
      <c r="J10" s="100" t="s">
        <v>152</v>
      </c>
      <c r="K10" s="101" t="s">
        <v>155</v>
      </c>
      <c r="L10" s="88" t="s">
        <v>63</v>
      </c>
      <c r="M10" s="50" t="s">
        <v>64</v>
      </c>
      <c r="N10" s="43" t="s">
        <v>55</v>
      </c>
      <c r="O10" s="124" t="s">
        <v>56</v>
      </c>
      <c r="P10" s="101" t="s">
        <v>185</v>
      </c>
      <c r="Q10" s="107" t="s">
        <v>186</v>
      </c>
    </row>
    <row r="11" ht="30.0" customHeight="1">
      <c r="A11" s="73" t="s">
        <v>188</v>
      </c>
      <c r="B11" s="75" t="s">
        <v>24</v>
      </c>
      <c r="C11" s="73" t="s">
        <v>141</v>
      </c>
      <c r="D11" s="77">
        <v>1.0</v>
      </c>
      <c r="E11" s="77" t="s">
        <v>146</v>
      </c>
      <c r="F11" s="77" t="s">
        <v>148</v>
      </c>
      <c r="G11" s="77" t="s">
        <v>149</v>
      </c>
      <c r="H11" s="77" t="s">
        <v>151</v>
      </c>
      <c r="I11" s="75"/>
      <c r="J11" s="81" t="s">
        <v>152</v>
      </c>
      <c r="K11" s="45" t="s">
        <v>155</v>
      </c>
      <c r="L11" s="125" t="s">
        <v>92</v>
      </c>
      <c r="M11" s="50" t="s">
        <v>64</v>
      </c>
      <c r="N11" s="43" t="s">
        <v>55</v>
      </c>
      <c r="O11" s="59" t="s">
        <v>68</v>
      </c>
      <c r="P11" s="45" t="s">
        <v>70</v>
      </c>
      <c r="Q11" s="44" t="s">
        <v>74</v>
      </c>
    </row>
    <row r="12" ht="30.0" customHeight="1">
      <c r="A12" s="94" t="s">
        <v>227</v>
      </c>
      <c r="B12" s="96" t="s">
        <v>24</v>
      </c>
      <c r="C12" s="94" t="s">
        <v>141</v>
      </c>
      <c r="D12" s="97">
        <v>1.0</v>
      </c>
      <c r="E12" s="97" t="s">
        <v>146</v>
      </c>
      <c r="F12" s="97" t="s">
        <v>148</v>
      </c>
      <c r="G12" s="97" t="s">
        <v>149</v>
      </c>
      <c r="H12" s="97" t="s">
        <v>151</v>
      </c>
      <c r="I12" s="96"/>
      <c r="J12" s="100" t="s">
        <v>152</v>
      </c>
      <c r="K12" s="101" t="s">
        <v>155</v>
      </c>
      <c r="L12" s="125" t="s">
        <v>92</v>
      </c>
      <c r="M12" s="50" t="s">
        <v>64</v>
      </c>
      <c r="N12" s="43" t="s">
        <v>55</v>
      </c>
      <c r="O12" s="105" t="s">
        <v>68</v>
      </c>
      <c r="P12" s="101" t="s">
        <v>70</v>
      </c>
      <c r="Q12" s="107" t="s">
        <v>74</v>
      </c>
    </row>
    <row r="13" ht="30.0" customHeight="1">
      <c r="A13" s="73" t="s">
        <v>229</v>
      </c>
      <c r="B13" s="75" t="s">
        <v>24</v>
      </c>
      <c r="C13" s="73" t="s">
        <v>141</v>
      </c>
      <c r="D13" s="77">
        <v>1.0</v>
      </c>
      <c r="E13" s="77" t="s">
        <v>146</v>
      </c>
      <c r="F13" s="77" t="s">
        <v>148</v>
      </c>
      <c r="G13" s="77" t="s">
        <v>149</v>
      </c>
      <c r="H13" s="77" t="s">
        <v>151</v>
      </c>
      <c r="I13" s="75"/>
      <c r="J13" s="81" t="s">
        <v>152</v>
      </c>
      <c r="K13" s="45" t="s">
        <v>155</v>
      </c>
      <c r="L13" s="126" t="s">
        <v>78</v>
      </c>
      <c r="M13" s="50" t="s">
        <v>64</v>
      </c>
      <c r="N13" s="43" t="s">
        <v>55</v>
      </c>
      <c r="O13" s="115" t="s">
        <v>56</v>
      </c>
      <c r="P13" s="45" t="s">
        <v>230</v>
      </c>
      <c r="Q13" s="44" t="s">
        <v>231</v>
      </c>
    </row>
    <row r="14" ht="30.0" customHeight="1">
      <c r="A14" s="94" t="s">
        <v>232</v>
      </c>
      <c r="B14" s="96" t="s">
        <v>24</v>
      </c>
      <c r="C14" s="94" t="s">
        <v>141</v>
      </c>
      <c r="D14" s="97">
        <v>1.0</v>
      </c>
      <c r="E14" s="97" t="s">
        <v>146</v>
      </c>
      <c r="F14" s="97" t="s">
        <v>148</v>
      </c>
      <c r="G14" s="97" t="s">
        <v>149</v>
      </c>
      <c r="H14" s="97" t="s">
        <v>151</v>
      </c>
      <c r="I14" s="96"/>
      <c r="J14" s="100" t="s">
        <v>152</v>
      </c>
      <c r="K14" s="101" t="s">
        <v>155</v>
      </c>
      <c r="L14" s="88" t="s">
        <v>63</v>
      </c>
      <c r="M14" s="62" t="s">
        <v>92</v>
      </c>
      <c r="N14" s="43" t="s">
        <v>55</v>
      </c>
      <c r="O14" s="105" t="s">
        <v>68</v>
      </c>
      <c r="P14" s="101" t="s">
        <v>70</v>
      </c>
      <c r="Q14" s="107" t="s">
        <v>74</v>
      </c>
    </row>
    <row r="15" ht="30.0" customHeight="1">
      <c r="A15" s="73" t="s">
        <v>235</v>
      </c>
      <c r="B15" s="75" t="s">
        <v>24</v>
      </c>
      <c r="C15" s="73" t="s">
        <v>141</v>
      </c>
      <c r="D15" s="77">
        <v>1.0</v>
      </c>
      <c r="E15" s="77" t="s">
        <v>146</v>
      </c>
      <c r="F15" s="77" t="s">
        <v>148</v>
      </c>
      <c r="G15" s="77" t="s">
        <v>149</v>
      </c>
      <c r="H15" s="77" t="s">
        <v>151</v>
      </c>
      <c r="I15" s="75"/>
      <c r="J15" s="81" t="s">
        <v>152</v>
      </c>
      <c r="K15" s="45" t="s">
        <v>155</v>
      </c>
      <c r="L15" s="125" t="s">
        <v>92</v>
      </c>
      <c r="M15" s="50" t="s">
        <v>64</v>
      </c>
      <c r="N15" s="43" t="s">
        <v>55</v>
      </c>
      <c r="O15" s="59" t="s">
        <v>68</v>
      </c>
      <c r="P15" s="45" t="s">
        <v>70</v>
      </c>
      <c r="Q15" s="44" t="s">
        <v>74</v>
      </c>
    </row>
    <row r="16" ht="30.0" customHeight="1">
      <c r="A16" s="94" t="s">
        <v>239</v>
      </c>
      <c r="B16" s="96" t="s">
        <v>24</v>
      </c>
      <c r="C16" s="94" t="s">
        <v>141</v>
      </c>
      <c r="D16" s="97">
        <v>1.0</v>
      </c>
      <c r="E16" s="97" t="s">
        <v>146</v>
      </c>
      <c r="F16" s="97" t="s">
        <v>148</v>
      </c>
      <c r="G16" s="97" t="s">
        <v>149</v>
      </c>
      <c r="H16" s="97" t="s">
        <v>151</v>
      </c>
      <c r="I16" s="96"/>
      <c r="J16" s="100" t="s">
        <v>152</v>
      </c>
      <c r="K16" s="101" t="s">
        <v>155</v>
      </c>
      <c r="L16" s="127" t="s">
        <v>64</v>
      </c>
      <c r="M16" s="86" t="s">
        <v>164</v>
      </c>
      <c r="N16" s="43" t="s">
        <v>55</v>
      </c>
      <c r="O16" s="105" t="s">
        <v>68</v>
      </c>
      <c r="P16" s="101" t="s">
        <v>70</v>
      </c>
      <c r="Q16" s="107" t="s">
        <v>74</v>
      </c>
    </row>
    <row r="17" ht="30.0" customHeight="1">
      <c r="A17" s="73" t="s">
        <v>244</v>
      </c>
      <c r="B17" s="75" t="s">
        <v>24</v>
      </c>
      <c r="C17" s="73" t="s">
        <v>141</v>
      </c>
      <c r="D17" s="77">
        <v>1.0</v>
      </c>
      <c r="E17" s="77" t="s">
        <v>146</v>
      </c>
      <c r="F17" s="77" t="s">
        <v>148</v>
      </c>
      <c r="G17" s="77" t="s">
        <v>149</v>
      </c>
      <c r="H17" s="77" t="s">
        <v>151</v>
      </c>
      <c r="I17" s="75"/>
      <c r="J17" s="81" t="s">
        <v>152</v>
      </c>
      <c r="K17" s="45" t="s">
        <v>155</v>
      </c>
      <c r="L17" s="130" t="s">
        <v>159</v>
      </c>
      <c r="M17" s="86" t="s">
        <v>164</v>
      </c>
      <c r="N17" s="43" t="s">
        <v>55</v>
      </c>
      <c r="O17" s="59" t="s">
        <v>68</v>
      </c>
      <c r="P17" s="45" t="s">
        <v>70</v>
      </c>
      <c r="Q17" s="44" t="s">
        <v>74</v>
      </c>
    </row>
    <row r="18" ht="30.0" customHeight="1">
      <c r="A18" s="94" t="s">
        <v>246</v>
      </c>
      <c r="B18" s="96" t="s">
        <v>24</v>
      </c>
      <c r="C18" s="94" t="s">
        <v>141</v>
      </c>
      <c r="D18" s="97">
        <v>1.0</v>
      </c>
      <c r="E18" s="97" t="s">
        <v>146</v>
      </c>
      <c r="F18" s="97" t="s">
        <v>148</v>
      </c>
      <c r="G18" s="97" t="s">
        <v>149</v>
      </c>
      <c r="H18" s="97" t="s">
        <v>151</v>
      </c>
      <c r="I18" s="96"/>
      <c r="J18" s="100" t="s">
        <v>152</v>
      </c>
      <c r="K18" s="101" t="s">
        <v>155</v>
      </c>
      <c r="L18" s="125" t="s">
        <v>92</v>
      </c>
      <c r="M18" s="50" t="s">
        <v>64</v>
      </c>
      <c r="N18" s="43" t="s">
        <v>55</v>
      </c>
      <c r="O18" s="105" t="s">
        <v>68</v>
      </c>
      <c r="P18" s="101" t="s">
        <v>70</v>
      </c>
      <c r="Q18" s="107" t="s">
        <v>74</v>
      </c>
    </row>
    <row r="19" ht="39.75" customHeight="1">
      <c r="A19" s="73" t="s">
        <v>247</v>
      </c>
      <c r="B19" s="75" t="s">
        <v>24</v>
      </c>
      <c r="C19" s="73" t="s">
        <v>141</v>
      </c>
      <c r="D19" s="77">
        <v>1.0</v>
      </c>
      <c r="E19" s="77" t="s">
        <v>146</v>
      </c>
      <c r="F19" s="77" t="s">
        <v>148</v>
      </c>
      <c r="G19" s="77" t="s">
        <v>149</v>
      </c>
      <c r="H19" s="77" t="s">
        <v>151</v>
      </c>
      <c r="I19" s="75"/>
      <c r="J19" s="81" t="s">
        <v>152</v>
      </c>
      <c r="K19" s="45" t="s">
        <v>155</v>
      </c>
      <c r="L19" s="127" t="s">
        <v>64</v>
      </c>
      <c r="M19" s="62" t="s">
        <v>92</v>
      </c>
      <c r="N19" s="43" t="s">
        <v>55</v>
      </c>
      <c r="O19" s="59" t="s">
        <v>68</v>
      </c>
      <c r="P19" s="45" t="s">
        <v>70</v>
      </c>
      <c r="Q19" s="44" t="s">
        <v>249</v>
      </c>
    </row>
    <row r="20" ht="30.0" customHeight="1">
      <c r="A20" s="94" t="s">
        <v>258</v>
      </c>
      <c r="B20" s="96" t="s">
        <v>24</v>
      </c>
      <c r="C20" s="94" t="s">
        <v>141</v>
      </c>
      <c r="D20" s="97">
        <v>1.0</v>
      </c>
      <c r="E20" s="97" t="s">
        <v>146</v>
      </c>
      <c r="F20" s="97" t="s">
        <v>148</v>
      </c>
      <c r="G20" s="97" t="s">
        <v>149</v>
      </c>
      <c r="H20" s="97" t="s">
        <v>151</v>
      </c>
      <c r="I20" s="96"/>
      <c r="J20" s="100" t="s">
        <v>152</v>
      </c>
      <c r="K20" s="101" t="s">
        <v>155</v>
      </c>
      <c r="L20" s="88" t="s">
        <v>63</v>
      </c>
      <c r="M20" s="50" t="s">
        <v>64</v>
      </c>
      <c r="N20" s="43" t="s">
        <v>55</v>
      </c>
      <c r="O20" s="124" t="s">
        <v>56</v>
      </c>
      <c r="P20" s="101" t="s">
        <v>261</v>
      </c>
      <c r="Q20" s="107" t="s">
        <v>262</v>
      </c>
    </row>
    <row r="21" ht="30.0" customHeight="1">
      <c r="A21" s="73" t="s">
        <v>270</v>
      </c>
      <c r="B21" s="75" t="s">
        <v>24</v>
      </c>
      <c r="C21" s="73" t="s">
        <v>141</v>
      </c>
      <c r="D21" s="77">
        <v>1.0</v>
      </c>
      <c r="E21" s="77" t="s">
        <v>146</v>
      </c>
      <c r="F21" s="77" t="s">
        <v>148</v>
      </c>
      <c r="G21" s="77" t="s">
        <v>149</v>
      </c>
      <c r="H21" s="77" t="s">
        <v>151</v>
      </c>
      <c r="I21" s="75"/>
      <c r="J21" s="81" t="s">
        <v>152</v>
      </c>
      <c r="K21" s="45" t="s">
        <v>155</v>
      </c>
      <c r="L21" s="126" t="s">
        <v>78</v>
      </c>
      <c r="M21" s="50" t="s">
        <v>64</v>
      </c>
      <c r="N21" s="43" t="s">
        <v>55</v>
      </c>
      <c r="O21" s="59" t="s">
        <v>68</v>
      </c>
      <c r="P21" s="45" t="s">
        <v>70</v>
      </c>
      <c r="Q21" s="44" t="s">
        <v>74</v>
      </c>
    </row>
    <row r="22" ht="39.75" customHeight="1">
      <c r="A22" s="94" t="s">
        <v>275</v>
      </c>
      <c r="B22" s="96" t="s">
        <v>24</v>
      </c>
      <c r="C22" s="94" t="s">
        <v>141</v>
      </c>
      <c r="D22" s="97">
        <v>1.0</v>
      </c>
      <c r="E22" s="97" t="s">
        <v>146</v>
      </c>
      <c r="F22" s="97" t="s">
        <v>148</v>
      </c>
      <c r="G22" s="97" t="s">
        <v>149</v>
      </c>
      <c r="H22" s="97" t="s">
        <v>151</v>
      </c>
      <c r="I22" s="96"/>
      <c r="J22" s="100" t="s">
        <v>152</v>
      </c>
      <c r="K22" s="101" t="s">
        <v>155</v>
      </c>
      <c r="L22" s="88" t="s">
        <v>63</v>
      </c>
      <c r="M22" s="50" t="s">
        <v>64</v>
      </c>
      <c r="N22" s="43" t="s">
        <v>55</v>
      </c>
      <c r="O22" s="105" t="s">
        <v>68</v>
      </c>
      <c r="P22" s="101" t="s">
        <v>70</v>
      </c>
      <c r="Q22" s="107" t="s">
        <v>277</v>
      </c>
    </row>
    <row r="23" ht="30.0" customHeight="1">
      <c r="A23" s="73" t="s">
        <v>290</v>
      </c>
      <c r="B23" s="75" t="s">
        <v>24</v>
      </c>
      <c r="C23" s="73" t="s">
        <v>141</v>
      </c>
      <c r="D23" s="77">
        <v>1.0</v>
      </c>
      <c r="E23" s="77" t="s">
        <v>146</v>
      </c>
      <c r="F23" s="77" t="s">
        <v>148</v>
      </c>
      <c r="G23" s="77" t="s">
        <v>149</v>
      </c>
      <c r="H23" s="77" t="s">
        <v>151</v>
      </c>
      <c r="I23" s="75"/>
      <c r="J23" s="81" t="s">
        <v>152</v>
      </c>
      <c r="K23" s="45" t="s">
        <v>155</v>
      </c>
      <c r="L23" s="137" t="s">
        <v>164</v>
      </c>
      <c r="M23" s="50" t="s">
        <v>64</v>
      </c>
      <c r="N23" s="43" t="s">
        <v>55</v>
      </c>
      <c r="O23" s="59" t="s">
        <v>68</v>
      </c>
      <c r="P23" s="45" t="s">
        <v>70</v>
      </c>
      <c r="Q23" s="44" t="s">
        <v>74</v>
      </c>
    </row>
    <row r="24" ht="30.0" customHeight="1">
      <c r="A24" s="94" t="s">
        <v>295</v>
      </c>
      <c r="B24" s="96" t="s">
        <v>24</v>
      </c>
      <c r="C24" s="94" t="s">
        <v>141</v>
      </c>
      <c r="D24" s="97">
        <v>1.0</v>
      </c>
      <c r="E24" s="97" t="s">
        <v>146</v>
      </c>
      <c r="F24" s="97" t="s">
        <v>148</v>
      </c>
      <c r="G24" s="97" t="s">
        <v>149</v>
      </c>
      <c r="H24" s="97" t="s">
        <v>151</v>
      </c>
      <c r="I24" s="96"/>
      <c r="J24" s="100" t="s">
        <v>152</v>
      </c>
      <c r="K24" s="101" t="s">
        <v>155</v>
      </c>
      <c r="L24" s="88" t="s">
        <v>63</v>
      </c>
      <c r="M24" s="50" t="s">
        <v>64</v>
      </c>
      <c r="N24" s="43" t="s">
        <v>55</v>
      </c>
      <c r="O24" s="105" t="s">
        <v>68</v>
      </c>
      <c r="P24" s="101" t="s">
        <v>70</v>
      </c>
      <c r="Q24" s="107" t="s">
        <v>74</v>
      </c>
    </row>
    <row r="25" ht="30.0" customHeight="1">
      <c r="A25" s="73" t="s">
        <v>303</v>
      </c>
      <c r="B25" s="75" t="s">
        <v>24</v>
      </c>
      <c r="C25" s="73" t="s">
        <v>141</v>
      </c>
      <c r="D25" s="77">
        <v>1.0</v>
      </c>
      <c r="E25" s="77" t="s">
        <v>146</v>
      </c>
      <c r="F25" s="77" t="s">
        <v>148</v>
      </c>
      <c r="G25" s="77" t="s">
        <v>149</v>
      </c>
      <c r="H25" s="77" t="s">
        <v>151</v>
      </c>
      <c r="I25" s="75"/>
      <c r="J25" s="81" t="s">
        <v>152</v>
      </c>
      <c r="K25" s="45" t="s">
        <v>155</v>
      </c>
      <c r="L25" s="88" t="s">
        <v>63</v>
      </c>
      <c r="M25" s="50" t="s">
        <v>64</v>
      </c>
      <c r="N25" s="43" t="s">
        <v>55</v>
      </c>
      <c r="O25" s="59" t="s">
        <v>68</v>
      </c>
      <c r="P25" s="45" t="s">
        <v>70</v>
      </c>
      <c r="Q25" s="44" t="s">
        <v>74</v>
      </c>
    </row>
    <row r="26" ht="30.0" customHeight="1">
      <c r="A26" s="94" t="s">
        <v>310</v>
      </c>
      <c r="B26" s="96" t="s">
        <v>24</v>
      </c>
      <c r="C26" s="94" t="s">
        <v>141</v>
      </c>
      <c r="D26" s="97">
        <v>1.0</v>
      </c>
      <c r="E26" s="97" t="s">
        <v>146</v>
      </c>
      <c r="F26" s="97" t="s">
        <v>148</v>
      </c>
      <c r="G26" s="97" t="s">
        <v>149</v>
      </c>
      <c r="H26" s="97" t="s">
        <v>151</v>
      </c>
      <c r="I26" s="96"/>
      <c r="J26" s="100" t="s">
        <v>152</v>
      </c>
      <c r="K26" s="101" t="s">
        <v>155</v>
      </c>
      <c r="L26" s="127" t="s">
        <v>64</v>
      </c>
      <c r="M26" s="79" t="s">
        <v>150</v>
      </c>
      <c r="N26" s="43" t="s">
        <v>55</v>
      </c>
      <c r="O26" s="105" t="s">
        <v>68</v>
      </c>
      <c r="P26" s="101" t="s">
        <v>70</v>
      </c>
      <c r="Q26" s="107" t="s">
        <v>74</v>
      </c>
    </row>
    <row r="27" ht="30.0" customHeight="1">
      <c r="A27" s="73" t="s">
        <v>89</v>
      </c>
      <c r="B27" s="75" t="s">
        <v>24</v>
      </c>
      <c r="C27" s="73" t="s">
        <v>248</v>
      </c>
      <c r="D27" s="77">
        <v>2.0</v>
      </c>
      <c r="E27" s="77" t="s">
        <v>146</v>
      </c>
      <c r="F27" s="77" t="s">
        <v>148</v>
      </c>
      <c r="G27" s="77" t="s">
        <v>149</v>
      </c>
      <c r="H27" s="77" t="s">
        <v>151</v>
      </c>
      <c r="I27" s="75"/>
      <c r="J27" s="81" t="s">
        <v>251</v>
      </c>
      <c r="K27" s="45" t="s">
        <v>253</v>
      </c>
      <c r="L27" s="125" t="s">
        <v>92</v>
      </c>
      <c r="M27" s="50" t="s">
        <v>64</v>
      </c>
      <c r="N27" s="43" t="s">
        <v>55</v>
      </c>
      <c r="O27" s="59" t="s">
        <v>68</v>
      </c>
      <c r="P27" s="45" t="s">
        <v>70</v>
      </c>
      <c r="Q27" s="44" t="s">
        <v>74</v>
      </c>
    </row>
    <row r="28" ht="30.0" customHeight="1">
      <c r="A28" s="94" t="s">
        <v>102</v>
      </c>
      <c r="B28" s="96" t="s">
        <v>24</v>
      </c>
      <c r="C28" s="94" t="s">
        <v>248</v>
      </c>
      <c r="D28" s="97">
        <v>2.0</v>
      </c>
      <c r="E28" s="97" t="s">
        <v>146</v>
      </c>
      <c r="F28" s="97" t="s">
        <v>148</v>
      </c>
      <c r="G28" s="97" t="s">
        <v>149</v>
      </c>
      <c r="H28" s="97" t="s">
        <v>151</v>
      </c>
      <c r="I28" s="96"/>
      <c r="J28" s="100" t="s">
        <v>251</v>
      </c>
      <c r="K28" s="101" t="s">
        <v>253</v>
      </c>
      <c r="L28" s="125" t="s">
        <v>92</v>
      </c>
      <c r="M28" s="50" t="s">
        <v>64</v>
      </c>
      <c r="N28" s="43" t="s">
        <v>55</v>
      </c>
      <c r="O28" s="105" t="s">
        <v>68</v>
      </c>
      <c r="P28" s="101" t="s">
        <v>70</v>
      </c>
      <c r="Q28" s="107" t="s">
        <v>74</v>
      </c>
    </row>
    <row r="29" ht="30.0" customHeight="1">
      <c r="A29" s="73" t="s">
        <v>145</v>
      </c>
      <c r="B29" s="75" t="s">
        <v>24</v>
      </c>
      <c r="C29" s="73" t="s">
        <v>248</v>
      </c>
      <c r="D29" s="77">
        <v>2.0</v>
      </c>
      <c r="E29" s="77" t="s">
        <v>146</v>
      </c>
      <c r="F29" s="77" t="s">
        <v>148</v>
      </c>
      <c r="G29" s="77" t="s">
        <v>149</v>
      </c>
      <c r="H29" s="77" t="s">
        <v>151</v>
      </c>
      <c r="I29" s="75"/>
      <c r="J29" s="81" t="s">
        <v>251</v>
      </c>
      <c r="K29" s="45" t="s">
        <v>253</v>
      </c>
      <c r="L29" s="127" t="s">
        <v>64</v>
      </c>
      <c r="M29" s="79" t="s">
        <v>150</v>
      </c>
      <c r="N29" s="43" t="s">
        <v>55</v>
      </c>
      <c r="O29" s="115" t="s">
        <v>56</v>
      </c>
      <c r="P29" s="45" t="s">
        <v>157</v>
      </c>
      <c r="Q29" s="44" t="s">
        <v>160</v>
      </c>
    </row>
    <row r="30" ht="30.0" customHeight="1">
      <c r="A30" s="94" t="s">
        <v>194</v>
      </c>
      <c r="B30" s="96" t="s">
        <v>24</v>
      </c>
      <c r="C30" s="94" t="s">
        <v>248</v>
      </c>
      <c r="D30" s="97">
        <v>2.0</v>
      </c>
      <c r="E30" s="97" t="s">
        <v>146</v>
      </c>
      <c r="F30" s="97" t="s">
        <v>148</v>
      </c>
      <c r="G30" s="97" t="s">
        <v>149</v>
      </c>
      <c r="H30" s="97" t="s">
        <v>151</v>
      </c>
      <c r="I30" s="96"/>
      <c r="J30" s="100" t="s">
        <v>251</v>
      </c>
      <c r="K30" s="101" t="s">
        <v>253</v>
      </c>
      <c r="L30" s="88" t="s">
        <v>63</v>
      </c>
      <c r="M30" s="50" t="s">
        <v>64</v>
      </c>
      <c r="N30" s="43" t="s">
        <v>55</v>
      </c>
      <c r="O30" s="105" t="s">
        <v>68</v>
      </c>
      <c r="P30" s="101" t="s">
        <v>70</v>
      </c>
      <c r="Q30" s="107" t="s">
        <v>74</v>
      </c>
    </row>
    <row r="31" ht="30.0" customHeight="1">
      <c r="A31" s="73" t="s">
        <v>217</v>
      </c>
      <c r="B31" s="75" t="s">
        <v>24</v>
      </c>
      <c r="C31" s="73" t="s">
        <v>248</v>
      </c>
      <c r="D31" s="77">
        <v>2.0</v>
      </c>
      <c r="E31" s="77" t="s">
        <v>146</v>
      </c>
      <c r="F31" s="77" t="s">
        <v>148</v>
      </c>
      <c r="G31" s="77" t="s">
        <v>149</v>
      </c>
      <c r="H31" s="77" t="s">
        <v>151</v>
      </c>
      <c r="I31" s="75"/>
      <c r="J31" s="81" t="s">
        <v>251</v>
      </c>
      <c r="K31" s="45" t="s">
        <v>253</v>
      </c>
      <c r="L31" s="103" t="s">
        <v>76</v>
      </c>
      <c r="M31" s="57" t="s">
        <v>78</v>
      </c>
      <c r="N31" s="43" t="s">
        <v>55</v>
      </c>
      <c r="O31" s="59" t="s">
        <v>68</v>
      </c>
      <c r="P31" s="45" t="s">
        <v>70</v>
      </c>
      <c r="Q31" s="44" t="s">
        <v>74</v>
      </c>
    </row>
    <row r="32" ht="30.0" customHeight="1">
      <c r="A32" s="94" t="s">
        <v>226</v>
      </c>
      <c r="B32" s="96" t="s">
        <v>24</v>
      </c>
      <c r="C32" s="94" t="s">
        <v>248</v>
      </c>
      <c r="D32" s="97">
        <v>2.0</v>
      </c>
      <c r="E32" s="97" t="s">
        <v>146</v>
      </c>
      <c r="F32" s="97" t="s">
        <v>148</v>
      </c>
      <c r="G32" s="97" t="s">
        <v>149</v>
      </c>
      <c r="H32" s="97" t="s">
        <v>151</v>
      </c>
      <c r="I32" s="139" t="s">
        <v>350</v>
      </c>
      <c r="J32" s="100" t="s">
        <v>251</v>
      </c>
      <c r="K32" s="101" t="s">
        <v>253</v>
      </c>
      <c r="L32" s="125" t="s">
        <v>92</v>
      </c>
      <c r="M32" s="50" t="s">
        <v>64</v>
      </c>
      <c r="N32" s="43" t="s">
        <v>55</v>
      </c>
      <c r="O32" s="105" t="s">
        <v>68</v>
      </c>
      <c r="P32" s="101" t="s">
        <v>70</v>
      </c>
      <c r="Q32" s="107" t="s">
        <v>74</v>
      </c>
    </row>
    <row r="33" ht="30.0" customHeight="1">
      <c r="A33" s="73" t="s">
        <v>228</v>
      </c>
      <c r="B33" s="75" t="s">
        <v>24</v>
      </c>
      <c r="C33" s="73" t="s">
        <v>248</v>
      </c>
      <c r="D33" s="77">
        <v>2.0</v>
      </c>
      <c r="E33" s="77" t="s">
        <v>146</v>
      </c>
      <c r="F33" s="77" t="s">
        <v>148</v>
      </c>
      <c r="G33" s="77" t="s">
        <v>149</v>
      </c>
      <c r="H33" s="77" t="s">
        <v>151</v>
      </c>
      <c r="I33" s="75"/>
      <c r="J33" s="81" t="s">
        <v>251</v>
      </c>
      <c r="K33" s="45" t="s">
        <v>253</v>
      </c>
      <c r="L33" s="88" t="s">
        <v>63</v>
      </c>
      <c r="M33" s="50" t="s">
        <v>64</v>
      </c>
      <c r="N33" s="43" t="s">
        <v>55</v>
      </c>
      <c r="O33" s="59" t="s">
        <v>68</v>
      </c>
      <c r="P33" s="45" t="s">
        <v>70</v>
      </c>
      <c r="Q33" s="44" t="s">
        <v>74</v>
      </c>
    </row>
    <row r="34" ht="30.0" customHeight="1">
      <c r="A34" s="94" t="s">
        <v>236</v>
      </c>
      <c r="B34" s="96" t="s">
        <v>24</v>
      </c>
      <c r="C34" s="94" t="s">
        <v>248</v>
      </c>
      <c r="D34" s="97">
        <v>2.0</v>
      </c>
      <c r="E34" s="97" t="s">
        <v>146</v>
      </c>
      <c r="F34" s="97" t="s">
        <v>148</v>
      </c>
      <c r="G34" s="97" t="s">
        <v>149</v>
      </c>
      <c r="H34" s="97" t="s">
        <v>151</v>
      </c>
      <c r="I34" s="96"/>
      <c r="J34" s="100" t="s">
        <v>251</v>
      </c>
      <c r="K34" s="101" t="s">
        <v>253</v>
      </c>
      <c r="L34" s="127" t="s">
        <v>64</v>
      </c>
      <c r="M34" s="86" t="s">
        <v>164</v>
      </c>
      <c r="N34" s="43" t="s">
        <v>55</v>
      </c>
      <c r="O34" s="105" t="s">
        <v>68</v>
      </c>
      <c r="P34" s="101" t="s">
        <v>70</v>
      </c>
      <c r="Q34" s="107" t="s">
        <v>74</v>
      </c>
    </row>
    <row r="35" ht="30.0" customHeight="1">
      <c r="A35" s="73" t="s">
        <v>255</v>
      </c>
      <c r="B35" s="75" t="s">
        <v>24</v>
      </c>
      <c r="C35" s="73" t="s">
        <v>248</v>
      </c>
      <c r="D35" s="77">
        <v>2.0</v>
      </c>
      <c r="E35" s="77" t="s">
        <v>146</v>
      </c>
      <c r="F35" s="77" t="s">
        <v>148</v>
      </c>
      <c r="G35" s="77" t="s">
        <v>149</v>
      </c>
      <c r="H35" s="77" t="s">
        <v>151</v>
      </c>
      <c r="I35" s="75"/>
      <c r="J35" s="81" t="s">
        <v>251</v>
      </c>
      <c r="K35" s="45" t="s">
        <v>253</v>
      </c>
      <c r="L35" s="88" t="s">
        <v>63</v>
      </c>
      <c r="M35" s="50" t="s">
        <v>64</v>
      </c>
      <c r="N35" s="43" t="s">
        <v>55</v>
      </c>
      <c r="O35" s="59" t="s">
        <v>68</v>
      </c>
      <c r="P35" s="45" t="s">
        <v>70</v>
      </c>
      <c r="Q35" s="44" t="s">
        <v>74</v>
      </c>
    </row>
    <row r="36" ht="30.0" customHeight="1">
      <c r="A36" s="94" t="s">
        <v>283</v>
      </c>
      <c r="B36" s="96" t="s">
        <v>24</v>
      </c>
      <c r="C36" s="94" t="s">
        <v>248</v>
      </c>
      <c r="D36" s="97">
        <v>2.0</v>
      </c>
      <c r="E36" s="97" t="s">
        <v>146</v>
      </c>
      <c r="F36" s="97" t="s">
        <v>148</v>
      </c>
      <c r="G36" s="97" t="s">
        <v>149</v>
      </c>
      <c r="H36" s="97" t="s">
        <v>151</v>
      </c>
      <c r="I36" s="96"/>
      <c r="J36" s="100" t="s">
        <v>251</v>
      </c>
      <c r="K36" s="101" t="s">
        <v>253</v>
      </c>
      <c r="L36" s="88" t="s">
        <v>63</v>
      </c>
      <c r="M36" s="50" t="s">
        <v>64</v>
      </c>
      <c r="N36" s="43" t="s">
        <v>55</v>
      </c>
      <c r="O36" s="105" t="s">
        <v>68</v>
      </c>
      <c r="P36" s="101" t="s">
        <v>70</v>
      </c>
      <c r="Q36" s="107" t="s">
        <v>74</v>
      </c>
    </row>
    <row r="37" ht="30.0" customHeight="1">
      <c r="A37" s="73" t="s">
        <v>286</v>
      </c>
      <c r="B37" s="75" t="s">
        <v>24</v>
      </c>
      <c r="C37" s="73" t="s">
        <v>248</v>
      </c>
      <c r="D37" s="77">
        <v>2.0</v>
      </c>
      <c r="E37" s="77" t="s">
        <v>146</v>
      </c>
      <c r="F37" s="77" t="s">
        <v>148</v>
      </c>
      <c r="G37" s="77" t="s">
        <v>149</v>
      </c>
      <c r="H37" s="77" t="s">
        <v>151</v>
      </c>
      <c r="I37" s="75"/>
      <c r="J37" s="81" t="s">
        <v>251</v>
      </c>
      <c r="K37" s="45" t="s">
        <v>253</v>
      </c>
      <c r="L37" s="125" t="s">
        <v>92</v>
      </c>
      <c r="M37" s="50" t="s">
        <v>64</v>
      </c>
      <c r="N37" s="43" t="s">
        <v>55</v>
      </c>
      <c r="O37" s="59" t="s">
        <v>68</v>
      </c>
      <c r="P37" s="45" t="s">
        <v>70</v>
      </c>
      <c r="Q37" s="44" t="s">
        <v>74</v>
      </c>
    </row>
    <row r="38" ht="30.0" customHeight="1">
      <c r="A38" s="94" t="s">
        <v>298</v>
      </c>
      <c r="B38" s="96" t="s">
        <v>24</v>
      </c>
      <c r="C38" s="94" t="s">
        <v>248</v>
      </c>
      <c r="D38" s="97">
        <v>2.0</v>
      </c>
      <c r="E38" s="97" t="s">
        <v>146</v>
      </c>
      <c r="F38" s="97" t="s">
        <v>148</v>
      </c>
      <c r="G38" s="97" t="s">
        <v>149</v>
      </c>
      <c r="H38" s="97" t="s">
        <v>151</v>
      </c>
      <c r="I38" s="96"/>
      <c r="J38" s="100" t="s">
        <v>251</v>
      </c>
      <c r="K38" s="101" t="s">
        <v>253</v>
      </c>
      <c r="L38" s="140" t="s">
        <v>52</v>
      </c>
      <c r="M38" s="138" t="s">
        <v>199</v>
      </c>
      <c r="N38" s="43" t="s">
        <v>55</v>
      </c>
      <c r="O38" s="105" t="s">
        <v>68</v>
      </c>
      <c r="P38" s="101" t="s">
        <v>70</v>
      </c>
      <c r="Q38" s="107" t="s">
        <v>74</v>
      </c>
    </row>
    <row r="39" ht="39.75" customHeight="1">
      <c r="A39" s="73" t="s">
        <v>321</v>
      </c>
      <c r="B39" s="75" t="s">
        <v>24</v>
      </c>
      <c r="C39" s="73" t="s">
        <v>248</v>
      </c>
      <c r="D39" s="77">
        <v>2.0</v>
      </c>
      <c r="E39" s="77" t="s">
        <v>146</v>
      </c>
      <c r="F39" s="77" t="s">
        <v>148</v>
      </c>
      <c r="G39" s="77" t="s">
        <v>149</v>
      </c>
      <c r="H39" s="77" t="s">
        <v>151</v>
      </c>
      <c r="I39" s="75"/>
      <c r="J39" s="81" t="s">
        <v>251</v>
      </c>
      <c r="K39" s="45" t="s">
        <v>253</v>
      </c>
      <c r="L39" s="125" t="s">
        <v>92</v>
      </c>
      <c r="M39" s="50" t="s">
        <v>64</v>
      </c>
      <c r="N39" s="43" t="s">
        <v>55</v>
      </c>
      <c r="O39" s="59" t="s">
        <v>68</v>
      </c>
      <c r="P39" s="45" t="s">
        <v>70</v>
      </c>
      <c r="Q39" s="44" t="s">
        <v>325</v>
      </c>
    </row>
    <row r="40" ht="30.0" customHeight="1">
      <c r="A40" s="94" t="s">
        <v>326</v>
      </c>
      <c r="B40" s="96" t="s">
        <v>24</v>
      </c>
      <c r="C40" s="94" t="s">
        <v>248</v>
      </c>
      <c r="D40" s="97">
        <v>2.0</v>
      </c>
      <c r="E40" s="97" t="s">
        <v>146</v>
      </c>
      <c r="F40" s="97" t="s">
        <v>148</v>
      </c>
      <c r="G40" s="97" t="s">
        <v>149</v>
      </c>
      <c r="H40" s="97" t="s">
        <v>151</v>
      </c>
      <c r="I40" s="96"/>
      <c r="J40" s="100" t="s">
        <v>251</v>
      </c>
      <c r="K40" s="101" t="s">
        <v>253</v>
      </c>
      <c r="L40" s="127" t="s">
        <v>64</v>
      </c>
      <c r="M40" s="79" t="s">
        <v>150</v>
      </c>
      <c r="N40" s="43" t="s">
        <v>55</v>
      </c>
      <c r="O40" s="105" t="s">
        <v>68</v>
      </c>
      <c r="P40" s="101" t="s">
        <v>70</v>
      </c>
      <c r="Q40" s="107" t="s">
        <v>74</v>
      </c>
    </row>
    <row r="41" ht="30.0" customHeight="1">
      <c r="A41" s="73" t="s">
        <v>330</v>
      </c>
      <c r="B41" s="75" t="s">
        <v>24</v>
      </c>
      <c r="C41" s="73" t="s">
        <v>248</v>
      </c>
      <c r="D41" s="77">
        <v>2.0</v>
      </c>
      <c r="E41" s="77" t="s">
        <v>146</v>
      </c>
      <c r="F41" s="77" t="s">
        <v>148</v>
      </c>
      <c r="G41" s="77" t="s">
        <v>149</v>
      </c>
      <c r="H41" s="77" t="s">
        <v>151</v>
      </c>
      <c r="I41" s="75"/>
      <c r="J41" s="81" t="s">
        <v>251</v>
      </c>
      <c r="K41" s="45" t="s">
        <v>253</v>
      </c>
      <c r="L41" s="125" t="s">
        <v>92</v>
      </c>
      <c r="M41" s="50" t="s">
        <v>64</v>
      </c>
      <c r="N41" s="43" t="s">
        <v>55</v>
      </c>
      <c r="O41" s="59" t="s">
        <v>68</v>
      </c>
      <c r="P41" s="45" t="s">
        <v>70</v>
      </c>
      <c r="Q41" s="44" t="s">
        <v>74</v>
      </c>
    </row>
    <row r="42" ht="39.75" customHeight="1">
      <c r="A42" s="94" t="s">
        <v>342</v>
      </c>
      <c r="B42" s="96" t="s">
        <v>24</v>
      </c>
      <c r="C42" s="94" t="s">
        <v>248</v>
      </c>
      <c r="D42" s="97">
        <v>2.0</v>
      </c>
      <c r="E42" s="97" t="s">
        <v>146</v>
      </c>
      <c r="F42" s="97" t="s">
        <v>148</v>
      </c>
      <c r="G42" s="97" t="s">
        <v>149</v>
      </c>
      <c r="H42" s="97" t="s">
        <v>151</v>
      </c>
      <c r="I42" s="96"/>
      <c r="J42" s="100" t="s">
        <v>251</v>
      </c>
      <c r="K42" s="101" t="s">
        <v>253</v>
      </c>
      <c r="L42" s="88" t="s">
        <v>63</v>
      </c>
      <c r="M42" s="50" t="s">
        <v>64</v>
      </c>
      <c r="N42" s="43" t="s">
        <v>55</v>
      </c>
      <c r="O42" s="105" t="s">
        <v>68</v>
      </c>
      <c r="P42" s="101" t="s">
        <v>70</v>
      </c>
      <c r="Q42" s="107" t="s">
        <v>277</v>
      </c>
    </row>
    <row r="43" ht="30.0" customHeight="1">
      <c r="A43" s="73" t="s">
        <v>353</v>
      </c>
      <c r="B43" s="75" t="s">
        <v>24</v>
      </c>
      <c r="C43" s="73" t="s">
        <v>248</v>
      </c>
      <c r="D43" s="77">
        <v>2.0</v>
      </c>
      <c r="E43" s="77" t="s">
        <v>146</v>
      </c>
      <c r="F43" s="77" t="s">
        <v>148</v>
      </c>
      <c r="G43" s="77" t="s">
        <v>149</v>
      </c>
      <c r="H43" s="77" t="s">
        <v>151</v>
      </c>
      <c r="I43" s="75"/>
      <c r="J43" s="81" t="s">
        <v>251</v>
      </c>
      <c r="K43" s="45" t="s">
        <v>253</v>
      </c>
      <c r="L43" s="88" t="s">
        <v>63</v>
      </c>
      <c r="M43" s="50" t="s">
        <v>64</v>
      </c>
      <c r="N43" s="43" t="s">
        <v>55</v>
      </c>
      <c r="O43" s="59" t="s">
        <v>68</v>
      </c>
      <c r="P43" s="45" t="s">
        <v>70</v>
      </c>
      <c r="Q43" s="44" t="s">
        <v>74</v>
      </c>
    </row>
    <row r="44" ht="30.0" customHeight="1">
      <c r="A44" s="94" t="s">
        <v>372</v>
      </c>
      <c r="B44" s="96" t="s">
        <v>24</v>
      </c>
      <c r="C44" s="94" t="s">
        <v>248</v>
      </c>
      <c r="D44" s="97">
        <v>2.0</v>
      </c>
      <c r="E44" s="97" t="s">
        <v>146</v>
      </c>
      <c r="F44" s="97" t="s">
        <v>148</v>
      </c>
      <c r="G44" s="97" t="s">
        <v>149</v>
      </c>
      <c r="H44" s="97" t="s">
        <v>151</v>
      </c>
      <c r="I44" s="96"/>
      <c r="J44" s="100" t="s">
        <v>251</v>
      </c>
      <c r="K44" s="101" t="s">
        <v>253</v>
      </c>
      <c r="L44" s="88" t="s">
        <v>63</v>
      </c>
      <c r="M44" s="50" t="s">
        <v>64</v>
      </c>
      <c r="N44" s="43" t="s">
        <v>55</v>
      </c>
      <c r="O44" s="105" t="s">
        <v>68</v>
      </c>
      <c r="P44" s="101" t="s">
        <v>70</v>
      </c>
      <c r="Q44" s="107" t="s">
        <v>74</v>
      </c>
    </row>
    <row r="45" ht="30.0" customHeight="1">
      <c r="A45" s="73" t="s">
        <v>381</v>
      </c>
      <c r="B45" s="75" t="s">
        <v>24</v>
      </c>
      <c r="C45" s="73" t="s">
        <v>248</v>
      </c>
      <c r="D45" s="77">
        <v>2.0</v>
      </c>
      <c r="E45" s="77" t="s">
        <v>146</v>
      </c>
      <c r="F45" s="77" t="s">
        <v>148</v>
      </c>
      <c r="G45" s="77" t="s">
        <v>149</v>
      </c>
      <c r="H45" s="77" t="s">
        <v>151</v>
      </c>
      <c r="I45" s="142" t="s">
        <v>350</v>
      </c>
      <c r="J45" s="81" t="s">
        <v>251</v>
      </c>
      <c r="K45" s="45" t="s">
        <v>253</v>
      </c>
      <c r="L45" s="127" t="s">
        <v>64</v>
      </c>
      <c r="M45" s="86" t="s">
        <v>164</v>
      </c>
      <c r="N45" s="43" t="s">
        <v>55</v>
      </c>
      <c r="O45" s="59" t="s">
        <v>68</v>
      </c>
      <c r="P45" s="45" t="s">
        <v>70</v>
      </c>
      <c r="Q45" s="44" t="s">
        <v>74</v>
      </c>
    </row>
    <row r="46" ht="30.0" customHeight="1">
      <c r="A46" s="94" t="s">
        <v>382</v>
      </c>
      <c r="B46" s="96" t="s">
        <v>24</v>
      </c>
      <c r="C46" s="94" t="s">
        <v>248</v>
      </c>
      <c r="D46" s="97">
        <v>2.0</v>
      </c>
      <c r="E46" s="97" t="s">
        <v>146</v>
      </c>
      <c r="F46" s="97" t="s">
        <v>148</v>
      </c>
      <c r="G46" s="97" t="s">
        <v>149</v>
      </c>
      <c r="H46" s="97" t="s">
        <v>151</v>
      </c>
      <c r="I46" s="96"/>
      <c r="J46" s="100" t="s">
        <v>251</v>
      </c>
      <c r="K46" s="101" t="s">
        <v>253</v>
      </c>
      <c r="L46" s="140" t="s">
        <v>52</v>
      </c>
      <c r="M46" s="86" t="s">
        <v>164</v>
      </c>
      <c r="N46" s="43" t="s">
        <v>55</v>
      </c>
      <c r="O46" s="124" t="s">
        <v>195</v>
      </c>
      <c r="P46" s="101" t="s">
        <v>312</v>
      </c>
      <c r="Q46" s="107"/>
    </row>
    <row r="47" ht="30.0" customHeight="1">
      <c r="A47" s="73" t="s">
        <v>383</v>
      </c>
      <c r="B47" s="75" t="s">
        <v>24</v>
      </c>
      <c r="C47" s="73" t="s">
        <v>248</v>
      </c>
      <c r="D47" s="77">
        <v>2.0</v>
      </c>
      <c r="E47" s="77" t="s">
        <v>146</v>
      </c>
      <c r="F47" s="77" t="s">
        <v>148</v>
      </c>
      <c r="G47" s="77" t="s">
        <v>149</v>
      </c>
      <c r="H47" s="77" t="s">
        <v>151</v>
      </c>
      <c r="I47" s="75"/>
      <c r="J47" s="81" t="s">
        <v>251</v>
      </c>
      <c r="K47" s="45" t="s">
        <v>253</v>
      </c>
      <c r="L47" s="143" t="s">
        <v>150</v>
      </c>
      <c r="M47" s="50" t="s">
        <v>64</v>
      </c>
      <c r="N47" s="43" t="s">
        <v>55</v>
      </c>
      <c r="O47" s="115" t="s">
        <v>56</v>
      </c>
      <c r="P47" s="45" t="s">
        <v>385</v>
      </c>
      <c r="Q47" s="44"/>
    </row>
    <row r="48" ht="30.0" customHeight="1">
      <c r="A48" s="94" t="s">
        <v>386</v>
      </c>
      <c r="B48" s="96" t="s">
        <v>24</v>
      </c>
      <c r="C48" s="94" t="s">
        <v>248</v>
      </c>
      <c r="D48" s="97">
        <v>2.0</v>
      </c>
      <c r="E48" s="97" t="s">
        <v>146</v>
      </c>
      <c r="F48" s="97" t="s">
        <v>148</v>
      </c>
      <c r="G48" s="97" t="s">
        <v>149</v>
      </c>
      <c r="H48" s="97" t="s">
        <v>151</v>
      </c>
      <c r="I48" s="96"/>
      <c r="J48" s="100" t="s">
        <v>251</v>
      </c>
      <c r="K48" s="101" t="s">
        <v>253</v>
      </c>
      <c r="L48" s="103" t="s">
        <v>76</v>
      </c>
      <c r="M48" s="57" t="s">
        <v>78</v>
      </c>
      <c r="N48" s="43" t="s">
        <v>55</v>
      </c>
      <c r="O48" s="105" t="s">
        <v>68</v>
      </c>
      <c r="P48" s="101" t="s">
        <v>70</v>
      </c>
      <c r="Q48" s="107" t="s">
        <v>74</v>
      </c>
    </row>
    <row r="49" ht="30.0" customHeight="1">
      <c r="A49" s="73" t="s">
        <v>388</v>
      </c>
      <c r="B49" s="75" t="s">
        <v>24</v>
      </c>
      <c r="C49" s="73" t="s">
        <v>248</v>
      </c>
      <c r="D49" s="77">
        <v>2.0</v>
      </c>
      <c r="E49" s="77" t="s">
        <v>146</v>
      </c>
      <c r="F49" s="77" t="s">
        <v>148</v>
      </c>
      <c r="G49" s="77" t="s">
        <v>149</v>
      </c>
      <c r="H49" s="77" t="s">
        <v>151</v>
      </c>
      <c r="I49" s="75"/>
      <c r="J49" s="81" t="s">
        <v>251</v>
      </c>
      <c r="K49" s="45" t="s">
        <v>253</v>
      </c>
      <c r="L49" s="145" t="s">
        <v>208</v>
      </c>
      <c r="M49" s="86" t="s">
        <v>164</v>
      </c>
      <c r="N49" s="43" t="s">
        <v>55</v>
      </c>
      <c r="O49" s="59" t="s">
        <v>68</v>
      </c>
      <c r="P49" s="45" t="s">
        <v>70</v>
      </c>
      <c r="Q49" s="44" t="s">
        <v>74</v>
      </c>
    </row>
    <row r="50" ht="30.0" customHeight="1">
      <c r="A50" s="94" t="s">
        <v>389</v>
      </c>
      <c r="B50" s="96" t="s">
        <v>24</v>
      </c>
      <c r="C50" s="94" t="s">
        <v>248</v>
      </c>
      <c r="D50" s="97">
        <v>2.0</v>
      </c>
      <c r="E50" s="97" t="s">
        <v>146</v>
      </c>
      <c r="F50" s="97" t="s">
        <v>148</v>
      </c>
      <c r="G50" s="97" t="s">
        <v>149</v>
      </c>
      <c r="H50" s="97" t="s">
        <v>151</v>
      </c>
      <c r="I50" s="139" t="s">
        <v>350</v>
      </c>
      <c r="J50" s="100" t="s">
        <v>251</v>
      </c>
      <c r="K50" s="101" t="s">
        <v>253</v>
      </c>
      <c r="L50" s="88" t="s">
        <v>63</v>
      </c>
      <c r="M50" s="50" t="s">
        <v>64</v>
      </c>
      <c r="N50" s="43" t="s">
        <v>55</v>
      </c>
      <c r="O50" s="124" t="s">
        <v>56</v>
      </c>
      <c r="P50" s="101" t="s">
        <v>391</v>
      </c>
      <c r="Q50" s="107"/>
    </row>
    <row r="51" ht="30.0" customHeight="1">
      <c r="A51" s="73" t="s">
        <v>48</v>
      </c>
      <c r="B51" s="75" t="s">
        <v>24</v>
      </c>
      <c r="C51" s="73" t="s">
        <v>254</v>
      </c>
      <c r="D51" s="77">
        <v>3.0</v>
      </c>
      <c r="E51" s="77" t="s">
        <v>146</v>
      </c>
      <c r="F51" s="77" t="s">
        <v>148</v>
      </c>
      <c r="G51" s="77" t="s">
        <v>149</v>
      </c>
      <c r="H51" s="77" t="s">
        <v>151</v>
      </c>
      <c r="I51" s="75"/>
      <c r="J51" s="81" t="s">
        <v>256</v>
      </c>
      <c r="K51" s="45" t="s">
        <v>257</v>
      </c>
      <c r="L51" s="146" t="s">
        <v>50</v>
      </c>
      <c r="M51" s="41" t="s">
        <v>52</v>
      </c>
      <c r="N51" s="43" t="s">
        <v>55</v>
      </c>
      <c r="O51" s="115" t="s">
        <v>56</v>
      </c>
      <c r="P51" s="45" t="s">
        <v>59</v>
      </c>
      <c r="Q51" s="44"/>
    </row>
    <row r="52" ht="30.0" customHeight="1">
      <c r="A52" s="94" t="s">
        <v>86</v>
      </c>
      <c r="B52" s="96" t="s">
        <v>24</v>
      </c>
      <c r="C52" s="94" t="s">
        <v>254</v>
      </c>
      <c r="D52" s="97">
        <v>3.0</v>
      </c>
      <c r="E52" s="97" t="s">
        <v>146</v>
      </c>
      <c r="F52" s="97" t="s">
        <v>148</v>
      </c>
      <c r="G52" s="97" t="s">
        <v>149</v>
      </c>
      <c r="H52" s="97" t="s">
        <v>151</v>
      </c>
      <c r="I52" s="96"/>
      <c r="J52" s="100" t="s">
        <v>256</v>
      </c>
      <c r="K52" s="101" t="s">
        <v>257</v>
      </c>
      <c r="L52" s="88" t="s">
        <v>63</v>
      </c>
      <c r="M52" s="50" t="s">
        <v>64</v>
      </c>
      <c r="N52" s="43" t="s">
        <v>55</v>
      </c>
      <c r="O52" s="105" t="s">
        <v>68</v>
      </c>
      <c r="P52" s="101" t="s">
        <v>70</v>
      </c>
      <c r="Q52" s="107" t="s">
        <v>74</v>
      </c>
    </row>
    <row r="53" ht="30.0" customHeight="1">
      <c r="A53" s="73" t="s">
        <v>118</v>
      </c>
      <c r="B53" s="75" t="s">
        <v>24</v>
      </c>
      <c r="C53" s="73" t="s">
        <v>254</v>
      </c>
      <c r="D53" s="77">
        <v>3.0</v>
      </c>
      <c r="E53" s="77" t="s">
        <v>146</v>
      </c>
      <c r="F53" s="77" t="s">
        <v>148</v>
      </c>
      <c r="G53" s="77" t="s">
        <v>149</v>
      </c>
      <c r="H53" s="77" t="s">
        <v>151</v>
      </c>
      <c r="I53" s="75"/>
      <c r="J53" s="81" t="s">
        <v>256</v>
      </c>
      <c r="K53" s="45" t="s">
        <v>257</v>
      </c>
      <c r="L53" s="147" t="s">
        <v>124</v>
      </c>
      <c r="M53" s="50" t="s">
        <v>64</v>
      </c>
      <c r="N53" s="43" t="s">
        <v>55</v>
      </c>
      <c r="O53" s="59" t="s">
        <v>68</v>
      </c>
      <c r="P53" s="45" t="s">
        <v>70</v>
      </c>
      <c r="Q53" s="44" t="s">
        <v>74</v>
      </c>
    </row>
    <row r="54" ht="30.0" customHeight="1">
      <c r="A54" s="94" t="s">
        <v>169</v>
      </c>
      <c r="B54" s="96" t="s">
        <v>24</v>
      </c>
      <c r="C54" s="94" t="s">
        <v>254</v>
      </c>
      <c r="D54" s="97">
        <v>3.0</v>
      </c>
      <c r="E54" s="97" t="s">
        <v>146</v>
      </c>
      <c r="F54" s="97" t="s">
        <v>148</v>
      </c>
      <c r="G54" s="97" t="s">
        <v>149</v>
      </c>
      <c r="H54" s="97" t="s">
        <v>151</v>
      </c>
      <c r="I54" s="96"/>
      <c r="J54" s="100" t="s">
        <v>256</v>
      </c>
      <c r="K54" s="101" t="s">
        <v>257</v>
      </c>
      <c r="L54" s="103" t="s">
        <v>76</v>
      </c>
      <c r="M54" s="92" t="s">
        <v>159</v>
      </c>
      <c r="N54" s="43" t="s">
        <v>55</v>
      </c>
      <c r="O54" s="105" t="s">
        <v>68</v>
      </c>
      <c r="P54" s="101" t="s">
        <v>70</v>
      </c>
      <c r="Q54" s="107" t="s">
        <v>74</v>
      </c>
    </row>
    <row r="55" ht="39.75" customHeight="1">
      <c r="A55" s="73" t="s">
        <v>207</v>
      </c>
      <c r="B55" s="75" t="s">
        <v>24</v>
      </c>
      <c r="C55" s="73" t="s">
        <v>254</v>
      </c>
      <c r="D55" s="77">
        <v>3.0</v>
      </c>
      <c r="E55" s="77" t="s">
        <v>146</v>
      </c>
      <c r="F55" s="77" t="s">
        <v>148</v>
      </c>
      <c r="G55" s="77" t="s">
        <v>149</v>
      </c>
      <c r="H55" s="77" t="s">
        <v>151</v>
      </c>
      <c r="I55" s="75"/>
      <c r="J55" s="81" t="s">
        <v>256</v>
      </c>
      <c r="K55" s="45" t="s">
        <v>257</v>
      </c>
      <c r="L55" s="127" t="s">
        <v>64</v>
      </c>
      <c r="M55" s="86" t="s">
        <v>164</v>
      </c>
      <c r="N55" s="43" t="s">
        <v>55</v>
      </c>
      <c r="O55" s="115" t="s">
        <v>191</v>
      </c>
      <c r="P55" s="45" t="s">
        <v>215</v>
      </c>
      <c r="Q55" s="44" t="s">
        <v>216</v>
      </c>
    </row>
    <row r="56" ht="30.0" customHeight="1">
      <c r="A56" s="94" t="s">
        <v>220</v>
      </c>
      <c r="B56" s="96" t="s">
        <v>24</v>
      </c>
      <c r="C56" s="94" t="s">
        <v>254</v>
      </c>
      <c r="D56" s="97">
        <v>3.0</v>
      </c>
      <c r="E56" s="97" t="s">
        <v>146</v>
      </c>
      <c r="F56" s="97" t="s">
        <v>148</v>
      </c>
      <c r="G56" s="97" t="s">
        <v>149</v>
      </c>
      <c r="H56" s="97" t="s">
        <v>151</v>
      </c>
      <c r="I56" s="96"/>
      <c r="J56" s="100" t="s">
        <v>256</v>
      </c>
      <c r="K56" s="101" t="s">
        <v>257</v>
      </c>
      <c r="L56" s="140" t="s">
        <v>52</v>
      </c>
      <c r="M56" s="86" t="s">
        <v>164</v>
      </c>
      <c r="N56" s="43" t="s">
        <v>55</v>
      </c>
      <c r="O56" s="124" t="s">
        <v>56</v>
      </c>
      <c r="P56" s="101" t="s">
        <v>222</v>
      </c>
      <c r="Q56" s="107"/>
    </row>
    <row r="57" ht="30.0" customHeight="1">
      <c r="A57" s="73" t="s">
        <v>223</v>
      </c>
      <c r="B57" s="75" t="s">
        <v>24</v>
      </c>
      <c r="C57" s="73" t="s">
        <v>254</v>
      </c>
      <c r="D57" s="77">
        <v>3.0</v>
      </c>
      <c r="E57" s="77" t="s">
        <v>146</v>
      </c>
      <c r="F57" s="77" t="s">
        <v>148</v>
      </c>
      <c r="G57" s="77" t="s">
        <v>149</v>
      </c>
      <c r="H57" s="77" t="s">
        <v>151</v>
      </c>
      <c r="I57" s="75"/>
      <c r="J57" s="81" t="s">
        <v>256</v>
      </c>
      <c r="K57" s="45" t="s">
        <v>257</v>
      </c>
      <c r="L57" s="130" t="s">
        <v>159</v>
      </c>
      <c r="M57" s="86" t="s">
        <v>164</v>
      </c>
      <c r="N57" s="43" t="s">
        <v>55</v>
      </c>
      <c r="O57" s="115" t="s">
        <v>56</v>
      </c>
      <c r="P57" s="45" t="s">
        <v>225</v>
      </c>
      <c r="Q57" s="44"/>
    </row>
    <row r="58" ht="30.0" customHeight="1">
      <c r="A58" s="94" t="s">
        <v>238</v>
      </c>
      <c r="B58" s="96" t="s">
        <v>24</v>
      </c>
      <c r="C58" s="94" t="s">
        <v>254</v>
      </c>
      <c r="D58" s="97">
        <v>3.0</v>
      </c>
      <c r="E58" s="97" t="s">
        <v>146</v>
      </c>
      <c r="F58" s="97" t="s">
        <v>148</v>
      </c>
      <c r="G58" s="97" t="s">
        <v>149</v>
      </c>
      <c r="H58" s="97" t="s">
        <v>151</v>
      </c>
      <c r="I58" s="96"/>
      <c r="J58" s="100" t="s">
        <v>256</v>
      </c>
      <c r="K58" s="101" t="s">
        <v>257</v>
      </c>
      <c r="L58" s="88" t="s">
        <v>63</v>
      </c>
      <c r="M58" s="50" t="s">
        <v>64</v>
      </c>
      <c r="N58" s="43" t="s">
        <v>55</v>
      </c>
      <c r="O58" s="105" t="s">
        <v>68</v>
      </c>
      <c r="P58" s="101" t="s">
        <v>70</v>
      </c>
      <c r="Q58" s="107" t="s">
        <v>74</v>
      </c>
    </row>
    <row r="59" ht="30.0" customHeight="1">
      <c r="A59" s="73" t="s">
        <v>245</v>
      </c>
      <c r="B59" s="75" t="s">
        <v>24</v>
      </c>
      <c r="C59" s="73" t="s">
        <v>254</v>
      </c>
      <c r="D59" s="77">
        <v>3.0</v>
      </c>
      <c r="E59" s="77" t="s">
        <v>146</v>
      </c>
      <c r="F59" s="77" t="s">
        <v>148</v>
      </c>
      <c r="G59" s="77" t="s">
        <v>149</v>
      </c>
      <c r="H59" s="77" t="s">
        <v>151</v>
      </c>
      <c r="I59" s="75"/>
      <c r="J59" s="81" t="s">
        <v>256</v>
      </c>
      <c r="K59" s="45" t="s">
        <v>257</v>
      </c>
      <c r="L59" s="125" t="s">
        <v>92</v>
      </c>
      <c r="M59" s="50" t="s">
        <v>64</v>
      </c>
      <c r="N59" s="43" t="s">
        <v>55</v>
      </c>
      <c r="O59" s="59" t="s">
        <v>68</v>
      </c>
      <c r="P59" s="45" t="s">
        <v>70</v>
      </c>
      <c r="Q59" s="44" t="s">
        <v>74</v>
      </c>
    </row>
    <row r="60" ht="30.0" customHeight="1">
      <c r="A60" s="94" t="s">
        <v>250</v>
      </c>
      <c r="B60" s="96" t="s">
        <v>24</v>
      </c>
      <c r="C60" s="94" t="s">
        <v>254</v>
      </c>
      <c r="D60" s="97">
        <v>3.0</v>
      </c>
      <c r="E60" s="97" t="s">
        <v>146</v>
      </c>
      <c r="F60" s="97" t="s">
        <v>148</v>
      </c>
      <c r="G60" s="97" t="s">
        <v>149</v>
      </c>
      <c r="H60" s="97" t="s">
        <v>151</v>
      </c>
      <c r="I60" s="96"/>
      <c r="J60" s="100" t="s">
        <v>256</v>
      </c>
      <c r="K60" s="101" t="s">
        <v>257</v>
      </c>
      <c r="L60" s="125" t="s">
        <v>92</v>
      </c>
      <c r="M60" s="50" t="s">
        <v>64</v>
      </c>
      <c r="N60" s="43" t="s">
        <v>55</v>
      </c>
      <c r="O60" s="105" t="s">
        <v>68</v>
      </c>
      <c r="P60" s="101" t="s">
        <v>70</v>
      </c>
      <c r="Q60" s="107" t="s">
        <v>74</v>
      </c>
    </row>
    <row r="61" ht="30.0" customHeight="1">
      <c r="A61" s="73" t="s">
        <v>252</v>
      </c>
      <c r="B61" s="75" t="s">
        <v>24</v>
      </c>
      <c r="C61" s="73" t="s">
        <v>254</v>
      </c>
      <c r="D61" s="77">
        <v>3.0</v>
      </c>
      <c r="E61" s="77" t="s">
        <v>146</v>
      </c>
      <c r="F61" s="77" t="s">
        <v>148</v>
      </c>
      <c r="G61" s="77" t="s">
        <v>149</v>
      </c>
      <c r="H61" s="77" t="s">
        <v>151</v>
      </c>
      <c r="I61" s="75"/>
      <c r="J61" s="81" t="s">
        <v>256</v>
      </c>
      <c r="K61" s="45" t="s">
        <v>257</v>
      </c>
      <c r="L61" s="88" t="s">
        <v>63</v>
      </c>
      <c r="M61" s="50" t="s">
        <v>64</v>
      </c>
      <c r="N61" s="43" t="s">
        <v>55</v>
      </c>
      <c r="O61" s="59" t="s">
        <v>68</v>
      </c>
      <c r="P61" s="45" t="s">
        <v>70</v>
      </c>
      <c r="Q61" s="44" t="s">
        <v>74</v>
      </c>
    </row>
    <row r="62" ht="30.0" customHeight="1">
      <c r="A62" s="94" t="s">
        <v>263</v>
      </c>
      <c r="B62" s="96" t="s">
        <v>24</v>
      </c>
      <c r="C62" s="94" t="s">
        <v>254</v>
      </c>
      <c r="D62" s="97">
        <v>3.0</v>
      </c>
      <c r="E62" s="97" t="s">
        <v>146</v>
      </c>
      <c r="F62" s="97" t="s">
        <v>148</v>
      </c>
      <c r="G62" s="97" t="s">
        <v>149</v>
      </c>
      <c r="H62" s="97" t="s">
        <v>151</v>
      </c>
      <c r="I62" s="96"/>
      <c r="J62" s="100" t="s">
        <v>256</v>
      </c>
      <c r="K62" s="101" t="s">
        <v>257</v>
      </c>
      <c r="L62" s="153" t="s">
        <v>210</v>
      </c>
      <c r="M62" s="79" t="s">
        <v>150</v>
      </c>
      <c r="N62" s="43" t="s">
        <v>55</v>
      </c>
      <c r="O62" s="124" t="s">
        <v>56</v>
      </c>
      <c r="P62" s="101" t="s">
        <v>267</v>
      </c>
      <c r="Q62" s="107" t="s">
        <v>269</v>
      </c>
    </row>
    <row r="63" ht="30.0" customHeight="1">
      <c r="A63" s="73" t="s">
        <v>279</v>
      </c>
      <c r="B63" s="75" t="s">
        <v>24</v>
      </c>
      <c r="C63" s="73" t="s">
        <v>254</v>
      </c>
      <c r="D63" s="77">
        <v>3.0</v>
      </c>
      <c r="E63" s="77" t="s">
        <v>146</v>
      </c>
      <c r="F63" s="77" t="s">
        <v>148</v>
      </c>
      <c r="G63" s="77" t="s">
        <v>149</v>
      </c>
      <c r="H63" s="77" t="s">
        <v>151</v>
      </c>
      <c r="I63" s="75"/>
      <c r="J63" s="81" t="s">
        <v>256</v>
      </c>
      <c r="K63" s="45" t="s">
        <v>257</v>
      </c>
      <c r="L63" s="130" t="s">
        <v>159</v>
      </c>
      <c r="M63" s="62" t="s">
        <v>92</v>
      </c>
      <c r="N63" s="43" t="s">
        <v>55</v>
      </c>
      <c r="O63" s="59" t="s">
        <v>68</v>
      </c>
      <c r="P63" s="45" t="s">
        <v>70</v>
      </c>
      <c r="Q63" s="44" t="s">
        <v>74</v>
      </c>
    </row>
    <row r="64" ht="30.0" customHeight="1">
      <c r="A64" s="94" t="s">
        <v>289</v>
      </c>
      <c r="B64" s="96" t="s">
        <v>24</v>
      </c>
      <c r="C64" s="94" t="s">
        <v>254</v>
      </c>
      <c r="D64" s="97">
        <v>3.0</v>
      </c>
      <c r="E64" s="97" t="s">
        <v>146</v>
      </c>
      <c r="F64" s="97" t="s">
        <v>148</v>
      </c>
      <c r="G64" s="97" t="s">
        <v>149</v>
      </c>
      <c r="H64" s="97" t="s">
        <v>151</v>
      </c>
      <c r="I64" s="96"/>
      <c r="J64" s="100" t="s">
        <v>256</v>
      </c>
      <c r="K64" s="101" t="s">
        <v>257</v>
      </c>
      <c r="L64" s="127" t="s">
        <v>64</v>
      </c>
      <c r="M64" s="49" t="s">
        <v>63</v>
      </c>
      <c r="N64" s="43" t="s">
        <v>55</v>
      </c>
      <c r="O64" s="105" t="s">
        <v>68</v>
      </c>
      <c r="P64" s="101" t="s">
        <v>70</v>
      </c>
      <c r="Q64" s="107" t="s">
        <v>74</v>
      </c>
    </row>
    <row r="65" ht="30.0" customHeight="1">
      <c r="A65" s="73" t="s">
        <v>304</v>
      </c>
      <c r="B65" s="75" t="s">
        <v>24</v>
      </c>
      <c r="C65" s="73" t="s">
        <v>254</v>
      </c>
      <c r="D65" s="77">
        <v>3.0</v>
      </c>
      <c r="E65" s="77" t="s">
        <v>146</v>
      </c>
      <c r="F65" s="77" t="s">
        <v>148</v>
      </c>
      <c r="G65" s="77" t="s">
        <v>149</v>
      </c>
      <c r="H65" s="77" t="s">
        <v>151</v>
      </c>
      <c r="I65" s="75"/>
      <c r="J65" s="81" t="s">
        <v>256</v>
      </c>
      <c r="K65" s="45" t="s">
        <v>257</v>
      </c>
      <c r="L65" s="137" t="s">
        <v>164</v>
      </c>
      <c r="M65" s="50" t="s">
        <v>64</v>
      </c>
      <c r="N65" s="43" t="s">
        <v>55</v>
      </c>
      <c r="O65" s="59" t="s">
        <v>68</v>
      </c>
      <c r="P65" s="45" t="s">
        <v>70</v>
      </c>
      <c r="Q65" s="44" t="s">
        <v>74</v>
      </c>
    </row>
    <row r="66" ht="30.0" customHeight="1">
      <c r="A66" s="94" t="s">
        <v>308</v>
      </c>
      <c r="B66" s="96" t="s">
        <v>24</v>
      </c>
      <c r="C66" s="94" t="s">
        <v>254</v>
      </c>
      <c r="D66" s="97">
        <v>3.0</v>
      </c>
      <c r="E66" s="97" t="s">
        <v>146</v>
      </c>
      <c r="F66" s="97" t="s">
        <v>148</v>
      </c>
      <c r="G66" s="97" t="s">
        <v>149</v>
      </c>
      <c r="H66" s="97" t="s">
        <v>151</v>
      </c>
      <c r="I66" s="96"/>
      <c r="J66" s="100" t="s">
        <v>256</v>
      </c>
      <c r="K66" s="101" t="s">
        <v>257</v>
      </c>
      <c r="L66" s="140" t="s">
        <v>52</v>
      </c>
      <c r="M66" s="62" t="s">
        <v>92</v>
      </c>
      <c r="N66" s="43" t="s">
        <v>55</v>
      </c>
      <c r="O66" s="124" t="s">
        <v>195</v>
      </c>
      <c r="P66" s="101" t="s">
        <v>312</v>
      </c>
      <c r="Q66" s="107"/>
    </row>
    <row r="67" ht="30.0" customHeight="1">
      <c r="A67" s="73" t="s">
        <v>315</v>
      </c>
      <c r="B67" s="75" t="s">
        <v>24</v>
      </c>
      <c r="C67" s="73" t="s">
        <v>254</v>
      </c>
      <c r="D67" s="77">
        <v>3.0</v>
      </c>
      <c r="E67" s="77" t="s">
        <v>146</v>
      </c>
      <c r="F67" s="77" t="s">
        <v>148</v>
      </c>
      <c r="G67" s="77" t="s">
        <v>149</v>
      </c>
      <c r="H67" s="77" t="s">
        <v>151</v>
      </c>
      <c r="I67" s="75"/>
      <c r="J67" s="81" t="s">
        <v>256</v>
      </c>
      <c r="K67" s="45" t="s">
        <v>257</v>
      </c>
      <c r="L67" s="125" t="s">
        <v>92</v>
      </c>
      <c r="M67" s="50" t="s">
        <v>64</v>
      </c>
      <c r="N67" s="43" t="s">
        <v>55</v>
      </c>
      <c r="O67" s="59" t="s">
        <v>68</v>
      </c>
      <c r="P67" s="45" t="s">
        <v>70</v>
      </c>
      <c r="Q67" s="44" t="s">
        <v>74</v>
      </c>
    </row>
    <row r="68" ht="30.0" customHeight="1">
      <c r="A68" s="94" t="s">
        <v>317</v>
      </c>
      <c r="B68" s="96" t="s">
        <v>24</v>
      </c>
      <c r="C68" s="94" t="s">
        <v>254</v>
      </c>
      <c r="D68" s="97">
        <v>3.0</v>
      </c>
      <c r="E68" s="97" t="s">
        <v>146</v>
      </c>
      <c r="F68" s="97" t="s">
        <v>148</v>
      </c>
      <c r="G68" s="97" t="s">
        <v>149</v>
      </c>
      <c r="H68" s="97" t="s">
        <v>151</v>
      </c>
      <c r="I68" s="96"/>
      <c r="J68" s="100" t="s">
        <v>256</v>
      </c>
      <c r="K68" s="101" t="s">
        <v>257</v>
      </c>
      <c r="L68" s="148" t="s">
        <v>199</v>
      </c>
      <c r="M68" s="50" t="s">
        <v>64</v>
      </c>
      <c r="N68" s="43" t="s">
        <v>55</v>
      </c>
      <c r="O68" s="105" t="s">
        <v>68</v>
      </c>
      <c r="P68" s="101" t="s">
        <v>70</v>
      </c>
      <c r="Q68" s="107" t="s">
        <v>74</v>
      </c>
    </row>
    <row r="69" ht="30.0" customHeight="1">
      <c r="A69" s="73" t="s">
        <v>337</v>
      </c>
      <c r="B69" s="75" t="s">
        <v>24</v>
      </c>
      <c r="C69" s="73" t="s">
        <v>254</v>
      </c>
      <c r="D69" s="77">
        <v>3.0</v>
      </c>
      <c r="E69" s="77" t="s">
        <v>146</v>
      </c>
      <c r="F69" s="77" t="s">
        <v>148</v>
      </c>
      <c r="G69" s="77" t="s">
        <v>149</v>
      </c>
      <c r="H69" s="77" t="s">
        <v>151</v>
      </c>
      <c r="I69" s="75"/>
      <c r="J69" s="81" t="s">
        <v>256</v>
      </c>
      <c r="K69" s="45" t="s">
        <v>257</v>
      </c>
      <c r="L69" s="125" t="s">
        <v>92</v>
      </c>
      <c r="M69" s="50" t="s">
        <v>64</v>
      </c>
      <c r="N69" s="43" t="s">
        <v>55</v>
      </c>
      <c r="O69" s="59" t="s">
        <v>68</v>
      </c>
      <c r="P69" s="45" t="s">
        <v>70</v>
      </c>
      <c r="Q69" s="44" t="s">
        <v>74</v>
      </c>
    </row>
    <row r="70" ht="30.0" customHeight="1">
      <c r="A70" s="94" t="s">
        <v>347</v>
      </c>
      <c r="B70" s="96" t="s">
        <v>24</v>
      </c>
      <c r="C70" s="94" t="s">
        <v>254</v>
      </c>
      <c r="D70" s="97">
        <v>3.0</v>
      </c>
      <c r="E70" s="97" t="s">
        <v>146</v>
      </c>
      <c r="F70" s="97" t="s">
        <v>148</v>
      </c>
      <c r="G70" s="97" t="s">
        <v>149</v>
      </c>
      <c r="H70" s="97" t="s">
        <v>151</v>
      </c>
      <c r="I70" s="96"/>
      <c r="J70" s="100" t="s">
        <v>256</v>
      </c>
      <c r="K70" s="101" t="s">
        <v>257</v>
      </c>
      <c r="L70" s="125" t="s">
        <v>92</v>
      </c>
      <c r="M70" s="50" t="s">
        <v>64</v>
      </c>
      <c r="N70" s="43" t="s">
        <v>55</v>
      </c>
      <c r="O70" s="105" t="s">
        <v>68</v>
      </c>
      <c r="P70" s="101" t="s">
        <v>70</v>
      </c>
      <c r="Q70" s="107" t="s">
        <v>74</v>
      </c>
    </row>
    <row r="71" ht="30.0" customHeight="1">
      <c r="A71" s="73" t="s">
        <v>358</v>
      </c>
      <c r="B71" s="75" t="s">
        <v>24</v>
      </c>
      <c r="C71" s="73" t="s">
        <v>254</v>
      </c>
      <c r="D71" s="77">
        <v>3.0</v>
      </c>
      <c r="E71" s="77" t="s">
        <v>146</v>
      </c>
      <c r="F71" s="77" t="s">
        <v>148</v>
      </c>
      <c r="G71" s="77" t="s">
        <v>149</v>
      </c>
      <c r="H71" s="77" t="s">
        <v>151</v>
      </c>
      <c r="I71" s="75"/>
      <c r="J71" s="81" t="s">
        <v>256</v>
      </c>
      <c r="K71" s="45" t="s">
        <v>257</v>
      </c>
      <c r="L71" s="88" t="s">
        <v>63</v>
      </c>
      <c r="M71" s="50" t="s">
        <v>64</v>
      </c>
      <c r="N71" s="43" t="s">
        <v>55</v>
      </c>
      <c r="O71" s="115" t="s">
        <v>56</v>
      </c>
      <c r="P71" s="45" t="s">
        <v>363</v>
      </c>
      <c r="Q71" s="44"/>
    </row>
    <row r="72" ht="30.0" customHeight="1">
      <c r="A72" s="94" t="s">
        <v>365</v>
      </c>
      <c r="B72" s="96" t="s">
        <v>24</v>
      </c>
      <c r="C72" s="94" t="s">
        <v>254</v>
      </c>
      <c r="D72" s="97">
        <v>3.0</v>
      </c>
      <c r="E72" s="97" t="s">
        <v>146</v>
      </c>
      <c r="F72" s="97" t="s">
        <v>148</v>
      </c>
      <c r="G72" s="97" t="s">
        <v>149</v>
      </c>
      <c r="H72" s="97" t="s">
        <v>151</v>
      </c>
      <c r="I72" s="96"/>
      <c r="J72" s="100" t="s">
        <v>256</v>
      </c>
      <c r="K72" s="101" t="s">
        <v>257</v>
      </c>
      <c r="L72" s="125" t="s">
        <v>92</v>
      </c>
      <c r="M72" s="50" t="s">
        <v>64</v>
      </c>
      <c r="N72" s="43" t="s">
        <v>55</v>
      </c>
      <c r="O72" s="105" t="s">
        <v>68</v>
      </c>
      <c r="P72" s="101" t="s">
        <v>70</v>
      </c>
      <c r="Q72" s="107" t="s">
        <v>74</v>
      </c>
    </row>
    <row r="73" ht="30.0" customHeight="1">
      <c r="A73" s="73" t="s">
        <v>387</v>
      </c>
      <c r="B73" s="75" t="s">
        <v>24</v>
      </c>
      <c r="C73" s="73" t="s">
        <v>254</v>
      </c>
      <c r="D73" s="77">
        <v>3.0</v>
      </c>
      <c r="E73" s="77" t="s">
        <v>146</v>
      </c>
      <c r="F73" s="77" t="s">
        <v>148</v>
      </c>
      <c r="G73" s="77" t="s">
        <v>149</v>
      </c>
      <c r="H73" s="77" t="s">
        <v>151</v>
      </c>
      <c r="I73" s="75"/>
      <c r="J73" s="81" t="s">
        <v>256</v>
      </c>
      <c r="K73" s="45" t="s">
        <v>257</v>
      </c>
      <c r="L73" s="125" t="s">
        <v>92</v>
      </c>
      <c r="M73" s="50" t="s">
        <v>64</v>
      </c>
      <c r="N73" s="43" t="s">
        <v>55</v>
      </c>
      <c r="O73" s="59" t="s">
        <v>68</v>
      </c>
      <c r="P73" s="45" t="s">
        <v>70</v>
      </c>
      <c r="Q73" s="44" t="s">
        <v>74</v>
      </c>
    </row>
    <row r="74" ht="30.0" customHeight="1">
      <c r="A74" s="94" t="s">
        <v>392</v>
      </c>
      <c r="B74" s="96" t="s">
        <v>24</v>
      </c>
      <c r="C74" s="94" t="s">
        <v>254</v>
      </c>
      <c r="D74" s="97">
        <v>3.0</v>
      </c>
      <c r="E74" s="97" t="s">
        <v>146</v>
      </c>
      <c r="F74" s="97" t="s">
        <v>148</v>
      </c>
      <c r="G74" s="97" t="s">
        <v>149</v>
      </c>
      <c r="H74" s="97" t="s">
        <v>151</v>
      </c>
      <c r="I74" s="96"/>
      <c r="J74" s="100" t="s">
        <v>256</v>
      </c>
      <c r="K74" s="101" t="s">
        <v>257</v>
      </c>
      <c r="L74" s="126" t="s">
        <v>78</v>
      </c>
      <c r="M74" s="79" t="s">
        <v>150</v>
      </c>
      <c r="N74" s="43" t="s">
        <v>55</v>
      </c>
      <c r="O74" s="105" t="s">
        <v>68</v>
      </c>
      <c r="P74" s="101" t="s">
        <v>70</v>
      </c>
      <c r="Q74" s="107" t="s">
        <v>74</v>
      </c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8990F321-300D-4D4A-A0E2-035C217661BF}" filter="1" showAutoFilter="1">
      <autoFilter ref="$A$6:$Q$74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7" ref="J7"/>
    <hyperlink r:id="rId5" ref="K7"/>
    <hyperlink r:id="rId6" location="'Club Colours'!A8" ref="L7"/>
    <hyperlink r:id="rId7" ref="P7"/>
    <hyperlink r:id="rId8" location="'Sources'!A7" ref="J8"/>
    <hyperlink r:id="rId9" ref="K8"/>
    <hyperlink r:id="rId10" location="'Club Colours'!A9" ref="L8"/>
    <hyperlink r:id="rId11" ref="P8"/>
    <hyperlink r:id="rId12" location="'Sources'!A7" ref="J9"/>
    <hyperlink r:id="rId13" ref="K9"/>
    <hyperlink r:id="rId14" location="'Club Colours'!A15" ref="L9"/>
    <hyperlink r:id="rId15" ref="P9"/>
    <hyperlink r:id="rId16" location="'Sources'!A7" ref="J10"/>
    <hyperlink r:id="rId17" ref="K10"/>
    <hyperlink r:id="rId18" location="'Club Colours'!A17" ref="L10"/>
    <hyperlink r:id="rId19" ref="P10"/>
    <hyperlink r:id="rId20" location="'Sources'!A7" ref="J11"/>
    <hyperlink r:id="rId21" ref="K11"/>
    <hyperlink r:id="rId22" location="'Club Colours'!A18" ref="L11"/>
    <hyperlink r:id="rId23" ref="P11"/>
    <hyperlink r:id="rId24" location="'Sources'!A7" ref="J12"/>
    <hyperlink r:id="rId25" ref="K12"/>
    <hyperlink r:id="rId26" location="'Club Colours'!A26" ref="L12"/>
    <hyperlink r:id="rId27" ref="P12"/>
    <hyperlink r:id="rId28" location="'Sources'!A7" ref="J13"/>
    <hyperlink r:id="rId29" ref="K13"/>
    <hyperlink r:id="rId30" location="'Club Colours'!A27" ref="L13"/>
    <hyperlink r:id="rId31" ref="P13"/>
    <hyperlink r:id="rId32" location="'Sources'!A7" ref="J14"/>
    <hyperlink r:id="rId33" ref="K14"/>
    <hyperlink r:id="rId34" location="'Club Colours'!A28" ref="L14"/>
    <hyperlink r:id="rId35" ref="P14"/>
    <hyperlink r:id="rId36" location="'Sources'!A7" ref="J15"/>
    <hyperlink r:id="rId37" ref="K15"/>
    <hyperlink r:id="rId38" location="'Club Colours'!A31" ref="L15"/>
    <hyperlink r:id="rId39" ref="P15"/>
    <hyperlink r:id="rId40" location="'Sources'!A7" ref="J16"/>
    <hyperlink r:id="rId41" ref="K16"/>
    <hyperlink r:id="rId42" location="'Club Colours'!A32" ref="L16"/>
    <hyperlink r:id="rId43" ref="P16"/>
    <hyperlink r:id="rId44" location="'Sources'!A7" ref="J17"/>
    <hyperlink r:id="rId45" ref="K17"/>
    <hyperlink r:id="rId46" location="'Club Colours'!A34" ref="L17"/>
    <hyperlink r:id="rId47" ref="P17"/>
    <hyperlink r:id="rId48" location="'Sources'!A7" ref="J18"/>
    <hyperlink r:id="rId49" ref="K18"/>
    <hyperlink r:id="rId50" location="'Club Colours'!A35" ref="L18"/>
    <hyperlink r:id="rId51" ref="P18"/>
    <hyperlink r:id="rId52" location="'Sources'!A7" ref="J19"/>
    <hyperlink r:id="rId53" ref="K19"/>
    <hyperlink r:id="rId54" location="'Club Colours'!A36" ref="L19"/>
    <hyperlink r:id="rId55" ref="P19"/>
    <hyperlink r:id="rId56" location="'Sources'!A7" ref="J20"/>
    <hyperlink r:id="rId57" ref="K20"/>
    <hyperlink r:id="rId58" location="'Club Colours'!A40" ref="L20"/>
    <hyperlink r:id="rId59" ref="P20"/>
    <hyperlink r:id="rId60" location="'Sources'!A7" ref="J21"/>
    <hyperlink r:id="rId61" ref="K21"/>
    <hyperlink r:id="rId62" location="'Club Colours'!A42" ref="L21"/>
    <hyperlink r:id="rId63" ref="P21"/>
    <hyperlink r:id="rId64" location="'Sources'!A7" ref="J22"/>
    <hyperlink r:id="rId65" ref="K22"/>
    <hyperlink r:id="rId66" location="'Club Colours'!A43" ref="L22"/>
    <hyperlink r:id="rId67" ref="P22"/>
    <hyperlink r:id="rId68" location="'Sources'!A7" ref="J23"/>
    <hyperlink r:id="rId69" ref="K23"/>
    <hyperlink r:id="rId70" location="'Club Colours'!A48" ref="L23"/>
    <hyperlink r:id="rId71" ref="P23"/>
    <hyperlink r:id="rId72" location="'Sources'!A7" ref="J24"/>
    <hyperlink r:id="rId73" ref="K24"/>
    <hyperlink r:id="rId74" location="'Club Colours'!A50" ref="L24"/>
    <hyperlink r:id="rId75" ref="P24"/>
    <hyperlink r:id="rId76" location="'Sources'!A7" ref="J25"/>
    <hyperlink r:id="rId77" ref="K25"/>
    <hyperlink r:id="rId78" location="'Club Colours'!A65" ref="L25"/>
    <hyperlink r:id="rId79" ref="P25"/>
    <hyperlink r:id="rId80" location="'Sources'!A7" ref="J26"/>
    <hyperlink r:id="rId81" ref="K26"/>
    <hyperlink r:id="rId82" location="'Club Colours'!A67" ref="L26"/>
    <hyperlink r:id="rId83" ref="P26"/>
    <hyperlink r:id="rId84" location="'Sources'!A8" ref="J27"/>
    <hyperlink r:id="rId85" ref="K27"/>
    <hyperlink r:id="rId86" location="'Club Colours'!A11" ref="L27"/>
    <hyperlink r:id="rId87" ref="P27"/>
    <hyperlink r:id="rId88" location="'Sources'!A8" ref="J28"/>
    <hyperlink r:id="rId89" ref="K28"/>
    <hyperlink r:id="rId90" location="'Club Colours'!A12" ref="L28"/>
    <hyperlink r:id="rId91" ref="P28"/>
    <hyperlink r:id="rId92" location="'Sources'!A8" ref="J29"/>
    <hyperlink r:id="rId93" ref="K29"/>
    <hyperlink r:id="rId94" location="'Club Colours'!A14" ref="L29"/>
    <hyperlink r:id="rId95" ref="P29"/>
    <hyperlink r:id="rId96" location="'Sources'!A8" ref="J30"/>
    <hyperlink r:id="rId97" ref="K30"/>
    <hyperlink r:id="rId98" location="'Club Colours'!A19" ref="L30"/>
    <hyperlink r:id="rId99" ref="P30"/>
    <hyperlink r:id="rId100" location="'Sources'!A8" ref="J31"/>
    <hyperlink r:id="rId101" ref="K31"/>
    <hyperlink r:id="rId102" location="'Club Colours'!A21" ref="L31"/>
    <hyperlink r:id="rId103" ref="P31"/>
    <hyperlink r:id="rId104" location="'Sources'!A8" ref="J32"/>
    <hyperlink r:id="rId105" ref="K32"/>
    <hyperlink r:id="rId106" location="'Club Colours'!A24" ref="L32"/>
    <hyperlink r:id="rId107" ref="P32"/>
    <hyperlink r:id="rId108" location="'Sources'!A8" ref="J33"/>
    <hyperlink r:id="rId109" ref="K33"/>
    <hyperlink r:id="rId110" location="'Club Colours'!A25" ref="L33"/>
    <hyperlink r:id="rId111" ref="P33"/>
    <hyperlink r:id="rId112" location="'Sources'!A8" ref="J34"/>
    <hyperlink r:id="rId113" ref="K34"/>
    <hyperlink r:id="rId114" location="'Club Colours'!A29" ref="L34"/>
    <hyperlink r:id="rId115" ref="P34"/>
    <hyperlink r:id="rId116" location="'Sources'!A8" ref="J35"/>
    <hyperlink r:id="rId117" ref="K35"/>
    <hyperlink r:id="rId118" location="'Club Colours'!A39" ref="L35"/>
    <hyperlink r:id="rId119" ref="P35"/>
    <hyperlink r:id="rId120" location="'Sources'!A8" ref="J36"/>
    <hyperlink r:id="rId121" ref="K36"/>
    <hyperlink r:id="rId122" location="'Club Colours'!A45" ref="L36"/>
    <hyperlink r:id="rId123" ref="P36"/>
    <hyperlink r:id="rId124" location="'Sources'!A8" ref="J37"/>
    <hyperlink r:id="rId125" ref="K37"/>
    <hyperlink r:id="rId126" location="'Club Colours'!A46" ref="L37"/>
    <hyperlink r:id="rId127" ref="P37"/>
    <hyperlink r:id="rId128" location="'Sources'!A8" ref="J38"/>
    <hyperlink r:id="rId129" ref="K38"/>
    <hyperlink r:id="rId130" location="'Club Colours'!A49" ref="L38"/>
    <hyperlink r:id="rId131" ref="P38"/>
    <hyperlink r:id="rId132" location="'Sources'!A8" ref="J39"/>
    <hyperlink r:id="rId133" ref="K39"/>
    <hyperlink r:id="rId134" location="'Club Colours'!A55" ref="L39"/>
    <hyperlink r:id="rId135" ref="P39"/>
    <hyperlink r:id="rId136" location="'Sources'!A8" ref="J40"/>
    <hyperlink r:id="rId137" ref="K40"/>
    <hyperlink r:id="rId138" location="'Club Colours'!A56" ref="L40"/>
    <hyperlink r:id="rId139" ref="P40"/>
    <hyperlink r:id="rId140" location="'Sources'!A8" ref="J41"/>
    <hyperlink r:id="rId141" ref="K41"/>
    <hyperlink r:id="rId142" location="'Club Colours'!A57" ref="L41"/>
    <hyperlink r:id="rId143" ref="P41"/>
    <hyperlink r:id="rId144" location="'Sources'!A8" ref="J42"/>
    <hyperlink r:id="rId145" ref="K42"/>
    <hyperlink r:id="rId146" location="'Club Colours'!A59" ref="L42"/>
    <hyperlink r:id="rId147" ref="P42"/>
    <hyperlink r:id="rId148" location="'Sources'!A8" ref="J43"/>
    <hyperlink r:id="rId149" ref="K43"/>
    <hyperlink r:id="rId150" location="'Club Colours'!A61" ref="L43"/>
    <hyperlink r:id="rId151" ref="P43"/>
    <hyperlink r:id="rId152" location="'Sources'!A8" ref="J44"/>
    <hyperlink r:id="rId153" ref="K44"/>
    <hyperlink r:id="rId154" location="'Club Colours'!A64" ref="L44"/>
    <hyperlink r:id="rId155" ref="P44"/>
    <hyperlink r:id="rId156" location="'Sources'!A8" ref="J45"/>
    <hyperlink r:id="rId157" ref="K45"/>
    <hyperlink r:id="rId158" location="'Club Colours'!A66" ref="L45"/>
    <hyperlink r:id="rId159" ref="P45"/>
    <hyperlink r:id="rId160" location="'Sources'!A8" ref="J46"/>
    <hyperlink r:id="rId161" ref="K46"/>
    <hyperlink r:id="rId162" location="'Club Colours'!A68" ref="L46"/>
    <hyperlink r:id="rId163" ref="P46"/>
    <hyperlink r:id="rId164" location="'Sources'!A8" ref="J47"/>
    <hyperlink r:id="rId165" ref="K47"/>
    <hyperlink r:id="rId166" location="'Club Colours'!A69" ref="L47"/>
    <hyperlink r:id="rId167" ref="P47"/>
    <hyperlink r:id="rId168" location="'Sources'!A8" ref="J48"/>
    <hyperlink r:id="rId169" ref="K48"/>
    <hyperlink r:id="rId170" location="'Club Colours'!A70" ref="L48"/>
    <hyperlink r:id="rId171" ref="P48"/>
    <hyperlink r:id="rId172" location="'Sources'!A8" ref="J49"/>
    <hyperlink r:id="rId173" ref="K49"/>
    <hyperlink r:id="rId174" location="'Club Colours'!A72" ref="L49"/>
    <hyperlink r:id="rId175" ref="P49"/>
    <hyperlink r:id="rId176" location="'Sources'!A8" ref="J50"/>
    <hyperlink r:id="rId177" ref="K50"/>
    <hyperlink r:id="rId178" location="'Club Colours'!A73" ref="L50"/>
    <hyperlink r:id="rId179" ref="P50"/>
    <hyperlink r:id="rId180" location="'Sources'!A9" ref="J51"/>
    <hyperlink r:id="rId181" ref="K51"/>
    <hyperlink r:id="rId182" location="'Club Colours'!A7" ref="L51"/>
    <hyperlink r:id="rId183" ref="P51"/>
    <hyperlink r:id="rId184" location="'Sources'!A9" ref="J52"/>
    <hyperlink r:id="rId185" ref="K52"/>
    <hyperlink r:id="rId186" location="'Club Colours'!A10" ref="L52"/>
    <hyperlink r:id="rId187" ref="P52"/>
    <hyperlink r:id="rId188" location="'Sources'!A9" ref="J53"/>
    <hyperlink r:id="rId189" ref="K53"/>
    <hyperlink r:id="rId190" location="'Club Colours'!A13" ref="L53"/>
    <hyperlink r:id="rId191" ref="P53"/>
    <hyperlink r:id="rId192" location="'Sources'!A9" ref="J54"/>
    <hyperlink r:id="rId193" ref="K54"/>
    <hyperlink r:id="rId194" location="'Club Colours'!A16" ref="L54"/>
    <hyperlink r:id="rId195" ref="P54"/>
    <hyperlink r:id="rId196" location="'Sources'!A9" ref="J55"/>
    <hyperlink r:id="rId197" ref="K55"/>
    <hyperlink r:id="rId198" location="'Club Colours'!A20" ref="L55"/>
    <hyperlink r:id="rId199" ref="P55"/>
    <hyperlink r:id="rId200" location="'Sources'!A9" ref="J56"/>
    <hyperlink r:id="rId201" ref="K56"/>
    <hyperlink r:id="rId202" location="'Club Colours'!A22" ref="L56"/>
    <hyperlink r:id="rId203" ref="P56"/>
    <hyperlink r:id="rId204" location="'Sources'!A9" ref="J57"/>
    <hyperlink r:id="rId205" ref="K57"/>
    <hyperlink r:id="rId206" location="'Club Colours'!A23" ref="L57"/>
    <hyperlink r:id="rId207" ref="P57"/>
    <hyperlink r:id="rId208" location="'Sources'!A9" ref="J58"/>
    <hyperlink r:id="rId209" ref="K58"/>
    <hyperlink r:id="rId210" location="'Club Colours'!A30" ref="L58"/>
    <hyperlink r:id="rId211" ref="P58"/>
    <hyperlink r:id="rId212" location="'Sources'!A9" ref="J59"/>
    <hyperlink r:id="rId213" ref="K59"/>
    <hyperlink r:id="rId214" location="'Club Colours'!A33" ref="L59"/>
    <hyperlink r:id="rId215" ref="P59"/>
    <hyperlink r:id="rId216" location="'Sources'!A9" ref="J60"/>
    <hyperlink r:id="rId217" ref="K60"/>
    <hyperlink r:id="rId218" location="'Club Colours'!A37" ref="L60"/>
    <hyperlink r:id="rId219" ref="P60"/>
    <hyperlink r:id="rId220" location="'Sources'!A9" ref="J61"/>
    <hyperlink r:id="rId221" ref="K61"/>
    <hyperlink r:id="rId222" location="'Club Colours'!A38" ref="L61"/>
    <hyperlink r:id="rId223" ref="P61"/>
    <hyperlink r:id="rId224" location="'Sources'!A9" ref="J62"/>
    <hyperlink r:id="rId225" ref="K62"/>
    <hyperlink r:id="rId226" location="'Club Colours'!A41" ref="L62"/>
    <hyperlink r:id="rId227" ref="P62"/>
    <hyperlink r:id="rId228" location="'Sources'!A9" ref="J63"/>
    <hyperlink r:id="rId229" ref="K63"/>
    <hyperlink r:id="rId230" location="'Club Colours'!A44" ref="L63"/>
    <hyperlink r:id="rId231" ref="P63"/>
    <hyperlink r:id="rId232" location="'Sources'!A9" ref="J64"/>
    <hyperlink r:id="rId233" ref="K64"/>
    <hyperlink r:id="rId234" location="'Club Colours'!A47" ref="L64"/>
    <hyperlink r:id="rId235" ref="P64"/>
    <hyperlink r:id="rId236" location="'Sources'!A9" ref="J65"/>
    <hyperlink r:id="rId237" ref="K65"/>
    <hyperlink r:id="rId238" location="'Club Colours'!A51" ref="L65"/>
    <hyperlink r:id="rId239" ref="P65"/>
    <hyperlink r:id="rId240" location="'Sources'!A9" ref="J66"/>
    <hyperlink r:id="rId241" ref="K66"/>
    <hyperlink r:id="rId242" location="'Club Colours'!A52" ref="L66"/>
    <hyperlink r:id="rId243" ref="P66"/>
    <hyperlink r:id="rId244" location="'Sources'!A9" ref="J67"/>
    <hyperlink r:id="rId245" ref="K67"/>
    <hyperlink r:id="rId246" location="'Club Colours'!A53" ref="L67"/>
    <hyperlink r:id="rId247" ref="P67"/>
    <hyperlink r:id="rId248" location="'Sources'!A9" ref="J68"/>
    <hyperlink r:id="rId249" ref="K68"/>
    <hyperlink r:id="rId250" location="'Club Colours'!A54" ref="L68"/>
    <hyperlink r:id="rId251" ref="P68"/>
    <hyperlink r:id="rId252" location="'Sources'!A9" ref="J69"/>
    <hyperlink r:id="rId253" ref="K69"/>
    <hyperlink r:id="rId254" location="'Club Colours'!A58" ref="L69"/>
    <hyperlink r:id="rId255" ref="P69"/>
    <hyperlink r:id="rId256" location="'Sources'!A9" ref="J70"/>
    <hyperlink r:id="rId257" ref="K70"/>
    <hyperlink r:id="rId258" location="'Club Colours'!A60" ref="L70"/>
    <hyperlink r:id="rId259" ref="P70"/>
    <hyperlink r:id="rId260" location="'Sources'!A9" ref="J71"/>
    <hyperlink r:id="rId261" ref="K71"/>
    <hyperlink r:id="rId262" location="'Club Colours'!A62" ref="L71"/>
    <hyperlink r:id="rId263" ref="P71"/>
    <hyperlink r:id="rId264" location="'Sources'!A9" ref="J72"/>
    <hyperlink r:id="rId265" ref="K72"/>
    <hyperlink r:id="rId266" location="'Club Colours'!A63" ref="L72"/>
    <hyperlink r:id="rId267" ref="P72"/>
    <hyperlink r:id="rId268" location="'Sources'!A9" ref="J73"/>
    <hyperlink r:id="rId269" ref="K73"/>
    <hyperlink r:id="rId270" location="'Club Colours'!A71" ref="L73"/>
    <hyperlink r:id="rId271" ref="P73"/>
    <hyperlink r:id="rId272" location="'Sources'!A9" ref="J74"/>
    <hyperlink r:id="rId273" ref="K74"/>
    <hyperlink r:id="rId274" location="'Club Colours'!A74" ref="L74"/>
    <hyperlink r:id="rId275" ref="P74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276"/>
  <legacyDrawing r:id="rId277"/>
  <tableParts count="1">
    <tablePart r:id="rId279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394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276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9.75" customHeight="1">
      <c r="A7" s="73" t="s">
        <v>399</v>
      </c>
      <c r="B7" s="75" t="s">
        <v>39</v>
      </c>
      <c r="C7" s="73" t="s">
        <v>259</v>
      </c>
      <c r="D7" s="77">
        <v>1.0</v>
      </c>
      <c r="E7" s="77" t="s">
        <v>146</v>
      </c>
      <c r="F7" s="77" t="s">
        <v>148</v>
      </c>
      <c r="G7" s="77" t="s">
        <v>149</v>
      </c>
      <c r="H7" s="77" t="s">
        <v>151</v>
      </c>
      <c r="I7" s="75"/>
      <c r="J7" s="81" t="s">
        <v>264</v>
      </c>
      <c r="K7" s="45" t="s">
        <v>265</v>
      </c>
      <c r="L7" s="88" t="s">
        <v>63</v>
      </c>
      <c r="M7" s="50" t="s">
        <v>64</v>
      </c>
      <c r="N7" s="43" t="s">
        <v>55</v>
      </c>
      <c r="O7" s="59" t="s">
        <v>68</v>
      </c>
      <c r="P7" s="45" t="s">
        <v>404</v>
      </c>
      <c r="Q7" s="44" t="s">
        <v>406</v>
      </c>
    </row>
    <row r="8" ht="39.75" customHeight="1">
      <c r="A8" s="94" t="s">
        <v>407</v>
      </c>
      <c r="B8" s="96" t="s">
        <v>39</v>
      </c>
      <c r="C8" s="94" t="s">
        <v>259</v>
      </c>
      <c r="D8" s="97">
        <v>1.0</v>
      </c>
      <c r="E8" s="97" t="s">
        <v>146</v>
      </c>
      <c r="F8" s="97" t="s">
        <v>148</v>
      </c>
      <c r="G8" s="97" t="s">
        <v>149</v>
      </c>
      <c r="H8" s="97" t="s">
        <v>151</v>
      </c>
      <c r="I8" s="96"/>
      <c r="J8" s="100" t="s">
        <v>264</v>
      </c>
      <c r="K8" s="101" t="s">
        <v>265</v>
      </c>
      <c r="L8" s="88" t="s">
        <v>63</v>
      </c>
      <c r="M8" s="50" t="s">
        <v>64</v>
      </c>
      <c r="N8" s="43" t="s">
        <v>55</v>
      </c>
      <c r="O8" s="105" t="s">
        <v>68</v>
      </c>
      <c r="P8" s="101" t="s">
        <v>404</v>
      </c>
      <c r="Q8" s="107" t="s">
        <v>411</v>
      </c>
    </row>
    <row r="9" ht="39.75" customHeight="1">
      <c r="A9" s="73" t="s">
        <v>412</v>
      </c>
      <c r="B9" s="75" t="s">
        <v>39</v>
      </c>
      <c r="C9" s="73" t="s">
        <v>259</v>
      </c>
      <c r="D9" s="77">
        <v>1.0</v>
      </c>
      <c r="E9" s="77" t="s">
        <v>146</v>
      </c>
      <c r="F9" s="77" t="s">
        <v>148</v>
      </c>
      <c r="G9" s="77" t="s">
        <v>149</v>
      </c>
      <c r="H9" s="77" t="s">
        <v>151</v>
      </c>
      <c r="I9" s="75"/>
      <c r="J9" s="81" t="s">
        <v>264</v>
      </c>
      <c r="K9" s="45" t="s">
        <v>265</v>
      </c>
      <c r="L9" s="125" t="s">
        <v>92</v>
      </c>
      <c r="M9" s="56" t="s">
        <v>76</v>
      </c>
      <c r="N9" s="43" t="s">
        <v>55</v>
      </c>
      <c r="O9" s="59" t="s">
        <v>68</v>
      </c>
      <c r="P9" s="45" t="s">
        <v>404</v>
      </c>
      <c r="Q9" s="44" t="s">
        <v>409</v>
      </c>
    </row>
    <row r="10" ht="39.75" customHeight="1">
      <c r="A10" s="94" t="s">
        <v>414</v>
      </c>
      <c r="B10" s="96" t="s">
        <v>39</v>
      </c>
      <c r="C10" s="94" t="s">
        <v>259</v>
      </c>
      <c r="D10" s="97">
        <v>1.0</v>
      </c>
      <c r="E10" s="97" t="s">
        <v>146</v>
      </c>
      <c r="F10" s="97" t="s">
        <v>148</v>
      </c>
      <c r="G10" s="97" t="s">
        <v>149</v>
      </c>
      <c r="H10" s="97" t="s">
        <v>151</v>
      </c>
      <c r="I10" s="96"/>
      <c r="J10" s="100" t="s">
        <v>264</v>
      </c>
      <c r="K10" s="101" t="s">
        <v>265</v>
      </c>
      <c r="L10" s="126" t="s">
        <v>78</v>
      </c>
      <c r="M10" s="50" t="s">
        <v>64</v>
      </c>
      <c r="N10" s="43" t="s">
        <v>55</v>
      </c>
      <c r="O10" s="105" t="s">
        <v>68</v>
      </c>
      <c r="P10" s="101" t="s">
        <v>404</v>
      </c>
      <c r="Q10" s="107" t="s">
        <v>409</v>
      </c>
    </row>
    <row r="11" ht="39.75" customHeight="1">
      <c r="A11" s="73" t="s">
        <v>416</v>
      </c>
      <c r="B11" s="75" t="s">
        <v>39</v>
      </c>
      <c r="C11" s="73" t="s">
        <v>259</v>
      </c>
      <c r="D11" s="77">
        <v>1.0</v>
      </c>
      <c r="E11" s="77" t="s">
        <v>146</v>
      </c>
      <c r="F11" s="77" t="s">
        <v>148</v>
      </c>
      <c r="G11" s="77" t="s">
        <v>149</v>
      </c>
      <c r="H11" s="77" t="s">
        <v>151</v>
      </c>
      <c r="I11" s="75"/>
      <c r="J11" s="81" t="s">
        <v>264</v>
      </c>
      <c r="K11" s="45" t="s">
        <v>265</v>
      </c>
      <c r="L11" s="125" t="s">
        <v>92</v>
      </c>
      <c r="M11" s="50" t="s">
        <v>64</v>
      </c>
      <c r="N11" s="43" t="s">
        <v>55</v>
      </c>
      <c r="O11" s="59" t="s">
        <v>68</v>
      </c>
      <c r="P11" s="45" t="s">
        <v>404</v>
      </c>
      <c r="Q11" s="44" t="s">
        <v>409</v>
      </c>
    </row>
    <row r="12" ht="39.75" customHeight="1">
      <c r="A12" s="94" t="s">
        <v>420</v>
      </c>
      <c r="B12" s="96" t="s">
        <v>39</v>
      </c>
      <c r="C12" s="94" t="s">
        <v>259</v>
      </c>
      <c r="D12" s="97">
        <v>1.0</v>
      </c>
      <c r="E12" s="97" t="s">
        <v>146</v>
      </c>
      <c r="F12" s="97" t="s">
        <v>148</v>
      </c>
      <c r="G12" s="97" t="s">
        <v>149</v>
      </c>
      <c r="H12" s="97" t="s">
        <v>151</v>
      </c>
      <c r="I12" s="96"/>
      <c r="J12" s="100" t="s">
        <v>264</v>
      </c>
      <c r="K12" s="101" t="s">
        <v>265</v>
      </c>
      <c r="L12" s="125" t="s">
        <v>92</v>
      </c>
      <c r="M12" s="50" t="s">
        <v>64</v>
      </c>
      <c r="N12" s="43" t="s">
        <v>55</v>
      </c>
      <c r="O12" s="105" t="s">
        <v>68</v>
      </c>
      <c r="P12" s="101" t="s">
        <v>404</v>
      </c>
      <c r="Q12" s="107" t="s">
        <v>409</v>
      </c>
    </row>
    <row r="13" ht="39.75" customHeight="1">
      <c r="A13" s="73" t="s">
        <v>421</v>
      </c>
      <c r="B13" s="75" t="s">
        <v>39</v>
      </c>
      <c r="C13" s="73" t="s">
        <v>259</v>
      </c>
      <c r="D13" s="77">
        <v>1.0</v>
      </c>
      <c r="E13" s="77" t="s">
        <v>146</v>
      </c>
      <c r="F13" s="77" t="s">
        <v>148</v>
      </c>
      <c r="G13" s="77" t="s">
        <v>149</v>
      </c>
      <c r="H13" s="77" t="s">
        <v>151</v>
      </c>
      <c r="I13" s="75"/>
      <c r="J13" s="81" t="s">
        <v>264</v>
      </c>
      <c r="K13" s="45" t="s">
        <v>265</v>
      </c>
      <c r="L13" s="127" t="s">
        <v>64</v>
      </c>
      <c r="M13" s="138" t="s">
        <v>199</v>
      </c>
      <c r="N13" s="43" t="s">
        <v>55</v>
      </c>
      <c r="O13" s="59" t="s">
        <v>68</v>
      </c>
      <c r="P13" s="45" t="s">
        <v>404</v>
      </c>
      <c r="Q13" s="44" t="s">
        <v>409</v>
      </c>
    </row>
    <row r="14" ht="39.75" customHeight="1">
      <c r="A14" s="94" t="s">
        <v>423</v>
      </c>
      <c r="B14" s="96" t="s">
        <v>39</v>
      </c>
      <c r="C14" s="94" t="s">
        <v>259</v>
      </c>
      <c r="D14" s="97">
        <v>1.0</v>
      </c>
      <c r="E14" s="97" t="s">
        <v>146</v>
      </c>
      <c r="F14" s="97" t="s">
        <v>148</v>
      </c>
      <c r="G14" s="97" t="s">
        <v>149</v>
      </c>
      <c r="H14" s="97" t="s">
        <v>151</v>
      </c>
      <c r="I14" s="96"/>
      <c r="J14" s="100" t="s">
        <v>264</v>
      </c>
      <c r="K14" s="101" t="s">
        <v>265</v>
      </c>
      <c r="L14" s="125" t="s">
        <v>92</v>
      </c>
      <c r="M14" s="50" t="s">
        <v>64</v>
      </c>
      <c r="N14" s="43" t="s">
        <v>55</v>
      </c>
      <c r="O14" s="105" t="s">
        <v>68</v>
      </c>
      <c r="P14" s="101" t="s">
        <v>404</v>
      </c>
      <c r="Q14" s="107" t="s">
        <v>409</v>
      </c>
    </row>
    <row r="15" ht="39.75" customHeight="1">
      <c r="A15" s="73" t="s">
        <v>425</v>
      </c>
      <c r="B15" s="75" t="s">
        <v>39</v>
      </c>
      <c r="C15" s="73" t="s">
        <v>259</v>
      </c>
      <c r="D15" s="77">
        <v>1.0</v>
      </c>
      <c r="E15" s="77" t="s">
        <v>146</v>
      </c>
      <c r="F15" s="77" t="s">
        <v>148</v>
      </c>
      <c r="G15" s="77" t="s">
        <v>149</v>
      </c>
      <c r="H15" s="77" t="s">
        <v>151</v>
      </c>
      <c r="I15" s="75"/>
      <c r="J15" s="81" t="s">
        <v>264</v>
      </c>
      <c r="K15" s="45" t="s">
        <v>265</v>
      </c>
      <c r="L15" s="125" t="s">
        <v>92</v>
      </c>
      <c r="M15" s="49" t="s">
        <v>63</v>
      </c>
      <c r="N15" s="43" t="s">
        <v>55</v>
      </c>
      <c r="O15" s="59" t="s">
        <v>68</v>
      </c>
      <c r="P15" s="45" t="s">
        <v>404</v>
      </c>
      <c r="Q15" s="44" t="s">
        <v>409</v>
      </c>
    </row>
    <row r="16" ht="39.75" customHeight="1">
      <c r="A16" s="94" t="s">
        <v>429</v>
      </c>
      <c r="B16" s="96" t="s">
        <v>39</v>
      </c>
      <c r="C16" s="94" t="s">
        <v>259</v>
      </c>
      <c r="D16" s="97">
        <v>1.0</v>
      </c>
      <c r="E16" s="97" t="s">
        <v>146</v>
      </c>
      <c r="F16" s="97" t="s">
        <v>148</v>
      </c>
      <c r="G16" s="97" t="s">
        <v>149</v>
      </c>
      <c r="H16" s="97" t="s">
        <v>151</v>
      </c>
      <c r="I16" s="96"/>
      <c r="J16" s="100" t="s">
        <v>264</v>
      </c>
      <c r="K16" s="101" t="s">
        <v>265</v>
      </c>
      <c r="L16" s="125" t="s">
        <v>92</v>
      </c>
      <c r="M16" s="56" t="s">
        <v>76</v>
      </c>
      <c r="N16" s="43" t="s">
        <v>55</v>
      </c>
      <c r="O16" s="105" t="s">
        <v>68</v>
      </c>
      <c r="P16" s="101" t="s">
        <v>404</v>
      </c>
      <c r="Q16" s="107" t="s">
        <v>409</v>
      </c>
    </row>
    <row r="17" ht="39.75" customHeight="1">
      <c r="A17" s="73" t="s">
        <v>431</v>
      </c>
      <c r="B17" s="75" t="s">
        <v>39</v>
      </c>
      <c r="C17" s="73" t="s">
        <v>259</v>
      </c>
      <c r="D17" s="77">
        <v>1.0</v>
      </c>
      <c r="E17" s="77" t="s">
        <v>146</v>
      </c>
      <c r="F17" s="77" t="s">
        <v>148</v>
      </c>
      <c r="G17" s="77" t="s">
        <v>149</v>
      </c>
      <c r="H17" s="77" t="s">
        <v>151</v>
      </c>
      <c r="I17" s="75"/>
      <c r="J17" s="81" t="s">
        <v>264</v>
      </c>
      <c r="K17" s="45" t="s">
        <v>265</v>
      </c>
      <c r="L17" s="126" t="s">
        <v>78</v>
      </c>
      <c r="M17" s="50" t="s">
        <v>64</v>
      </c>
      <c r="N17" s="43" t="s">
        <v>55</v>
      </c>
      <c r="O17" s="59" t="s">
        <v>68</v>
      </c>
      <c r="P17" s="45" t="s">
        <v>404</v>
      </c>
      <c r="Q17" s="44" t="s">
        <v>409</v>
      </c>
    </row>
    <row r="18" ht="30.0" customHeight="1">
      <c r="A18" s="94" t="s">
        <v>433</v>
      </c>
      <c r="B18" s="96" t="s">
        <v>39</v>
      </c>
      <c r="C18" s="94" t="s">
        <v>259</v>
      </c>
      <c r="D18" s="97">
        <v>1.0</v>
      </c>
      <c r="E18" s="97" t="s">
        <v>146</v>
      </c>
      <c r="F18" s="97" t="s">
        <v>148</v>
      </c>
      <c r="G18" s="97" t="s">
        <v>149</v>
      </c>
      <c r="H18" s="97" t="s">
        <v>151</v>
      </c>
      <c r="I18" s="96"/>
      <c r="J18" s="100" t="s">
        <v>264</v>
      </c>
      <c r="K18" s="101" t="s">
        <v>265</v>
      </c>
      <c r="L18" s="88" t="s">
        <v>63</v>
      </c>
      <c r="M18" s="62" t="s">
        <v>92</v>
      </c>
      <c r="N18" s="43" t="s">
        <v>55</v>
      </c>
      <c r="O18" s="124" t="s">
        <v>56</v>
      </c>
      <c r="P18" s="101" t="s">
        <v>435</v>
      </c>
      <c r="Q18" s="107"/>
    </row>
    <row r="19" ht="39.75" customHeight="1">
      <c r="A19" s="73" t="s">
        <v>437</v>
      </c>
      <c r="B19" s="75" t="s">
        <v>39</v>
      </c>
      <c r="C19" s="73" t="s">
        <v>259</v>
      </c>
      <c r="D19" s="77">
        <v>1.0</v>
      </c>
      <c r="E19" s="77" t="s">
        <v>146</v>
      </c>
      <c r="F19" s="77" t="s">
        <v>148</v>
      </c>
      <c r="G19" s="77" t="s">
        <v>149</v>
      </c>
      <c r="H19" s="77" t="s">
        <v>151</v>
      </c>
      <c r="I19" s="75"/>
      <c r="J19" s="81" t="s">
        <v>264</v>
      </c>
      <c r="K19" s="45" t="s">
        <v>265</v>
      </c>
      <c r="L19" s="127" t="s">
        <v>64</v>
      </c>
      <c r="M19" s="138" t="s">
        <v>199</v>
      </c>
      <c r="N19" s="43" t="s">
        <v>55</v>
      </c>
      <c r="O19" s="59" t="s">
        <v>68</v>
      </c>
      <c r="P19" s="45" t="s">
        <v>404</v>
      </c>
      <c r="Q19" s="44" t="s">
        <v>409</v>
      </c>
    </row>
    <row r="20" ht="39.75" customHeight="1">
      <c r="A20" s="94" t="s">
        <v>439</v>
      </c>
      <c r="B20" s="96" t="s">
        <v>39</v>
      </c>
      <c r="C20" s="94" t="s">
        <v>259</v>
      </c>
      <c r="D20" s="97">
        <v>1.0</v>
      </c>
      <c r="E20" s="97" t="s">
        <v>146</v>
      </c>
      <c r="F20" s="97" t="s">
        <v>148</v>
      </c>
      <c r="G20" s="97" t="s">
        <v>149</v>
      </c>
      <c r="H20" s="97" t="s">
        <v>151</v>
      </c>
      <c r="I20" s="96"/>
      <c r="J20" s="100" t="s">
        <v>264</v>
      </c>
      <c r="K20" s="101" t="s">
        <v>265</v>
      </c>
      <c r="L20" s="127" t="s">
        <v>64</v>
      </c>
      <c r="M20" s="49" t="s">
        <v>63</v>
      </c>
      <c r="N20" s="43" t="s">
        <v>55</v>
      </c>
      <c r="O20" s="105" t="s">
        <v>68</v>
      </c>
      <c r="P20" s="101" t="s">
        <v>404</v>
      </c>
      <c r="Q20" s="107" t="s">
        <v>409</v>
      </c>
    </row>
    <row r="21" ht="39.75" customHeight="1">
      <c r="A21" s="73" t="s">
        <v>443</v>
      </c>
      <c r="B21" s="75" t="s">
        <v>39</v>
      </c>
      <c r="C21" s="73" t="s">
        <v>259</v>
      </c>
      <c r="D21" s="77">
        <v>1.0</v>
      </c>
      <c r="E21" s="77" t="s">
        <v>146</v>
      </c>
      <c r="F21" s="77" t="s">
        <v>148</v>
      </c>
      <c r="G21" s="77" t="s">
        <v>149</v>
      </c>
      <c r="H21" s="77" t="s">
        <v>151</v>
      </c>
      <c r="I21" s="75"/>
      <c r="J21" s="81" t="s">
        <v>264</v>
      </c>
      <c r="K21" s="45" t="s">
        <v>265</v>
      </c>
      <c r="L21" s="148" t="s">
        <v>199</v>
      </c>
      <c r="M21" s="50" t="s">
        <v>64</v>
      </c>
      <c r="N21" s="43" t="s">
        <v>55</v>
      </c>
      <c r="O21" s="59" t="s">
        <v>68</v>
      </c>
      <c r="P21" s="45" t="s">
        <v>404</v>
      </c>
      <c r="Q21" s="44" t="s">
        <v>409</v>
      </c>
    </row>
    <row r="22" ht="39.75" customHeight="1">
      <c r="A22" s="94" t="s">
        <v>446</v>
      </c>
      <c r="B22" s="96" t="s">
        <v>39</v>
      </c>
      <c r="C22" s="94" t="s">
        <v>259</v>
      </c>
      <c r="D22" s="97">
        <v>1.0</v>
      </c>
      <c r="E22" s="97" t="s">
        <v>146</v>
      </c>
      <c r="F22" s="97" t="s">
        <v>148</v>
      </c>
      <c r="G22" s="97" t="s">
        <v>149</v>
      </c>
      <c r="H22" s="97" t="s">
        <v>151</v>
      </c>
      <c r="I22" s="96"/>
      <c r="J22" s="100" t="s">
        <v>264</v>
      </c>
      <c r="K22" s="101" t="s">
        <v>265</v>
      </c>
      <c r="L22" s="127" t="s">
        <v>64</v>
      </c>
      <c r="M22" s="152" t="s">
        <v>218</v>
      </c>
      <c r="N22" s="43" t="s">
        <v>55</v>
      </c>
      <c r="O22" s="105" t="s">
        <v>68</v>
      </c>
      <c r="P22" s="101" t="s">
        <v>404</v>
      </c>
      <c r="Q22" s="107" t="s">
        <v>409</v>
      </c>
    </row>
    <row r="23" ht="39.75" customHeight="1">
      <c r="A23" s="73" t="s">
        <v>449</v>
      </c>
      <c r="B23" s="75" t="s">
        <v>39</v>
      </c>
      <c r="C23" s="73" t="s">
        <v>259</v>
      </c>
      <c r="D23" s="77">
        <v>1.0</v>
      </c>
      <c r="E23" s="77" t="s">
        <v>146</v>
      </c>
      <c r="F23" s="77" t="s">
        <v>148</v>
      </c>
      <c r="G23" s="77" t="s">
        <v>149</v>
      </c>
      <c r="H23" s="77" t="s">
        <v>151</v>
      </c>
      <c r="I23" s="75"/>
      <c r="J23" s="81" t="s">
        <v>264</v>
      </c>
      <c r="K23" s="45" t="s">
        <v>265</v>
      </c>
      <c r="L23" s="125" t="s">
        <v>92</v>
      </c>
      <c r="M23" s="50" t="s">
        <v>64</v>
      </c>
      <c r="N23" s="43" t="s">
        <v>55</v>
      </c>
      <c r="O23" s="59" t="s">
        <v>68</v>
      </c>
      <c r="P23" s="45" t="s">
        <v>404</v>
      </c>
      <c r="Q23" s="44" t="s">
        <v>409</v>
      </c>
    </row>
    <row r="24" ht="39.75" customHeight="1">
      <c r="A24" s="94" t="s">
        <v>453</v>
      </c>
      <c r="B24" s="96" t="s">
        <v>39</v>
      </c>
      <c r="C24" s="94" t="s">
        <v>259</v>
      </c>
      <c r="D24" s="97">
        <v>1.0</v>
      </c>
      <c r="E24" s="97" t="s">
        <v>146</v>
      </c>
      <c r="F24" s="97" t="s">
        <v>148</v>
      </c>
      <c r="G24" s="97" t="s">
        <v>149</v>
      </c>
      <c r="H24" s="97" t="s">
        <v>151</v>
      </c>
      <c r="I24" s="96"/>
      <c r="J24" s="100" t="s">
        <v>264</v>
      </c>
      <c r="K24" s="101" t="s">
        <v>265</v>
      </c>
      <c r="L24" s="127" t="s">
        <v>64</v>
      </c>
      <c r="M24" s="49" t="s">
        <v>63</v>
      </c>
      <c r="N24" s="43" t="s">
        <v>55</v>
      </c>
      <c r="O24" s="105" t="s">
        <v>68</v>
      </c>
      <c r="P24" s="101" t="s">
        <v>404</v>
      </c>
      <c r="Q24" s="107" t="s">
        <v>409</v>
      </c>
    </row>
    <row r="25" ht="39.75" customHeight="1">
      <c r="A25" s="73" t="s">
        <v>455</v>
      </c>
      <c r="B25" s="75" t="s">
        <v>39</v>
      </c>
      <c r="C25" s="73" t="s">
        <v>259</v>
      </c>
      <c r="D25" s="77">
        <v>1.0</v>
      </c>
      <c r="E25" s="77" t="s">
        <v>146</v>
      </c>
      <c r="F25" s="77" t="s">
        <v>148</v>
      </c>
      <c r="G25" s="77" t="s">
        <v>149</v>
      </c>
      <c r="H25" s="77" t="s">
        <v>151</v>
      </c>
      <c r="I25" s="75"/>
      <c r="J25" s="81" t="s">
        <v>264</v>
      </c>
      <c r="K25" s="45" t="s">
        <v>265</v>
      </c>
      <c r="L25" s="127" t="s">
        <v>64</v>
      </c>
      <c r="M25" s="86" t="s">
        <v>164</v>
      </c>
      <c r="N25" s="43" t="s">
        <v>55</v>
      </c>
      <c r="O25" s="59" t="s">
        <v>68</v>
      </c>
      <c r="P25" s="45" t="s">
        <v>404</v>
      </c>
      <c r="Q25" s="44" t="s">
        <v>409</v>
      </c>
    </row>
    <row r="26" ht="39.75" customHeight="1">
      <c r="A26" s="94" t="s">
        <v>457</v>
      </c>
      <c r="B26" s="96" t="s">
        <v>39</v>
      </c>
      <c r="C26" s="94" t="s">
        <v>259</v>
      </c>
      <c r="D26" s="97">
        <v>1.0</v>
      </c>
      <c r="E26" s="97" t="s">
        <v>146</v>
      </c>
      <c r="F26" s="97" t="s">
        <v>148</v>
      </c>
      <c r="G26" s="97" t="s">
        <v>149</v>
      </c>
      <c r="H26" s="97" t="s">
        <v>151</v>
      </c>
      <c r="I26" s="96"/>
      <c r="J26" s="100" t="s">
        <v>264</v>
      </c>
      <c r="K26" s="101" t="s">
        <v>265</v>
      </c>
      <c r="L26" s="140" t="s">
        <v>52</v>
      </c>
      <c r="M26" s="62" t="s">
        <v>92</v>
      </c>
      <c r="N26" s="43" t="s">
        <v>55</v>
      </c>
      <c r="O26" s="105" t="s">
        <v>68</v>
      </c>
      <c r="P26" s="101" t="s">
        <v>404</v>
      </c>
      <c r="Q26" s="107" t="s">
        <v>409</v>
      </c>
    </row>
    <row r="27" ht="30.0" customHeight="1">
      <c r="A27" s="73" t="s">
        <v>393</v>
      </c>
      <c r="B27" s="75" t="s">
        <v>39</v>
      </c>
      <c r="C27" s="73" t="s">
        <v>268</v>
      </c>
      <c r="D27" s="77">
        <v>2.0</v>
      </c>
      <c r="E27" s="77" t="s">
        <v>146</v>
      </c>
      <c r="F27" s="77" t="s">
        <v>148</v>
      </c>
      <c r="G27" s="77" t="s">
        <v>149</v>
      </c>
      <c r="H27" s="77" t="s">
        <v>151</v>
      </c>
      <c r="I27" s="75"/>
      <c r="J27" s="81" t="s">
        <v>271</v>
      </c>
      <c r="K27" s="45" t="s">
        <v>272</v>
      </c>
      <c r="L27" s="127" t="s">
        <v>64</v>
      </c>
      <c r="M27" s="86" t="s">
        <v>164</v>
      </c>
      <c r="N27" s="43" t="s">
        <v>55</v>
      </c>
      <c r="O27" s="115" t="s">
        <v>56</v>
      </c>
      <c r="P27" s="45" t="s">
        <v>396</v>
      </c>
      <c r="Q27" s="44" t="s">
        <v>397</v>
      </c>
    </row>
    <row r="28" ht="30.0" customHeight="1">
      <c r="A28" s="94" t="s">
        <v>398</v>
      </c>
      <c r="B28" s="96" t="s">
        <v>39</v>
      </c>
      <c r="C28" s="94" t="s">
        <v>268</v>
      </c>
      <c r="D28" s="97">
        <v>2.0</v>
      </c>
      <c r="E28" s="97" t="s">
        <v>146</v>
      </c>
      <c r="F28" s="97" t="s">
        <v>148</v>
      </c>
      <c r="G28" s="97" t="s">
        <v>149</v>
      </c>
      <c r="H28" s="97" t="s">
        <v>151</v>
      </c>
      <c r="I28" s="96"/>
      <c r="J28" s="100" t="s">
        <v>271</v>
      </c>
      <c r="K28" s="101" t="s">
        <v>272</v>
      </c>
      <c r="L28" s="127" t="s">
        <v>64</v>
      </c>
      <c r="M28" s="144" t="s">
        <v>192</v>
      </c>
      <c r="N28" s="43" t="s">
        <v>55</v>
      </c>
      <c r="O28" s="124" t="s">
        <v>56</v>
      </c>
      <c r="P28" s="101" t="s">
        <v>401</v>
      </c>
      <c r="Q28" s="107" t="s">
        <v>402</v>
      </c>
    </row>
    <row r="29" ht="39.75" customHeight="1">
      <c r="A29" s="73" t="s">
        <v>413</v>
      </c>
      <c r="B29" s="75" t="s">
        <v>39</v>
      </c>
      <c r="C29" s="73" t="s">
        <v>268</v>
      </c>
      <c r="D29" s="77">
        <v>2.0</v>
      </c>
      <c r="E29" s="77" t="s">
        <v>146</v>
      </c>
      <c r="F29" s="77" t="s">
        <v>148</v>
      </c>
      <c r="G29" s="77" t="s">
        <v>149</v>
      </c>
      <c r="H29" s="77" t="s">
        <v>151</v>
      </c>
      <c r="I29" s="75"/>
      <c r="J29" s="81" t="s">
        <v>271</v>
      </c>
      <c r="K29" s="45" t="s">
        <v>272</v>
      </c>
      <c r="L29" s="88" t="s">
        <v>63</v>
      </c>
      <c r="M29" s="50" t="s">
        <v>64</v>
      </c>
      <c r="N29" s="43" t="s">
        <v>55</v>
      </c>
      <c r="O29" s="59" t="s">
        <v>68</v>
      </c>
      <c r="P29" s="45" t="s">
        <v>404</v>
      </c>
      <c r="Q29" s="44" t="s">
        <v>409</v>
      </c>
    </row>
    <row r="30" ht="39.75" customHeight="1">
      <c r="A30" s="94" t="s">
        <v>430</v>
      </c>
      <c r="B30" s="96" t="s">
        <v>39</v>
      </c>
      <c r="C30" s="94" t="s">
        <v>268</v>
      </c>
      <c r="D30" s="97">
        <v>2.0</v>
      </c>
      <c r="E30" s="97" t="s">
        <v>146</v>
      </c>
      <c r="F30" s="97" t="s">
        <v>148</v>
      </c>
      <c r="G30" s="97" t="s">
        <v>149</v>
      </c>
      <c r="H30" s="97" t="s">
        <v>151</v>
      </c>
      <c r="I30" s="96"/>
      <c r="J30" s="100" t="s">
        <v>271</v>
      </c>
      <c r="K30" s="101" t="s">
        <v>272</v>
      </c>
      <c r="L30" s="127" t="s">
        <v>64</v>
      </c>
      <c r="M30" s="86" t="s">
        <v>164</v>
      </c>
      <c r="N30" s="43" t="s">
        <v>55</v>
      </c>
      <c r="O30" s="105" t="s">
        <v>68</v>
      </c>
      <c r="P30" s="101" t="s">
        <v>404</v>
      </c>
      <c r="Q30" s="107" t="s">
        <v>409</v>
      </c>
    </row>
    <row r="31" ht="39.75" customHeight="1">
      <c r="A31" s="73" t="s">
        <v>436</v>
      </c>
      <c r="B31" s="75" t="s">
        <v>39</v>
      </c>
      <c r="C31" s="73" t="s">
        <v>268</v>
      </c>
      <c r="D31" s="77">
        <v>2.0</v>
      </c>
      <c r="E31" s="77" t="s">
        <v>146</v>
      </c>
      <c r="F31" s="77" t="s">
        <v>148</v>
      </c>
      <c r="G31" s="77" t="s">
        <v>149</v>
      </c>
      <c r="H31" s="77" t="s">
        <v>151</v>
      </c>
      <c r="I31" s="75"/>
      <c r="J31" s="81" t="s">
        <v>271</v>
      </c>
      <c r="K31" s="45" t="s">
        <v>272</v>
      </c>
      <c r="L31" s="137" t="s">
        <v>164</v>
      </c>
      <c r="M31" s="50" t="s">
        <v>64</v>
      </c>
      <c r="N31" s="43" t="s">
        <v>55</v>
      </c>
      <c r="O31" s="59" t="s">
        <v>68</v>
      </c>
      <c r="P31" s="45" t="s">
        <v>404</v>
      </c>
      <c r="Q31" s="44" t="s">
        <v>409</v>
      </c>
    </row>
    <row r="32" ht="39.75" customHeight="1">
      <c r="A32" s="94" t="s">
        <v>442</v>
      </c>
      <c r="B32" s="96" t="s">
        <v>39</v>
      </c>
      <c r="C32" s="94" t="s">
        <v>268</v>
      </c>
      <c r="D32" s="97">
        <v>2.0</v>
      </c>
      <c r="E32" s="97" t="s">
        <v>146</v>
      </c>
      <c r="F32" s="97" t="s">
        <v>148</v>
      </c>
      <c r="G32" s="97" t="s">
        <v>149</v>
      </c>
      <c r="H32" s="154" t="s">
        <v>466</v>
      </c>
      <c r="I32" s="96"/>
      <c r="J32" s="100" t="s">
        <v>271</v>
      </c>
      <c r="K32" s="101" t="s">
        <v>272</v>
      </c>
      <c r="L32" s="126" t="s">
        <v>78</v>
      </c>
      <c r="M32" s="50" t="s">
        <v>64</v>
      </c>
      <c r="N32" s="43" t="s">
        <v>55</v>
      </c>
      <c r="O32" s="105" t="s">
        <v>187</v>
      </c>
      <c r="P32" s="101" t="s">
        <v>404</v>
      </c>
      <c r="Q32" s="107" t="s">
        <v>444</v>
      </c>
    </row>
    <row r="33" ht="39.75" customHeight="1">
      <c r="A33" s="73" t="s">
        <v>454</v>
      </c>
      <c r="B33" s="75" t="s">
        <v>39</v>
      </c>
      <c r="C33" s="73" t="s">
        <v>268</v>
      </c>
      <c r="D33" s="77">
        <v>2.0</v>
      </c>
      <c r="E33" s="77" t="s">
        <v>146</v>
      </c>
      <c r="F33" s="77" t="s">
        <v>148</v>
      </c>
      <c r="G33" s="77" t="s">
        <v>149</v>
      </c>
      <c r="H33" s="77" t="s">
        <v>151</v>
      </c>
      <c r="I33" s="75"/>
      <c r="J33" s="81" t="s">
        <v>271</v>
      </c>
      <c r="K33" s="45" t="s">
        <v>272</v>
      </c>
      <c r="L33" s="140" t="s">
        <v>52</v>
      </c>
      <c r="M33" s="62" t="s">
        <v>92</v>
      </c>
      <c r="N33" s="43" t="s">
        <v>55</v>
      </c>
      <c r="O33" s="59" t="s">
        <v>68</v>
      </c>
      <c r="P33" s="45" t="s">
        <v>404</v>
      </c>
      <c r="Q33" s="44" t="s">
        <v>409</v>
      </c>
    </row>
    <row r="34" ht="39.75" customHeight="1">
      <c r="A34" s="94" t="s">
        <v>456</v>
      </c>
      <c r="B34" s="96" t="s">
        <v>39</v>
      </c>
      <c r="C34" s="94" t="s">
        <v>268</v>
      </c>
      <c r="D34" s="97">
        <v>2.0</v>
      </c>
      <c r="E34" s="97" t="s">
        <v>146</v>
      </c>
      <c r="F34" s="97" t="s">
        <v>148</v>
      </c>
      <c r="G34" s="97" t="s">
        <v>149</v>
      </c>
      <c r="H34" s="97" t="s">
        <v>151</v>
      </c>
      <c r="I34" s="96"/>
      <c r="J34" s="100" t="s">
        <v>271</v>
      </c>
      <c r="K34" s="101" t="s">
        <v>272</v>
      </c>
      <c r="L34" s="148" t="s">
        <v>199</v>
      </c>
      <c r="M34" s="50" t="s">
        <v>64</v>
      </c>
      <c r="N34" s="43" t="s">
        <v>55</v>
      </c>
      <c r="O34" s="105" t="s">
        <v>68</v>
      </c>
      <c r="P34" s="101" t="s">
        <v>404</v>
      </c>
      <c r="Q34" s="107" t="s">
        <v>409</v>
      </c>
    </row>
    <row r="35" ht="39.75" customHeight="1">
      <c r="A35" s="73" t="s">
        <v>460</v>
      </c>
      <c r="B35" s="75" t="s">
        <v>39</v>
      </c>
      <c r="C35" s="73" t="s">
        <v>268</v>
      </c>
      <c r="D35" s="77">
        <v>2.0</v>
      </c>
      <c r="E35" s="77" t="s">
        <v>146</v>
      </c>
      <c r="F35" s="77" t="s">
        <v>148</v>
      </c>
      <c r="G35" s="77" t="s">
        <v>149</v>
      </c>
      <c r="H35" s="77" t="s">
        <v>151</v>
      </c>
      <c r="I35" s="75"/>
      <c r="J35" s="81" t="s">
        <v>271</v>
      </c>
      <c r="K35" s="45" t="s">
        <v>272</v>
      </c>
      <c r="L35" s="125" t="s">
        <v>92</v>
      </c>
      <c r="M35" s="56" t="s">
        <v>76</v>
      </c>
      <c r="N35" s="43" t="s">
        <v>55</v>
      </c>
      <c r="O35" s="59" t="s">
        <v>68</v>
      </c>
      <c r="P35" s="45" t="s">
        <v>404</v>
      </c>
      <c r="Q35" s="44" t="s">
        <v>409</v>
      </c>
    </row>
    <row r="36" ht="30.0" customHeight="1">
      <c r="A36" s="94" t="s">
        <v>461</v>
      </c>
      <c r="B36" s="96" t="s">
        <v>39</v>
      </c>
      <c r="C36" s="94" t="s">
        <v>268</v>
      </c>
      <c r="D36" s="97">
        <v>2.0</v>
      </c>
      <c r="E36" s="97" t="s">
        <v>146</v>
      </c>
      <c r="F36" s="97" t="s">
        <v>148</v>
      </c>
      <c r="G36" s="97" t="s">
        <v>149</v>
      </c>
      <c r="H36" s="97" t="s">
        <v>151</v>
      </c>
      <c r="I36" s="96"/>
      <c r="J36" s="100" t="s">
        <v>271</v>
      </c>
      <c r="K36" s="101" t="s">
        <v>272</v>
      </c>
      <c r="L36" s="125" t="s">
        <v>92</v>
      </c>
      <c r="M36" s="56" t="s">
        <v>76</v>
      </c>
      <c r="N36" s="43" t="s">
        <v>55</v>
      </c>
      <c r="O36" s="124" t="s">
        <v>56</v>
      </c>
      <c r="P36" s="101" t="s">
        <v>463</v>
      </c>
      <c r="Q36" s="107"/>
    </row>
    <row r="37" ht="30.0" customHeight="1">
      <c r="A37" s="73" t="s">
        <v>469</v>
      </c>
      <c r="B37" s="75" t="s">
        <v>39</v>
      </c>
      <c r="C37" s="73" t="s">
        <v>268</v>
      </c>
      <c r="D37" s="77">
        <v>2.0</v>
      </c>
      <c r="E37" s="77" t="s">
        <v>146</v>
      </c>
      <c r="F37" s="77" t="s">
        <v>148</v>
      </c>
      <c r="G37" s="77" t="s">
        <v>149</v>
      </c>
      <c r="H37" s="77" t="s">
        <v>151</v>
      </c>
      <c r="I37" s="142" t="s">
        <v>475</v>
      </c>
      <c r="J37" s="81" t="s">
        <v>271</v>
      </c>
      <c r="K37" s="45" t="s">
        <v>272</v>
      </c>
      <c r="L37" s="125" t="s">
        <v>92</v>
      </c>
      <c r="M37" s="41" t="s">
        <v>52</v>
      </c>
      <c r="N37" s="43" t="s">
        <v>55</v>
      </c>
      <c r="O37" s="115" t="s">
        <v>56</v>
      </c>
      <c r="P37" s="45" t="s">
        <v>471</v>
      </c>
      <c r="Q37" s="44" t="s">
        <v>472</v>
      </c>
    </row>
    <row r="38" ht="39.75" customHeight="1">
      <c r="A38" s="94" t="s">
        <v>474</v>
      </c>
      <c r="B38" s="96" t="s">
        <v>39</v>
      </c>
      <c r="C38" s="94" t="s">
        <v>268</v>
      </c>
      <c r="D38" s="97">
        <v>2.0</v>
      </c>
      <c r="E38" s="97" t="s">
        <v>146</v>
      </c>
      <c r="F38" s="97" t="s">
        <v>148</v>
      </c>
      <c r="G38" s="97" t="s">
        <v>149</v>
      </c>
      <c r="H38" s="97" t="s">
        <v>151</v>
      </c>
      <c r="I38" s="96"/>
      <c r="J38" s="100" t="s">
        <v>271</v>
      </c>
      <c r="K38" s="101" t="s">
        <v>272</v>
      </c>
      <c r="L38" s="88" t="s">
        <v>63</v>
      </c>
      <c r="M38" s="50" t="s">
        <v>64</v>
      </c>
      <c r="N38" s="43" t="s">
        <v>55</v>
      </c>
      <c r="O38" s="105" t="s">
        <v>68</v>
      </c>
      <c r="P38" s="101" t="s">
        <v>404</v>
      </c>
      <c r="Q38" s="107" t="s">
        <v>409</v>
      </c>
    </row>
    <row r="39" ht="39.75" customHeight="1">
      <c r="A39" s="73" t="s">
        <v>476</v>
      </c>
      <c r="B39" s="75" t="s">
        <v>39</v>
      </c>
      <c r="C39" s="73" t="s">
        <v>268</v>
      </c>
      <c r="D39" s="77">
        <v>2.0</v>
      </c>
      <c r="E39" s="77" t="s">
        <v>146</v>
      </c>
      <c r="F39" s="77" t="s">
        <v>148</v>
      </c>
      <c r="G39" s="77" t="s">
        <v>149</v>
      </c>
      <c r="H39" s="77" t="s">
        <v>151</v>
      </c>
      <c r="I39" s="75"/>
      <c r="J39" s="81" t="s">
        <v>271</v>
      </c>
      <c r="K39" s="45" t="s">
        <v>272</v>
      </c>
      <c r="L39" s="88" t="s">
        <v>63</v>
      </c>
      <c r="M39" s="50" t="s">
        <v>64</v>
      </c>
      <c r="N39" s="43" t="s">
        <v>55</v>
      </c>
      <c r="O39" s="59" t="s">
        <v>68</v>
      </c>
      <c r="P39" s="45" t="s">
        <v>404</v>
      </c>
      <c r="Q39" s="44" t="s">
        <v>409</v>
      </c>
    </row>
    <row r="40" ht="39.75" customHeight="1">
      <c r="A40" s="94" t="s">
        <v>480</v>
      </c>
      <c r="B40" s="96" t="s">
        <v>39</v>
      </c>
      <c r="C40" s="94" t="s">
        <v>268</v>
      </c>
      <c r="D40" s="97">
        <v>2.0</v>
      </c>
      <c r="E40" s="97" t="s">
        <v>146</v>
      </c>
      <c r="F40" s="97" t="s">
        <v>148</v>
      </c>
      <c r="G40" s="97" t="s">
        <v>149</v>
      </c>
      <c r="H40" s="97" t="s">
        <v>151</v>
      </c>
      <c r="I40" s="96"/>
      <c r="J40" s="100" t="s">
        <v>271</v>
      </c>
      <c r="K40" s="101" t="s">
        <v>272</v>
      </c>
      <c r="L40" s="140" t="s">
        <v>52</v>
      </c>
      <c r="M40" s="62" t="s">
        <v>92</v>
      </c>
      <c r="N40" s="43" t="s">
        <v>55</v>
      </c>
      <c r="O40" s="105" t="s">
        <v>68</v>
      </c>
      <c r="P40" s="101" t="s">
        <v>404</v>
      </c>
      <c r="Q40" s="107" t="s">
        <v>409</v>
      </c>
    </row>
    <row r="41" ht="39.75" customHeight="1">
      <c r="A41" s="73" t="s">
        <v>481</v>
      </c>
      <c r="B41" s="75" t="s">
        <v>39</v>
      </c>
      <c r="C41" s="73" t="s">
        <v>268</v>
      </c>
      <c r="D41" s="77">
        <v>2.0</v>
      </c>
      <c r="E41" s="77" t="s">
        <v>146</v>
      </c>
      <c r="F41" s="77" t="s">
        <v>148</v>
      </c>
      <c r="G41" s="77" t="s">
        <v>149</v>
      </c>
      <c r="H41" s="77" t="s">
        <v>151</v>
      </c>
      <c r="I41" s="75"/>
      <c r="J41" s="81" t="s">
        <v>271</v>
      </c>
      <c r="K41" s="45" t="s">
        <v>272</v>
      </c>
      <c r="L41" s="125" t="s">
        <v>92</v>
      </c>
      <c r="M41" s="50" t="s">
        <v>64</v>
      </c>
      <c r="N41" s="43" t="s">
        <v>55</v>
      </c>
      <c r="O41" s="59" t="s">
        <v>68</v>
      </c>
      <c r="P41" s="45" t="s">
        <v>404</v>
      </c>
      <c r="Q41" s="44" t="s">
        <v>409</v>
      </c>
    </row>
    <row r="42" ht="39.75" customHeight="1">
      <c r="A42" s="94" t="s">
        <v>482</v>
      </c>
      <c r="B42" s="96" t="s">
        <v>39</v>
      </c>
      <c r="C42" s="94" t="s">
        <v>268</v>
      </c>
      <c r="D42" s="97">
        <v>2.0</v>
      </c>
      <c r="E42" s="97" t="s">
        <v>146</v>
      </c>
      <c r="F42" s="97" t="s">
        <v>148</v>
      </c>
      <c r="G42" s="97" t="s">
        <v>149</v>
      </c>
      <c r="H42" s="97" t="s">
        <v>151</v>
      </c>
      <c r="I42" s="96"/>
      <c r="J42" s="100" t="s">
        <v>271</v>
      </c>
      <c r="K42" s="101" t="s">
        <v>272</v>
      </c>
      <c r="L42" s="88" t="s">
        <v>63</v>
      </c>
      <c r="M42" s="86" t="s">
        <v>164</v>
      </c>
      <c r="N42" s="43" t="s">
        <v>55</v>
      </c>
      <c r="O42" s="105" t="s">
        <v>68</v>
      </c>
      <c r="P42" s="101" t="s">
        <v>404</v>
      </c>
      <c r="Q42" s="107" t="s">
        <v>409</v>
      </c>
    </row>
    <row r="43" ht="30.0" customHeight="1">
      <c r="A43" s="73" t="s">
        <v>484</v>
      </c>
      <c r="B43" s="75" t="s">
        <v>39</v>
      </c>
      <c r="C43" s="73" t="s">
        <v>268</v>
      </c>
      <c r="D43" s="77">
        <v>2.0</v>
      </c>
      <c r="E43" s="77" t="s">
        <v>146</v>
      </c>
      <c r="F43" s="77" t="s">
        <v>148</v>
      </c>
      <c r="G43" s="77" t="s">
        <v>149</v>
      </c>
      <c r="H43" s="77" t="s">
        <v>151</v>
      </c>
      <c r="I43" s="75"/>
      <c r="J43" s="81" t="s">
        <v>271</v>
      </c>
      <c r="K43" s="45" t="s">
        <v>272</v>
      </c>
      <c r="L43" s="125" t="s">
        <v>92</v>
      </c>
      <c r="M43" s="50" t="s">
        <v>64</v>
      </c>
      <c r="N43" s="43" t="s">
        <v>55</v>
      </c>
      <c r="O43" s="115" t="s">
        <v>56</v>
      </c>
      <c r="P43" s="45" t="s">
        <v>485</v>
      </c>
      <c r="Q43" s="44" t="s">
        <v>487</v>
      </c>
    </row>
    <row r="44" ht="39.75" customHeight="1">
      <c r="A44" s="94" t="s">
        <v>488</v>
      </c>
      <c r="B44" s="96" t="s">
        <v>39</v>
      </c>
      <c r="C44" s="94" t="s">
        <v>268</v>
      </c>
      <c r="D44" s="97">
        <v>2.0</v>
      </c>
      <c r="E44" s="97" t="s">
        <v>146</v>
      </c>
      <c r="F44" s="97" t="s">
        <v>148</v>
      </c>
      <c r="G44" s="97" t="s">
        <v>149</v>
      </c>
      <c r="H44" s="154" t="s">
        <v>466</v>
      </c>
      <c r="I44" s="96"/>
      <c r="J44" s="100" t="s">
        <v>271</v>
      </c>
      <c r="K44" s="101" t="s">
        <v>272</v>
      </c>
      <c r="L44" s="125" t="s">
        <v>92</v>
      </c>
      <c r="M44" s="50" t="s">
        <v>64</v>
      </c>
      <c r="N44" s="43" t="s">
        <v>55</v>
      </c>
      <c r="O44" s="105" t="s">
        <v>187</v>
      </c>
      <c r="P44" s="101" t="s">
        <v>404</v>
      </c>
      <c r="Q44" s="107" t="s">
        <v>490</v>
      </c>
    </row>
    <row r="45" ht="39.75" customHeight="1">
      <c r="A45" s="73" t="s">
        <v>491</v>
      </c>
      <c r="B45" s="75" t="s">
        <v>39</v>
      </c>
      <c r="C45" s="73" t="s">
        <v>268</v>
      </c>
      <c r="D45" s="77">
        <v>2.0</v>
      </c>
      <c r="E45" s="77" t="s">
        <v>146</v>
      </c>
      <c r="F45" s="77" t="s">
        <v>148</v>
      </c>
      <c r="G45" s="77" t="s">
        <v>149</v>
      </c>
      <c r="H45" s="77" t="s">
        <v>151</v>
      </c>
      <c r="I45" s="75"/>
      <c r="J45" s="81" t="s">
        <v>271</v>
      </c>
      <c r="K45" s="45" t="s">
        <v>272</v>
      </c>
      <c r="L45" s="156" t="s">
        <v>218</v>
      </c>
      <c r="M45" s="50" t="s">
        <v>64</v>
      </c>
      <c r="N45" s="43" t="s">
        <v>55</v>
      </c>
      <c r="O45" s="59" t="s">
        <v>68</v>
      </c>
      <c r="P45" s="45" t="s">
        <v>404</v>
      </c>
      <c r="Q45" s="44" t="s">
        <v>409</v>
      </c>
    </row>
    <row r="46" ht="39.75" customHeight="1">
      <c r="A46" s="94" t="s">
        <v>494</v>
      </c>
      <c r="B46" s="96" t="s">
        <v>39</v>
      </c>
      <c r="C46" s="94" t="s">
        <v>268</v>
      </c>
      <c r="D46" s="97">
        <v>2.0</v>
      </c>
      <c r="E46" s="97" t="s">
        <v>146</v>
      </c>
      <c r="F46" s="97" t="s">
        <v>148</v>
      </c>
      <c r="G46" s="97" t="s">
        <v>149</v>
      </c>
      <c r="H46" s="97" t="s">
        <v>151</v>
      </c>
      <c r="I46" s="96"/>
      <c r="J46" s="100" t="s">
        <v>271</v>
      </c>
      <c r="K46" s="101" t="s">
        <v>272</v>
      </c>
      <c r="L46" s="125" t="s">
        <v>92</v>
      </c>
      <c r="M46" s="50" t="s">
        <v>64</v>
      </c>
      <c r="N46" s="43" t="s">
        <v>55</v>
      </c>
      <c r="O46" s="105" t="s">
        <v>68</v>
      </c>
      <c r="P46" s="101" t="s">
        <v>404</v>
      </c>
      <c r="Q46" s="107" t="s">
        <v>409</v>
      </c>
    </row>
    <row r="47" ht="39.75" customHeight="1">
      <c r="A47" s="73" t="s">
        <v>496</v>
      </c>
      <c r="B47" s="75" t="s">
        <v>39</v>
      </c>
      <c r="C47" s="73" t="s">
        <v>268</v>
      </c>
      <c r="D47" s="77">
        <v>2.0</v>
      </c>
      <c r="E47" s="77" t="s">
        <v>146</v>
      </c>
      <c r="F47" s="77" t="s">
        <v>148</v>
      </c>
      <c r="G47" s="77" t="s">
        <v>149</v>
      </c>
      <c r="H47" s="77" t="s">
        <v>151</v>
      </c>
      <c r="I47" s="75"/>
      <c r="J47" s="81" t="s">
        <v>271</v>
      </c>
      <c r="K47" s="45" t="s">
        <v>272</v>
      </c>
      <c r="L47" s="88" t="s">
        <v>63</v>
      </c>
      <c r="M47" s="50" t="s">
        <v>64</v>
      </c>
      <c r="N47" s="43" t="s">
        <v>55</v>
      </c>
      <c r="O47" s="59" t="s">
        <v>68</v>
      </c>
      <c r="P47" s="45" t="s">
        <v>404</v>
      </c>
      <c r="Q47" s="44" t="s">
        <v>411</v>
      </c>
    </row>
    <row r="48" ht="39.75" customHeight="1">
      <c r="A48" s="94" t="s">
        <v>498</v>
      </c>
      <c r="B48" s="96" t="s">
        <v>39</v>
      </c>
      <c r="C48" s="94" t="s">
        <v>268</v>
      </c>
      <c r="D48" s="97">
        <v>2.0</v>
      </c>
      <c r="E48" s="97" t="s">
        <v>146</v>
      </c>
      <c r="F48" s="97" t="s">
        <v>148</v>
      </c>
      <c r="G48" s="97" t="s">
        <v>149</v>
      </c>
      <c r="H48" s="97" t="s">
        <v>151</v>
      </c>
      <c r="I48" s="96"/>
      <c r="J48" s="100" t="s">
        <v>271</v>
      </c>
      <c r="K48" s="101" t="s">
        <v>272</v>
      </c>
      <c r="L48" s="127" t="s">
        <v>64</v>
      </c>
      <c r="M48" s="62" t="s">
        <v>92</v>
      </c>
      <c r="N48" s="43" t="s">
        <v>55</v>
      </c>
      <c r="O48" s="105" t="s">
        <v>68</v>
      </c>
      <c r="P48" s="101" t="s">
        <v>404</v>
      </c>
      <c r="Q48" s="107" t="s">
        <v>409</v>
      </c>
    </row>
    <row r="49" ht="30.0" customHeight="1">
      <c r="A49" s="73" t="s">
        <v>417</v>
      </c>
      <c r="B49" s="75" t="s">
        <v>39</v>
      </c>
      <c r="C49" s="73" t="s">
        <v>274</v>
      </c>
      <c r="D49" s="77">
        <v>3.0</v>
      </c>
      <c r="E49" s="77" t="s">
        <v>500</v>
      </c>
      <c r="F49" s="77" t="s">
        <v>148</v>
      </c>
      <c r="G49" s="77" t="s">
        <v>149</v>
      </c>
      <c r="H49" s="77" t="s">
        <v>151</v>
      </c>
      <c r="I49" s="75"/>
      <c r="J49" s="81" t="s">
        <v>280</v>
      </c>
      <c r="K49" s="45" t="s">
        <v>281</v>
      </c>
      <c r="L49" s="88" t="s">
        <v>63</v>
      </c>
      <c r="M49" s="86" t="s">
        <v>164</v>
      </c>
      <c r="N49" s="43" t="s">
        <v>55</v>
      </c>
      <c r="O49" s="115" t="s">
        <v>56</v>
      </c>
      <c r="P49" s="45" t="s">
        <v>419</v>
      </c>
      <c r="Q49" s="44"/>
    </row>
    <row r="50" ht="39.75" customHeight="1">
      <c r="A50" s="94" t="s">
        <v>422</v>
      </c>
      <c r="B50" s="96" t="s">
        <v>39</v>
      </c>
      <c r="C50" s="94" t="s">
        <v>274</v>
      </c>
      <c r="D50" s="97">
        <v>3.0</v>
      </c>
      <c r="E50" s="97" t="s">
        <v>500</v>
      </c>
      <c r="F50" s="97" t="s">
        <v>148</v>
      </c>
      <c r="G50" s="97" t="s">
        <v>149</v>
      </c>
      <c r="H50" s="154" t="s">
        <v>466</v>
      </c>
      <c r="I50" s="96"/>
      <c r="J50" s="100" t="s">
        <v>280</v>
      </c>
      <c r="K50" s="101" t="s">
        <v>281</v>
      </c>
      <c r="L50" s="88" t="s">
        <v>63</v>
      </c>
      <c r="M50" s="50" t="s">
        <v>64</v>
      </c>
      <c r="N50" s="43" t="s">
        <v>55</v>
      </c>
      <c r="O50" s="105" t="s">
        <v>187</v>
      </c>
      <c r="P50" s="101" t="s">
        <v>404</v>
      </c>
      <c r="Q50" s="107" t="s">
        <v>424</v>
      </c>
    </row>
    <row r="51" ht="39.75" customHeight="1">
      <c r="A51" s="73" t="s">
        <v>428</v>
      </c>
      <c r="B51" s="75" t="s">
        <v>39</v>
      </c>
      <c r="C51" s="73" t="s">
        <v>274</v>
      </c>
      <c r="D51" s="77">
        <v>3.0</v>
      </c>
      <c r="E51" s="77" t="s">
        <v>500</v>
      </c>
      <c r="F51" s="77" t="s">
        <v>148</v>
      </c>
      <c r="G51" s="77" t="s">
        <v>149</v>
      </c>
      <c r="H51" s="77" t="s">
        <v>151</v>
      </c>
      <c r="I51" s="75"/>
      <c r="J51" s="81" t="s">
        <v>280</v>
      </c>
      <c r="K51" s="45" t="s">
        <v>281</v>
      </c>
      <c r="L51" s="140" t="s">
        <v>52</v>
      </c>
      <c r="M51" s="86" t="s">
        <v>164</v>
      </c>
      <c r="N51" s="43" t="s">
        <v>55</v>
      </c>
      <c r="O51" s="59" t="s">
        <v>68</v>
      </c>
      <c r="P51" s="45" t="s">
        <v>404</v>
      </c>
      <c r="Q51" s="44" t="s">
        <v>409</v>
      </c>
    </row>
    <row r="52" ht="39.75" customHeight="1">
      <c r="A52" s="94" t="s">
        <v>432</v>
      </c>
      <c r="B52" s="96" t="s">
        <v>39</v>
      </c>
      <c r="C52" s="94" t="s">
        <v>274</v>
      </c>
      <c r="D52" s="97">
        <v>3.0</v>
      </c>
      <c r="E52" s="97" t="s">
        <v>500</v>
      </c>
      <c r="F52" s="97" t="s">
        <v>148</v>
      </c>
      <c r="G52" s="97" t="s">
        <v>149</v>
      </c>
      <c r="H52" s="97" t="s">
        <v>151</v>
      </c>
      <c r="I52" s="96"/>
      <c r="J52" s="100" t="s">
        <v>280</v>
      </c>
      <c r="K52" s="101" t="s">
        <v>281</v>
      </c>
      <c r="L52" s="148" t="s">
        <v>199</v>
      </c>
      <c r="M52" s="50" t="s">
        <v>64</v>
      </c>
      <c r="N52" s="43" t="s">
        <v>55</v>
      </c>
      <c r="O52" s="105" t="s">
        <v>68</v>
      </c>
      <c r="P52" s="101" t="s">
        <v>404</v>
      </c>
      <c r="Q52" s="107" t="s">
        <v>409</v>
      </c>
    </row>
    <row r="53" ht="39.75" customHeight="1">
      <c r="A53" s="73" t="s">
        <v>445</v>
      </c>
      <c r="B53" s="75" t="s">
        <v>39</v>
      </c>
      <c r="C53" s="73" t="s">
        <v>274</v>
      </c>
      <c r="D53" s="77">
        <v>3.0</v>
      </c>
      <c r="E53" s="77" t="s">
        <v>500</v>
      </c>
      <c r="F53" s="77" t="s">
        <v>148</v>
      </c>
      <c r="G53" s="77" t="s">
        <v>149</v>
      </c>
      <c r="H53" s="77" t="s">
        <v>151</v>
      </c>
      <c r="I53" s="75"/>
      <c r="J53" s="81" t="s">
        <v>280</v>
      </c>
      <c r="K53" s="45" t="s">
        <v>281</v>
      </c>
      <c r="L53" s="149"/>
      <c r="M53" s="149"/>
      <c r="N53" s="157" t="s">
        <v>447</v>
      </c>
      <c r="O53" s="115" t="s">
        <v>198</v>
      </c>
      <c r="P53" s="151"/>
      <c r="Q53" s="44" t="s">
        <v>448</v>
      </c>
    </row>
    <row r="54" ht="30.0" customHeight="1">
      <c r="A54" s="94" t="s">
        <v>450</v>
      </c>
      <c r="B54" s="96" t="s">
        <v>39</v>
      </c>
      <c r="C54" s="94" t="s">
        <v>274</v>
      </c>
      <c r="D54" s="97">
        <v>3.0</v>
      </c>
      <c r="E54" s="97" t="s">
        <v>500</v>
      </c>
      <c r="F54" s="97" t="s">
        <v>148</v>
      </c>
      <c r="G54" s="97" t="s">
        <v>149</v>
      </c>
      <c r="H54" s="97" t="s">
        <v>151</v>
      </c>
      <c r="I54" s="96"/>
      <c r="J54" s="100" t="s">
        <v>280</v>
      </c>
      <c r="K54" s="101" t="s">
        <v>281</v>
      </c>
      <c r="L54" s="127" t="s">
        <v>64</v>
      </c>
      <c r="M54" s="49" t="s">
        <v>63</v>
      </c>
      <c r="N54" s="43" t="s">
        <v>55</v>
      </c>
      <c r="O54" s="124" t="s">
        <v>56</v>
      </c>
      <c r="P54" s="101" t="s">
        <v>452</v>
      </c>
      <c r="Q54" s="107"/>
    </row>
    <row r="55" ht="39.75" customHeight="1">
      <c r="A55" s="73" t="s">
        <v>458</v>
      </c>
      <c r="B55" s="75" t="s">
        <v>39</v>
      </c>
      <c r="C55" s="73" t="s">
        <v>274</v>
      </c>
      <c r="D55" s="77">
        <v>3.0</v>
      </c>
      <c r="E55" s="77" t="s">
        <v>500</v>
      </c>
      <c r="F55" s="77" t="s">
        <v>148</v>
      </c>
      <c r="G55" s="77" t="s">
        <v>149</v>
      </c>
      <c r="H55" s="158" t="s">
        <v>466</v>
      </c>
      <c r="I55" s="75"/>
      <c r="J55" s="81" t="s">
        <v>280</v>
      </c>
      <c r="K55" s="45" t="s">
        <v>281</v>
      </c>
      <c r="L55" s="125" t="s">
        <v>92</v>
      </c>
      <c r="M55" s="50" t="s">
        <v>64</v>
      </c>
      <c r="N55" s="43" t="s">
        <v>55</v>
      </c>
      <c r="O55" s="59" t="s">
        <v>187</v>
      </c>
      <c r="P55" s="45" t="s">
        <v>404</v>
      </c>
      <c r="Q55" s="44" t="s">
        <v>459</v>
      </c>
    </row>
    <row r="56" ht="30.0" customHeight="1">
      <c r="A56" s="94" t="s">
        <v>464</v>
      </c>
      <c r="B56" s="96" t="s">
        <v>39</v>
      </c>
      <c r="C56" s="94" t="s">
        <v>274</v>
      </c>
      <c r="D56" s="97">
        <v>3.0</v>
      </c>
      <c r="E56" s="97" t="s">
        <v>500</v>
      </c>
      <c r="F56" s="97" t="s">
        <v>148</v>
      </c>
      <c r="G56" s="97" t="s">
        <v>149</v>
      </c>
      <c r="H56" s="97" t="s">
        <v>151</v>
      </c>
      <c r="I56" s="96"/>
      <c r="J56" s="100" t="s">
        <v>280</v>
      </c>
      <c r="K56" s="101" t="s">
        <v>281</v>
      </c>
      <c r="L56" s="125" t="s">
        <v>92</v>
      </c>
      <c r="M56" s="56" t="s">
        <v>76</v>
      </c>
      <c r="N56" s="43" t="s">
        <v>55</v>
      </c>
      <c r="O56" s="124" t="s">
        <v>195</v>
      </c>
      <c r="P56" s="101" t="s">
        <v>467</v>
      </c>
      <c r="Q56" s="107" t="s">
        <v>468</v>
      </c>
    </row>
    <row r="57" ht="39.75" customHeight="1">
      <c r="A57" s="73" t="s">
        <v>483</v>
      </c>
      <c r="B57" s="75" t="s">
        <v>39</v>
      </c>
      <c r="C57" s="73" t="s">
        <v>274</v>
      </c>
      <c r="D57" s="77">
        <v>3.0</v>
      </c>
      <c r="E57" s="77" t="s">
        <v>500</v>
      </c>
      <c r="F57" s="77" t="s">
        <v>148</v>
      </c>
      <c r="G57" s="77" t="s">
        <v>149</v>
      </c>
      <c r="H57" s="77" t="s">
        <v>151</v>
      </c>
      <c r="I57" s="75"/>
      <c r="J57" s="81" t="s">
        <v>280</v>
      </c>
      <c r="K57" s="45" t="s">
        <v>281</v>
      </c>
      <c r="L57" s="88" t="s">
        <v>63</v>
      </c>
      <c r="M57" s="50" t="s">
        <v>64</v>
      </c>
      <c r="N57" s="43" t="s">
        <v>55</v>
      </c>
      <c r="O57" s="59" t="s">
        <v>68</v>
      </c>
      <c r="P57" s="45" t="s">
        <v>404</v>
      </c>
      <c r="Q57" s="44" t="s">
        <v>409</v>
      </c>
    </row>
    <row r="58" ht="39.75" customHeight="1">
      <c r="A58" s="94" t="s">
        <v>486</v>
      </c>
      <c r="B58" s="96" t="s">
        <v>39</v>
      </c>
      <c r="C58" s="94" t="s">
        <v>274</v>
      </c>
      <c r="D58" s="97">
        <v>3.0</v>
      </c>
      <c r="E58" s="97" t="s">
        <v>500</v>
      </c>
      <c r="F58" s="97" t="s">
        <v>148</v>
      </c>
      <c r="G58" s="97" t="s">
        <v>149</v>
      </c>
      <c r="H58" s="97" t="s">
        <v>151</v>
      </c>
      <c r="I58" s="96"/>
      <c r="J58" s="100" t="s">
        <v>280</v>
      </c>
      <c r="K58" s="101" t="s">
        <v>281</v>
      </c>
      <c r="L58" s="88" t="s">
        <v>63</v>
      </c>
      <c r="M58" s="86" t="s">
        <v>164</v>
      </c>
      <c r="N58" s="43" t="s">
        <v>55</v>
      </c>
      <c r="O58" s="105" t="s">
        <v>68</v>
      </c>
      <c r="P58" s="101" t="s">
        <v>404</v>
      </c>
      <c r="Q58" s="107" t="s">
        <v>409</v>
      </c>
    </row>
    <row r="59" ht="39.75" customHeight="1">
      <c r="A59" s="73" t="s">
        <v>489</v>
      </c>
      <c r="B59" s="75" t="s">
        <v>39</v>
      </c>
      <c r="C59" s="73" t="s">
        <v>274</v>
      </c>
      <c r="D59" s="77">
        <v>3.0</v>
      </c>
      <c r="E59" s="77" t="s">
        <v>500</v>
      </c>
      <c r="F59" s="77" t="s">
        <v>148</v>
      </c>
      <c r="G59" s="77" t="s">
        <v>149</v>
      </c>
      <c r="H59" s="77" t="s">
        <v>151</v>
      </c>
      <c r="I59" s="75"/>
      <c r="J59" s="81" t="s">
        <v>280</v>
      </c>
      <c r="K59" s="45" t="s">
        <v>281</v>
      </c>
      <c r="L59" s="149"/>
      <c r="M59" s="149"/>
      <c r="N59" s="157" t="s">
        <v>447</v>
      </c>
      <c r="O59" s="115" t="s">
        <v>198</v>
      </c>
      <c r="P59" s="151"/>
      <c r="Q59" s="44" t="s">
        <v>448</v>
      </c>
    </row>
    <row r="60" ht="39.75" customHeight="1">
      <c r="A60" s="94" t="s">
        <v>493</v>
      </c>
      <c r="B60" s="96" t="s">
        <v>39</v>
      </c>
      <c r="C60" s="94" t="s">
        <v>274</v>
      </c>
      <c r="D60" s="97">
        <v>3.0</v>
      </c>
      <c r="E60" s="97" t="s">
        <v>500</v>
      </c>
      <c r="F60" s="97" t="s">
        <v>148</v>
      </c>
      <c r="G60" s="97" t="s">
        <v>149</v>
      </c>
      <c r="H60" s="97" t="s">
        <v>151</v>
      </c>
      <c r="I60" s="96"/>
      <c r="J60" s="100" t="s">
        <v>280</v>
      </c>
      <c r="K60" s="101" t="s">
        <v>281</v>
      </c>
      <c r="L60" s="125" t="s">
        <v>92</v>
      </c>
      <c r="M60" s="50" t="s">
        <v>64</v>
      </c>
      <c r="N60" s="43" t="s">
        <v>55</v>
      </c>
      <c r="O60" s="105" t="s">
        <v>68</v>
      </c>
      <c r="P60" s="101" t="s">
        <v>404</v>
      </c>
      <c r="Q60" s="107" t="s">
        <v>409</v>
      </c>
    </row>
    <row r="61" ht="39.75" customHeight="1">
      <c r="A61" s="73" t="s">
        <v>495</v>
      </c>
      <c r="B61" s="75" t="s">
        <v>39</v>
      </c>
      <c r="C61" s="73" t="s">
        <v>274</v>
      </c>
      <c r="D61" s="77">
        <v>3.0</v>
      </c>
      <c r="E61" s="77" t="s">
        <v>500</v>
      </c>
      <c r="F61" s="77" t="s">
        <v>148</v>
      </c>
      <c r="G61" s="77" t="s">
        <v>149</v>
      </c>
      <c r="H61" s="77" t="s">
        <v>151</v>
      </c>
      <c r="I61" s="75"/>
      <c r="J61" s="81" t="s">
        <v>280</v>
      </c>
      <c r="K61" s="45" t="s">
        <v>281</v>
      </c>
      <c r="L61" s="103" t="s">
        <v>76</v>
      </c>
      <c r="M61" s="62" t="s">
        <v>92</v>
      </c>
      <c r="N61" s="43" t="s">
        <v>55</v>
      </c>
      <c r="O61" s="59" t="s">
        <v>68</v>
      </c>
      <c r="P61" s="45" t="s">
        <v>404</v>
      </c>
      <c r="Q61" s="44" t="s">
        <v>409</v>
      </c>
    </row>
    <row r="62" ht="39.75" customHeight="1">
      <c r="A62" s="94" t="s">
        <v>497</v>
      </c>
      <c r="B62" s="96" t="s">
        <v>39</v>
      </c>
      <c r="C62" s="94" t="s">
        <v>274</v>
      </c>
      <c r="D62" s="97">
        <v>3.0</v>
      </c>
      <c r="E62" s="97" t="s">
        <v>500</v>
      </c>
      <c r="F62" s="97" t="s">
        <v>148</v>
      </c>
      <c r="G62" s="97" t="s">
        <v>149</v>
      </c>
      <c r="H62" s="97" t="s">
        <v>151</v>
      </c>
      <c r="I62" s="96"/>
      <c r="J62" s="100" t="s">
        <v>280</v>
      </c>
      <c r="K62" s="101" t="s">
        <v>281</v>
      </c>
      <c r="L62" s="148" t="s">
        <v>199</v>
      </c>
      <c r="M62" s="50" t="s">
        <v>64</v>
      </c>
      <c r="N62" s="43" t="s">
        <v>55</v>
      </c>
      <c r="O62" s="105" t="s">
        <v>68</v>
      </c>
      <c r="P62" s="101" t="s">
        <v>404</v>
      </c>
      <c r="Q62" s="107" t="s">
        <v>409</v>
      </c>
    </row>
    <row r="63" ht="39.75" customHeight="1">
      <c r="A63" s="73" t="s">
        <v>501</v>
      </c>
      <c r="B63" s="75" t="s">
        <v>39</v>
      </c>
      <c r="C63" s="73" t="s">
        <v>274</v>
      </c>
      <c r="D63" s="77">
        <v>3.0</v>
      </c>
      <c r="E63" s="77" t="s">
        <v>500</v>
      </c>
      <c r="F63" s="77" t="s">
        <v>148</v>
      </c>
      <c r="G63" s="77" t="s">
        <v>149</v>
      </c>
      <c r="H63" s="77" t="s">
        <v>151</v>
      </c>
      <c r="I63" s="75"/>
      <c r="J63" s="81" t="s">
        <v>280</v>
      </c>
      <c r="K63" s="45" t="s">
        <v>281</v>
      </c>
      <c r="L63" s="125" t="s">
        <v>92</v>
      </c>
      <c r="M63" s="50" t="s">
        <v>64</v>
      </c>
      <c r="N63" s="43" t="s">
        <v>55</v>
      </c>
      <c r="O63" s="59" t="s">
        <v>68</v>
      </c>
      <c r="P63" s="45" t="s">
        <v>404</v>
      </c>
      <c r="Q63" s="44" t="s">
        <v>409</v>
      </c>
    </row>
    <row r="64" ht="39.75" customHeight="1">
      <c r="A64" s="94" t="s">
        <v>511</v>
      </c>
      <c r="B64" s="96" t="s">
        <v>39</v>
      </c>
      <c r="C64" s="94" t="s">
        <v>274</v>
      </c>
      <c r="D64" s="97">
        <v>3.0</v>
      </c>
      <c r="E64" s="97" t="s">
        <v>500</v>
      </c>
      <c r="F64" s="97" t="s">
        <v>148</v>
      </c>
      <c r="G64" s="97" t="s">
        <v>149</v>
      </c>
      <c r="H64" s="97" t="s">
        <v>151</v>
      </c>
      <c r="I64" s="96"/>
      <c r="J64" s="100" t="s">
        <v>280</v>
      </c>
      <c r="K64" s="101" t="s">
        <v>281</v>
      </c>
      <c r="L64" s="127" t="s">
        <v>64</v>
      </c>
      <c r="M64" s="86" t="s">
        <v>164</v>
      </c>
      <c r="N64" s="43" t="s">
        <v>55</v>
      </c>
      <c r="O64" s="105" t="s">
        <v>68</v>
      </c>
      <c r="P64" s="101" t="s">
        <v>404</v>
      </c>
      <c r="Q64" s="107" t="s">
        <v>409</v>
      </c>
    </row>
    <row r="65" ht="30.0" customHeight="1">
      <c r="A65" s="73" t="s">
        <v>520</v>
      </c>
      <c r="B65" s="75" t="s">
        <v>39</v>
      </c>
      <c r="C65" s="73" t="s">
        <v>274</v>
      </c>
      <c r="D65" s="77">
        <v>3.0</v>
      </c>
      <c r="E65" s="77" t="s">
        <v>500</v>
      </c>
      <c r="F65" s="77" t="s">
        <v>148</v>
      </c>
      <c r="G65" s="77" t="s">
        <v>149</v>
      </c>
      <c r="H65" s="77" t="s">
        <v>151</v>
      </c>
      <c r="I65" s="75"/>
      <c r="J65" s="81" t="s">
        <v>280</v>
      </c>
      <c r="K65" s="45" t="s">
        <v>281</v>
      </c>
      <c r="L65" s="88" t="s">
        <v>63</v>
      </c>
      <c r="M65" s="50" t="s">
        <v>64</v>
      </c>
      <c r="N65" s="43" t="s">
        <v>55</v>
      </c>
      <c r="O65" s="115" t="s">
        <v>56</v>
      </c>
      <c r="P65" s="45" t="s">
        <v>522</v>
      </c>
      <c r="Q65" s="44"/>
    </row>
    <row r="66" ht="39.75" customHeight="1">
      <c r="A66" s="94" t="s">
        <v>523</v>
      </c>
      <c r="B66" s="96" t="s">
        <v>39</v>
      </c>
      <c r="C66" s="94" t="s">
        <v>274</v>
      </c>
      <c r="D66" s="97">
        <v>3.0</v>
      </c>
      <c r="E66" s="97" t="s">
        <v>500</v>
      </c>
      <c r="F66" s="97" t="s">
        <v>148</v>
      </c>
      <c r="G66" s="97" t="s">
        <v>149</v>
      </c>
      <c r="H66" s="97" t="s">
        <v>151</v>
      </c>
      <c r="I66" s="96"/>
      <c r="J66" s="100" t="s">
        <v>280</v>
      </c>
      <c r="K66" s="101" t="s">
        <v>281</v>
      </c>
      <c r="L66" s="149"/>
      <c r="M66" s="149"/>
      <c r="N66" s="157" t="s">
        <v>447</v>
      </c>
      <c r="O66" s="124" t="s">
        <v>198</v>
      </c>
      <c r="P66" s="159"/>
      <c r="Q66" s="107" t="s">
        <v>448</v>
      </c>
    </row>
    <row r="67" ht="30.0" customHeight="1">
      <c r="A67" s="73" t="s">
        <v>525</v>
      </c>
      <c r="B67" s="75" t="s">
        <v>39</v>
      </c>
      <c r="C67" s="73" t="s">
        <v>274</v>
      </c>
      <c r="D67" s="77">
        <v>3.0</v>
      </c>
      <c r="E67" s="77" t="s">
        <v>500</v>
      </c>
      <c r="F67" s="77" t="s">
        <v>148</v>
      </c>
      <c r="G67" s="77" t="s">
        <v>149</v>
      </c>
      <c r="H67" s="77" t="s">
        <v>151</v>
      </c>
      <c r="I67" s="75"/>
      <c r="J67" s="81" t="s">
        <v>280</v>
      </c>
      <c r="K67" s="45" t="s">
        <v>281</v>
      </c>
      <c r="L67" s="137" t="s">
        <v>164</v>
      </c>
      <c r="M67" s="50" t="s">
        <v>64</v>
      </c>
      <c r="N67" s="43" t="s">
        <v>55</v>
      </c>
      <c r="O67" s="115" t="s">
        <v>56</v>
      </c>
      <c r="P67" s="45" t="s">
        <v>527</v>
      </c>
      <c r="Q67" s="44"/>
    </row>
    <row r="68" ht="39.75" customHeight="1">
      <c r="A68" s="94" t="s">
        <v>530</v>
      </c>
      <c r="B68" s="96" t="s">
        <v>39</v>
      </c>
      <c r="C68" s="94" t="s">
        <v>274</v>
      </c>
      <c r="D68" s="97">
        <v>3.0</v>
      </c>
      <c r="E68" s="97" t="s">
        <v>500</v>
      </c>
      <c r="F68" s="97" t="s">
        <v>148</v>
      </c>
      <c r="G68" s="97" t="s">
        <v>149</v>
      </c>
      <c r="H68" s="97" t="s">
        <v>151</v>
      </c>
      <c r="I68" s="96"/>
      <c r="J68" s="100" t="s">
        <v>280</v>
      </c>
      <c r="K68" s="101" t="s">
        <v>281</v>
      </c>
      <c r="L68" s="88" t="s">
        <v>63</v>
      </c>
      <c r="M68" s="50" t="s">
        <v>64</v>
      </c>
      <c r="N68" s="43" t="s">
        <v>55</v>
      </c>
      <c r="O68" s="105" t="s">
        <v>68</v>
      </c>
      <c r="P68" s="101" t="s">
        <v>404</v>
      </c>
      <c r="Q68" s="107" t="s">
        <v>409</v>
      </c>
    </row>
    <row r="69" ht="39.75" customHeight="1">
      <c r="A69" s="73" t="s">
        <v>403</v>
      </c>
      <c r="B69" s="75" t="s">
        <v>39</v>
      </c>
      <c r="C69" s="73" t="s">
        <v>274</v>
      </c>
      <c r="D69" s="77">
        <v>3.0</v>
      </c>
      <c r="E69" s="77" t="s">
        <v>540</v>
      </c>
      <c r="F69" s="77" t="s">
        <v>148</v>
      </c>
      <c r="G69" s="77" t="s">
        <v>149</v>
      </c>
      <c r="H69" s="77" t="s">
        <v>151</v>
      </c>
      <c r="I69" s="75"/>
      <c r="J69" s="81" t="s">
        <v>280</v>
      </c>
      <c r="K69" s="45" t="s">
        <v>281</v>
      </c>
      <c r="L69" s="140" t="s">
        <v>52</v>
      </c>
      <c r="M69" s="79" t="s">
        <v>150</v>
      </c>
      <c r="N69" s="43" t="s">
        <v>55</v>
      </c>
      <c r="O69" s="59" t="s">
        <v>68</v>
      </c>
      <c r="P69" s="45" t="s">
        <v>404</v>
      </c>
      <c r="Q69" s="44" t="s">
        <v>409</v>
      </c>
    </row>
    <row r="70" ht="39.75" customHeight="1">
      <c r="A70" s="94" t="s">
        <v>410</v>
      </c>
      <c r="B70" s="96" t="s">
        <v>39</v>
      </c>
      <c r="C70" s="94" t="s">
        <v>274</v>
      </c>
      <c r="D70" s="97">
        <v>3.0</v>
      </c>
      <c r="E70" s="97" t="s">
        <v>540</v>
      </c>
      <c r="F70" s="97" t="s">
        <v>148</v>
      </c>
      <c r="G70" s="97" t="s">
        <v>149</v>
      </c>
      <c r="H70" s="97" t="s">
        <v>151</v>
      </c>
      <c r="I70" s="96"/>
      <c r="J70" s="100" t="s">
        <v>280</v>
      </c>
      <c r="K70" s="101" t="s">
        <v>281</v>
      </c>
      <c r="L70" s="88" t="s">
        <v>63</v>
      </c>
      <c r="M70" s="50" t="s">
        <v>64</v>
      </c>
      <c r="N70" s="43" t="s">
        <v>55</v>
      </c>
      <c r="O70" s="105" t="s">
        <v>68</v>
      </c>
      <c r="P70" s="101" t="s">
        <v>404</v>
      </c>
      <c r="Q70" s="107" t="s">
        <v>409</v>
      </c>
    </row>
    <row r="71" ht="39.75" customHeight="1">
      <c r="A71" s="73" t="s">
        <v>415</v>
      </c>
      <c r="B71" s="75" t="s">
        <v>39</v>
      </c>
      <c r="C71" s="73" t="s">
        <v>274</v>
      </c>
      <c r="D71" s="77">
        <v>3.0</v>
      </c>
      <c r="E71" s="77" t="s">
        <v>540</v>
      </c>
      <c r="F71" s="77" t="s">
        <v>148</v>
      </c>
      <c r="G71" s="77" t="s">
        <v>149</v>
      </c>
      <c r="H71" s="77" t="s">
        <v>151</v>
      </c>
      <c r="I71" s="75"/>
      <c r="J71" s="81" t="s">
        <v>280</v>
      </c>
      <c r="K71" s="45" t="s">
        <v>281</v>
      </c>
      <c r="L71" s="148" t="s">
        <v>199</v>
      </c>
      <c r="M71" s="50" t="s">
        <v>64</v>
      </c>
      <c r="N71" s="43" t="s">
        <v>55</v>
      </c>
      <c r="O71" s="59" t="s">
        <v>68</v>
      </c>
      <c r="P71" s="45" t="s">
        <v>404</v>
      </c>
      <c r="Q71" s="44" t="s">
        <v>409</v>
      </c>
    </row>
    <row r="72" ht="39.75" customHeight="1">
      <c r="A72" s="94" t="s">
        <v>426</v>
      </c>
      <c r="B72" s="96" t="s">
        <v>39</v>
      </c>
      <c r="C72" s="94" t="s">
        <v>274</v>
      </c>
      <c r="D72" s="97">
        <v>3.0</v>
      </c>
      <c r="E72" s="97" t="s">
        <v>540</v>
      </c>
      <c r="F72" s="97" t="s">
        <v>148</v>
      </c>
      <c r="G72" s="97" t="s">
        <v>149</v>
      </c>
      <c r="H72" s="154" t="s">
        <v>466</v>
      </c>
      <c r="I72" s="96"/>
      <c r="J72" s="100" t="s">
        <v>280</v>
      </c>
      <c r="K72" s="101" t="s">
        <v>281</v>
      </c>
      <c r="L72" s="88" t="s">
        <v>63</v>
      </c>
      <c r="M72" s="50" t="s">
        <v>64</v>
      </c>
      <c r="N72" s="43" t="s">
        <v>55</v>
      </c>
      <c r="O72" s="105" t="s">
        <v>187</v>
      </c>
      <c r="P72" s="101" t="s">
        <v>404</v>
      </c>
      <c r="Q72" s="107" t="s">
        <v>427</v>
      </c>
    </row>
    <row r="73" ht="39.75" customHeight="1">
      <c r="A73" s="73" t="s">
        <v>434</v>
      </c>
      <c r="B73" s="75" t="s">
        <v>39</v>
      </c>
      <c r="C73" s="73" t="s">
        <v>274</v>
      </c>
      <c r="D73" s="77">
        <v>3.0</v>
      </c>
      <c r="E73" s="77" t="s">
        <v>540</v>
      </c>
      <c r="F73" s="77" t="s">
        <v>148</v>
      </c>
      <c r="G73" s="77" t="s">
        <v>149</v>
      </c>
      <c r="H73" s="77" t="s">
        <v>151</v>
      </c>
      <c r="I73" s="75"/>
      <c r="J73" s="81" t="s">
        <v>280</v>
      </c>
      <c r="K73" s="45" t="s">
        <v>281</v>
      </c>
      <c r="L73" s="137" t="s">
        <v>164</v>
      </c>
      <c r="M73" s="50" t="s">
        <v>64</v>
      </c>
      <c r="N73" s="43" t="s">
        <v>55</v>
      </c>
      <c r="O73" s="59" t="s">
        <v>68</v>
      </c>
      <c r="P73" s="45" t="s">
        <v>404</v>
      </c>
      <c r="Q73" s="44" t="s">
        <v>409</v>
      </c>
    </row>
    <row r="74" ht="30.0" customHeight="1">
      <c r="A74" s="94" t="s">
        <v>438</v>
      </c>
      <c r="B74" s="96" t="s">
        <v>39</v>
      </c>
      <c r="C74" s="94" t="s">
        <v>274</v>
      </c>
      <c r="D74" s="97">
        <v>3.0</v>
      </c>
      <c r="E74" s="97" t="s">
        <v>540</v>
      </c>
      <c r="F74" s="97" t="s">
        <v>148</v>
      </c>
      <c r="G74" s="97" t="s">
        <v>149</v>
      </c>
      <c r="H74" s="97" t="s">
        <v>151</v>
      </c>
      <c r="I74" s="96"/>
      <c r="J74" s="100" t="s">
        <v>280</v>
      </c>
      <c r="K74" s="101" t="s">
        <v>281</v>
      </c>
      <c r="L74" s="127" t="s">
        <v>64</v>
      </c>
      <c r="M74" s="62" t="s">
        <v>92</v>
      </c>
      <c r="N74" s="43" t="s">
        <v>55</v>
      </c>
      <c r="O74" s="124" t="s">
        <v>56</v>
      </c>
      <c r="P74" s="101" t="s">
        <v>441</v>
      </c>
      <c r="Q74" s="107"/>
    </row>
    <row r="75" ht="39.75" customHeight="1">
      <c r="A75" s="73" t="s">
        <v>473</v>
      </c>
      <c r="B75" s="75" t="s">
        <v>39</v>
      </c>
      <c r="C75" s="73" t="s">
        <v>274</v>
      </c>
      <c r="D75" s="77">
        <v>3.0</v>
      </c>
      <c r="E75" s="77" t="s">
        <v>540</v>
      </c>
      <c r="F75" s="77" t="s">
        <v>148</v>
      </c>
      <c r="G75" s="77" t="s">
        <v>149</v>
      </c>
      <c r="H75" s="77" t="s">
        <v>151</v>
      </c>
      <c r="I75" s="75"/>
      <c r="J75" s="81" t="s">
        <v>280</v>
      </c>
      <c r="K75" s="45" t="s">
        <v>281</v>
      </c>
      <c r="L75" s="88" t="s">
        <v>63</v>
      </c>
      <c r="M75" s="50" t="s">
        <v>64</v>
      </c>
      <c r="N75" s="43" t="s">
        <v>55</v>
      </c>
      <c r="O75" s="59" t="s">
        <v>68</v>
      </c>
      <c r="P75" s="45" t="s">
        <v>404</v>
      </c>
      <c r="Q75" s="44" t="s">
        <v>406</v>
      </c>
    </row>
    <row r="76" ht="39.75" customHeight="1">
      <c r="A76" s="94" t="s">
        <v>477</v>
      </c>
      <c r="B76" s="96" t="s">
        <v>39</v>
      </c>
      <c r="C76" s="94" t="s">
        <v>274</v>
      </c>
      <c r="D76" s="97">
        <v>3.0</v>
      </c>
      <c r="E76" s="97" t="s">
        <v>540</v>
      </c>
      <c r="F76" s="97" t="s">
        <v>148</v>
      </c>
      <c r="G76" s="97" t="s">
        <v>149</v>
      </c>
      <c r="H76" s="97" t="s">
        <v>151</v>
      </c>
      <c r="I76" s="96"/>
      <c r="J76" s="100" t="s">
        <v>280</v>
      </c>
      <c r="K76" s="101" t="s">
        <v>281</v>
      </c>
      <c r="L76" s="125" t="s">
        <v>92</v>
      </c>
      <c r="M76" s="56" t="s">
        <v>76</v>
      </c>
      <c r="N76" s="43" t="s">
        <v>55</v>
      </c>
      <c r="O76" s="105" t="s">
        <v>68</v>
      </c>
      <c r="P76" s="101" t="s">
        <v>404</v>
      </c>
      <c r="Q76" s="107" t="s">
        <v>409</v>
      </c>
    </row>
    <row r="77" ht="39.75" customHeight="1">
      <c r="A77" s="73" t="s">
        <v>478</v>
      </c>
      <c r="B77" s="75" t="s">
        <v>39</v>
      </c>
      <c r="C77" s="73" t="s">
        <v>274</v>
      </c>
      <c r="D77" s="77">
        <v>3.0</v>
      </c>
      <c r="E77" s="77" t="s">
        <v>540</v>
      </c>
      <c r="F77" s="77" t="s">
        <v>148</v>
      </c>
      <c r="G77" s="77" t="s">
        <v>149</v>
      </c>
      <c r="H77" s="77" t="s">
        <v>151</v>
      </c>
      <c r="I77" s="75"/>
      <c r="J77" s="81" t="s">
        <v>280</v>
      </c>
      <c r="K77" s="45" t="s">
        <v>281</v>
      </c>
      <c r="L77" s="125" t="s">
        <v>92</v>
      </c>
      <c r="M77" s="50" t="s">
        <v>64</v>
      </c>
      <c r="N77" s="43" t="s">
        <v>55</v>
      </c>
      <c r="O77" s="59" t="s">
        <v>68</v>
      </c>
      <c r="P77" s="45" t="s">
        <v>404</v>
      </c>
      <c r="Q77" s="44" t="s">
        <v>409</v>
      </c>
    </row>
    <row r="78" ht="39.75" customHeight="1">
      <c r="A78" s="94" t="s">
        <v>479</v>
      </c>
      <c r="B78" s="96" t="s">
        <v>39</v>
      </c>
      <c r="C78" s="94" t="s">
        <v>274</v>
      </c>
      <c r="D78" s="97">
        <v>3.0</v>
      </c>
      <c r="E78" s="97" t="s">
        <v>540</v>
      </c>
      <c r="F78" s="97" t="s">
        <v>148</v>
      </c>
      <c r="G78" s="97" t="s">
        <v>149</v>
      </c>
      <c r="H78" s="97" t="s">
        <v>151</v>
      </c>
      <c r="I78" s="96"/>
      <c r="J78" s="100" t="s">
        <v>280</v>
      </c>
      <c r="K78" s="101" t="s">
        <v>281</v>
      </c>
      <c r="L78" s="149"/>
      <c r="M78" s="149"/>
      <c r="N78" s="157" t="s">
        <v>447</v>
      </c>
      <c r="O78" s="124" t="s">
        <v>198</v>
      </c>
      <c r="P78" s="159"/>
      <c r="Q78" s="107" t="s">
        <v>448</v>
      </c>
    </row>
    <row r="79" ht="39.75" customHeight="1">
      <c r="A79" s="73" t="s">
        <v>499</v>
      </c>
      <c r="B79" s="75" t="s">
        <v>39</v>
      </c>
      <c r="C79" s="73" t="s">
        <v>274</v>
      </c>
      <c r="D79" s="77">
        <v>3.0</v>
      </c>
      <c r="E79" s="77" t="s">
        <v>540</v>
      </c>
      <c r="F79" s="77" t="s">
        <v>148</v>
      </c>
      <c r="G79" s="77" t="s">
        <v>149</v>
      </c>
      <c r="H79" s="77" t="s">
        <v>151</v>
      </c>
      <c r="I79" s="75"/>
      <c r="J79" s="81" t="s">
        <v>280</v>
      </c>
      <c r="K79" s="45" t="s">
        <v>281</v>
      </c>
      <c r="L79" s="127" t="s">
        <v>64</v>
      </c>
      <c r="M79" s="49" t="s">
        <v>63</v>
      </c>
      <c r="N79" s="43" t="s">
        <v>55</v>
      </c>
      <c r="O79" s="59" t="s">
        <v>68</v>
      </c>
      <c r="P79" s="45" t="s">
        <v>404</v>
      </c>
      <c r="Q79" s="44" t="s">
        <v>411</v>
      </c>
    </row>
    <row r="80" ht="30.0" customHeight="1">
      <c r="A80" s="94" t="s">
        <v>502</v>
      </c>
      <c r="B80" s="96" t="s">
        <v>39</v>
      </c>
      <c r="C80" s="94" t="s">
        <v>274</v>
      </c>
      <c r="D80" s="97">
        <v>3.0</v>
      </c>
      <c r="E80" s="97" t="s">
        <v>540</v>
      </c>
      <c r="F80" s="97" t="s">
        <v>148</v>
      </c>
      <c r="G80" s="97" t="s">
        <v>149</v>
      </c>
      <c r="H80" s="97" t="s">
        <v>151</v>
      </c>
      <c r="I80" s="96"/>
      <c r="J80" s="100" t="s">
        <v>280</v>
      </c>
      <c r="K80" s="101" t="s">
        <v>281</v>
      </c>
      <c r="L80" s="127" t="s">
        <v>64</v>
      </c>
      <c r="M80" s="149" t="s">
        <v>503</v>
      </c>
      <c r="N80" s="150" t="s">
        <v>35</v>
      </c>
      <c r="O80" s="124" t="s">
        <v>56</v>
      </c>
      <c r="P80" s="101" t="s">
        <v>505</v>
      </c>
      <c r="Q80" s="107" t="s">
        <v>506</v>
      </c>
    </row>
    <row r="81" ht="39.75" customHeight="1">
      <c r="A81" s="73" t="s">
        <v>507</v>
      </c>
      <c r="B81" s="75" t="s">
        <v>39</v>
      </c>
      <c r="C81" s="73" t="s">
        <v>274</v>
      </c>
      <c r="D81" s="77">
        <v>3.0</v>
      </c>
      <c r="E81" s="77" t="s">
        <v>540</v>
      </c>
      <c r="F81" s="77" t="s">
        <v>148</v>
      </c>
      <c r="G81" s="77" t="s">
        <v>149</v>
      </c>
      <c r="H81" s="158" t="s">
        <v>466</v>
      </c>
      <c r="I81" s="75"/>
      <c r="J81" s="81" t="s">
        <v>280</v>
      </c>
      <c r="K81" s="45" t="s">
        <v>281</v>
      </c>
      <c r="L81" s="127" t="s">
        <v>64</v>
      </c>
      <c r="M81" s="152" t="s">
        <v>218</v>
      </c>
      <c r="N81" s="43" t="s">
        <v>55</v>
      </c>
      <c r="O81" s="59" t="s">
        <v>187</v>
      </c>
      <c r="P81" s="45" t="s">
        <v>404</v>
      </c>
      <c r="Q81" s="44" t="s">
        <v>508</v>
      </c>
    </row>
    <row r="82" ht="39.75" customHeight="1">
      <c r="A82" s="94" t="s">
        <v>509</v>
      </c>
      <c r="B82" s="96" t="s">
        <v>39</v>
      </c>
      <c r="C82" s="94" t="s">
        <v>274</v>
      </c>
      <c r="D82" s="97">
        <v>3.0</v>
      </c>
      <c r="E82" s="97" t="s">
        <v>540</v>
      </c>
      <c r="F82" s="97" t="s">
        <v>148</v>
      </c>
      <c r="G82" s="97" t="s">
        <v>149</v>
      </c>
      <c r="H82" s="97" t="s">
        <v>151</v>
      </c>
      <c r="I82" s="96"/>
      <c r="J82" s="100" t="s">
        <v>280</v>
      </c>
      <c r="K82" s="101" t="s">
        <v>281</v>
      </c>
      <c r="L82" s="88" t="s">
        <v>63</v>
      </c>
      <c r="M82" s="50" t="s">
        <v>64</v>
      </c>
      <c r="N82" s="43" t="s">
        <v>55</v>
      </c>
      <c r="O82" s="105" t="s">
        <v>68</v>
      </c>
      <c r="P82" s="101" t="s">
        <v>404</v>
      </c>
      <c r="Q82" s="107" t="s">
        <v>409</v>
      </c>
    </row>
    <row r="83" ht="39.75" customHeight="1">
      <c r="A83" s="73" t="s">
        <v>512</v>
      </c>
      <c r="B83" s="75" t="s">
        <v>39</v>
      </c>
      <c r="C83" s="73" t="s">
        <v>274</v>
      </c>
      <c r="D83" s="77">
        <v>3.0</v>
      </c>
      <c r="E83" s="77" t="s">
        <v>540</v>
      </c>
      <c r="F83" s="77" t="s">
        <v>148</v>
      </c>
      <c r="G83" s="77" t="s">
        <v>149</v>
      </c>
      <c r="H83" s="77" t="s">
        <v>151</v>
      </c>
      <c r="I83" s="75"/>
      <c r="J83" s="81" t="s">
        <v>280</v>
      </c>
      <c r="K83" s="45" t="s">
        <v>281</v>
      </c>
      <c r="L83" s="127" t="s">
        <v>64</v>
      </c>
      <c r="M83" s="62" t="s">
        <v>92</v>
      </c>
      <c r="N83" s="43" t="s">
        <v>55</v>
      </c>
      <c r="O83" s="59" t="s">
        <v>68</v>
      </c>
      <c r="P83" s="45" t="s">
        <v>404</v>
      </c>
      <c r="Q83" s="44" t="s">
        <v>409</v>
      </c>
    </row>
    <row r="84" ht="30.0" customHeight="1">
      <c r="A84" s="94" t="s">
        <v>513</v>
      </c>
      <c r="B84" s="96" t="s">
        <v>39</v>
      </c>
      <c r="C84" s="94" t="s">
        <v>274</v>
      </c>
      <c r="D84" s="97">
        <v>3.0</v>
      </c>
      <c r="E84" s="97" t="s">
        <v>540</v>
      </c>
      <c r="F84" s="97" t="s">
        <v>148</v>
      </c>
      <c r="G84" s="97" t="s">
        <v>149</v>
      </c>
      <c r="H84" s="97" t="s">
        <v>151</v>
      </c>
      <c r="I84" s="96"/>
      <c r="J84" s="100" t="s">
        <v>280</v>
      </c>
      <c r="K84" s="101" t="s">
        <v>281</v>
      </c>
      <c r="L84" s="88" t="s">
        <v>63</v>
      </c>
      <c r="M84" s="62" t="s">
        <v>92</v>
      </c>
      <c r="N84" s="43" t="s">
        <v>55</v>
      </c>
      <c r="O84" s="124" t="s">
        <v>56</v>
      </c>
      <c r="P84" s="101" t="s">
        <v>515</v>
      </c>
      <c r="Q84" s="107"/>
    </row>
    <row r="85" ht="30.0" customHeight="1">
      <c r="A85" s="73" t="s">
        <v>516</v>
      </c>
      <c r="B85" s="75" t="s">
        <v>39</v>
      </c>
      <c r="C85" s="73" t="s">
        <v>274</v>
      </c>
      <c r="D85" s="77">
        <v>3.0</v>
      </c>
      <c r="E85" s="77" t="s">
        <v>540</v>
      </c>
      <c r="F85" s="77" t="s">
        <v>148</v>
      </c>
      <c r="G85" s="77" t="s">
        <v>149</v>
      </c>
      <c r="H85" s="77" t="s">
        <v>151</v>
      </c>
      <c r="I85" s="75"/>
      <c r="J85" s="81" t="s">
        <v>280</v>
      </c>
      <c r="K85" s="45" t="s">
        <v>281</v>
      </c>
      <c r="L85" s="126" t="s">
        <v>78</v>
      </c>
      <c r="M85" s="50" t="s">
        <v>64</v>
      </c>
      <c r="N85" s="43" t="s">
        <v>55</v>
      </c>
      <c r="O85" s="115" t="s">
        <v>195</v>
      </c>
      <c r="P85" s="45" t="s">
        <v>518</v>
      </c>
      <c r="Q85" s="44" t="s">
        <v>519</v>
      </c>
    </row>
    <row r="86" ht="39.75" customHeight="1">
      <c r="A86" s="94" t="s">
        <v>524</v>
      </c>
      <c r="B86" s="96" t="s">
        <v>39</v>
      </c>
      <c r="C86" s="94" t="s">
        <v>274</v>
      </c>
      <c r="D86" s="97">
        <v>3.0</v>
      </c>
      <c r="E86" s="97" t="s">
        <v>540</v>
      </c>
      <c r="F86" s="97" t="s">
        <v>148</v>
      </c>
      <c r="G86" s="97" t="s">
        <v>149</v>
      </c>
      <c r="H86" s="97" t="s">
        <v>151</v>
      </c>
      <c r="I86" s="96"/>
      <c r="J86" s="100" t="s">
        <v>280</v>
      </c>
      <c r="K86" s="101" t="s">
        <v>281</v>
      </c>
      <c r="L86" s="140" t="s">
        <v>52</v>
      </c>
      <c r="M86" s="49" t="s">
        <v>63</v>
      </c>
      <c r="N86" s="43" t="s">
        <v>55</v>
      </c>
      <c r="O86" s="105" t="s">
        <v>68</v>
      </c>
      <c r="P86" s="101" t="s">
        <v>404</v>
      </c>
      <c r="Q86" s="107" t="s">
        <v>409</v>
      </c>
    </row>
    <row r="87" ht="39.75" customHeight="1">
      <c r="A87" s="73" t="s">
        <v>528</v>
      </c>
      <c r="B87" s="75" t="s">
        <v>39</v>
      </c>
      <c r="C87" s="73" t="s">
        <v>274</v>
      </c>
      <c r="D87" s="77">
        <v>3.0</v>
      </c>
      <c r="E87" s="77" t="s">
        <v>540</v>
      </c>
      <c r="F87" s="77" t="s">
        <v>148</v>
      </c>
      <c r="G87" s="77" t="s">
        <v>149</v>
      </c>
      <c r="H87" s="158" t="s">
        <v>466</v>
      </c>
      <c r="I87" s="75"/>
      <c r="J87" s="81" t="s">
        <v>280</v>
      </c>
      <c r="K87" s="45" t="s">
        <v>281</v>
      </c>
      <c r="L87" s="140" t="s">
        <v>52</v>
      </c>
      <c r="M87" s="62" t="s">
        <v>92</v>
      </c>
      <c r="N87" s="43" t="s">
        <v>55</v>
      </c>
      <c r="O87" s="59" t="s">
        <v>187</v>
      </c>
      <c r="P87" s="45" t="s">
        <v>404</v>
      </c>
      <c r="Q87" s="44" t="s">
        <v>529</v>
      </c>
    </row>
    <row r="88" ht="30.0" customHeight="1">
      <c r="A88" s="94" t="s">
        <v>531</v>
      </c>
      <c r="B88" s="96" t="s">
        <v>39</v>
      </c>
      <c r="C88" s="94" t="s">
        <v>274</v>
      </c>
      <c r="D88" s="97">
        <v>3.0</v>
      </c>
      <c r="E88" s="97" t="s">
        <v>540</v>
      </c>
      <c r="F88" s="97" t="s">
        <v>148</v>
      </c>
      <c r="G88" s="97" t="s">
        <v>149</v>
      </c>
      <c r="H88" s="97" t="s">
        <v>151</v>
      </c>
      <c r="I88" s="96"/>
      <c r="J88" s="100" t="s">
        <v>280</v>
      </c>
      <c r="K88" s="101" t="s">
        <v>281</v>
      </c>
      <c r="L88" s="127" t="s">
        <v>64</v>
      </c>
      <c r="M88" s="62" t="s">
        <v>92</v>
      </c>
      <c r="N88" s="43" t="s">
        <v>55</v>
      </c>
      <c r="O88" s="124" t="s">
        <v>56</v>
      </c>
      <c r="P88" s="101" t="s">
        <v>533</v>
      </c>
      <c r="Q88" s="107"/>
    </row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8E8FBE0-4006-44D6-ACB9-E070AF029B70}" filter="1" showAutoFilter="1">
      <autoFilter ref="$A$6:$Q$88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10" ref="J7"/>
    <hyperlink r:id="rId5" ref="K7"/>
    <hyperlink r:id="rId6" location="'Club Colours'!A82" ref="L7"/>
    <hyperlink r:id="rId7" ref="P7"/>
    <hyperlink r:id="rId8" location="'Sources'!A10" ref="J8"/>
    <hyperlink r:id="rId9" ref="K8"/>
    <hyperlink r:id="rId10" location="'Club Colours'!A84" ref="L8"/>
    <hyperlink r:id="rId11" ref="P8"/>
    <hyperlink r:id="rId12" location="'Sources'!A10" ref="J9"/>
    <hyperlink r:id="rId13" ref="K9"/>
    <hyperlink r:id="rId14" location="'Club Colours'!A87" ref="L9"/>
    <hyperlink r:id="rId15" ref="P9"/>
    <hyperlink r:id="rId16" location="'Sources'!A10" ref="J10"/>
    <hyperlink r:id="rId17" ref="K10"/>
    <hyperlink r:id="rId18" location="'Club Colours'!A94" ref="L10"/>
    <hyperlink r:id="rId19" ref="P10"/>
    <hyperlink r:id="rId20" location="'Sources'!A10" ref="J11"/>
    <hyperlink r:id="rId21" ref="K11"/>
    <hyperlink r:id="rId22" location="'Club Colours'!A99" ref="L11"/>
    <hyperlink r:id="rId23" ref="P11"/>
    <hyperlink r:id="rId24" location="'Sources'!A10" ref="J12"/>
    <hyperlink r:id="rId25" ref="K12"/>
    <hyperlink r:id="rId26" location="'Club Colours'!A101" ref="L12"/>
    <hyperlink r:id="rId27" ref="P12"/>
    <hyperlink r:id="rId28" location="'Sources'!A10" ref="J13"/>
    <hyperlink r:id="rId29" ref="K13"/>
    <hyperlink r:id="rId30" location="'Club Colours'!A103" ref="L13"/>
    <hyperlink r:id="rId31" ref="P13"/>
    <hyperlink r:id="rId32" location="'Sources'!A10" ref="J14"/>
    <hyperlink r:id="rId33" ref="K14"/>
    <hyperlink r:id="rId34" location="'Club Colours'!A105" ref="L14"/>
    <hyperlink r:id="rId35" ref="P14"/>
    <hyperlink r:id="rId36" location="'Sources'!A10" ref="J15"/>
    <hyperlink r:id="rId37" ref="K15"/>
    <hyperlink r:id="rId38" location="'Club Colours'!A108" ref="L15"/>
    <hyperlink r:id="rId39" ref="P15"/>
    <hyperlink r:id="rId40" location="'Sources'!A10" ref="J16"/>
    <hyperlink r:id="rId41" ref="K16"/>
    <hyperlink r:id="rId42" location="'Club Colours'!A117" ref="L16"/>
    <hyperlink r:id="rId43" ref="P16"/>
    <hyperlink r:id="rId44" location="'Sources'!A10" ref="J17"/>
    <hyperlink r:id="rId45" ref="K17"/>
    <hyperlink r:id="rId46" location="'Club Colours'!A121" ref="L17"/>
    <hyperlink r:id="rId47" ref="P17"/>
    <hyperlink r:id="rId48" location="'Sources'!A10" ref="J18"/>
    <hyperlink r:id="rId49" ref="K18"/>
    <hyperlink r:id="rId50" location="'Club Colours'!A123" ref="L18"/>
    <hyperlink r:id="rId51" ref="P18"/>
    <hyperlink r:id="rId52" location="'Sources'!A10" ref="J19"/>
    <hyperlink r:id="rId53" ref="K19"/>
    <hyperlink r:id="rId54" location="'Club Colours'!A127" ref="L19"/>
    <hyperlink r:id="rId55" ref="P19"/>
    <hyperlink r:id="rId56" location="'Sources'!A10" ref="J20"/>
    <hyperlink r:id="rId57" ref="K20"/>
    <hyperlink r:id="rId58" location="'Club Colours'!A129" ref="L20"/>
    <hyperlink r:id="rId59" ref="P20"/>
    <hyperlink r:id="rId60" location="'Sources'!A10" ref="J21"/>
    <hyperlink r:id="rId61" ref="K21"/>
    <hyperlink r:id="rId62" location="'Club Colours'!A131" ref="L21"/>
    <hyperlink r:id="rId63" ref="P21"/>
    <hyperlink r:id="rId64" location="'Sources'!A10" ref="J22"/>
    <hyperlink r:id="rId65" ref="K22"/>
    <hyperlink r:id="rId66" location="'Club Colours'!A133" ref="L22"/>
    <hyperlink r:id="rId67" ref="P22"/>
    <hyperlink r:id="rId68" location="'Sources'!A10" ref="J23"/>
    <hyperlink r:id="rId69" ref="K23"/>
    <hyperlink r:id="rId70" location="'Club Colours'!A137" ref="L23"/>
    <hyperlink r:id="rId71" ref="P23"/>
    <hyperlink r:id="rId72" location="'Sources'!A10" ref="J24"/>
    <hyperlink r:id="rId73" ref="K24"/>
    <hyperlink r:id="rId74" location="'Club Colours'!A143" ref="L24"/>
    <hyperlink r:id="rId75" ref="P24"/>
    <hyperlink r:id="rId76" location="'Sources'!A10" ref="J25"/>
    <hyperlink r:id="rId77" ref="K25"/>
    <hyperlink r:id="rId78" location="'Club Colours'!A152" ref="L25"/>
    <hyperlink r:id="rId79" ref="P25"/>
    <hyperlink r:id="rId80" location="'Sources'!A10" ref="J26"/>
    <hyperlink r:id="rId81" ref="K26"/>
    <hyperlink r:id="rId82" location="'Club Colours'!A153" ref="L26"/>
    <hyperlink r:id="rId83" ref="P26"/>
    <hyperlink r:id="rId84" location="'Sources'!A11" ref="J27"/>
    <hyperlink r:id="rId85" ref="K27"/>
    <hyperlink r:id="rId86" location="'Club Colours'!A75" ref="L27"/>
    <hyperlink r:id="rId87" ref="P27"/>
    <hyperlink r:id="rId88" location="'Sources'!A11" ref="J28"/>
    <hyperlink r:id="rId89" ref="K28"/>
    <hyperlink r:id="rId90" location="'Club Colours'!A76" ref="L28"/>
    <hyperlink r:id="rId91" ref="P28"/>
    <hyperlink r:id="rId92" location="'Sources'!A11" ref="J29"/>
    <hyperlink r:id="rId93" ref="K29"/>
    <hyperlink r:id="rId94" location="'Club Colours'!A79" ref="L29"/>
    <hyperlink r:id="rId95" ref="P29"/>
    <hyperlink r:id="rId96" location="'Sources'!A11" ref="J30"/>
    <hyperlink r:id="rId97" ref="K30"/>
    <hyperlink r:id="rId98" location="'Club Colours'!A88" ref="L30"/>
    <hyperlink r:id="rId99" ref="P30"/>
    <hyperlink r:id="rId100" location="'Sources'!A11" ref="J31"/>
    <hyperlink r:id="rId101" ref="K31"/>
    <hyperlink r:id="rId102" location="'Club Colours'!A91" ref="L31"/>
    <hyperlink r:id="rId103" ref="P31"/>
    <hyperlink r:id="rId104" location="'Sources'!A11" ref="J32"/>
    <hyperlink r:id="rId105" ref="K32"/>
    <hyperlink r:id="rId106" location="'Club Colours'!A93" ref="L32"/>
    <hyperlink r:id="rId107" ref="P32"/>
    <hyperlink r:id="rId108" location="'Sources'!A11" ref="J33"/>
    <hyperlink r:id="rId109" ref="K33"/>
    <hyperlink r:id="rId110" location="'Club Colours'!A97" ref="L33"/>
    <hyperlink r:id="rId111" ref="P33"/>
    <hyperlink r:id="rId112" location="'Sources'!A11" ref="J34"/>
    <hyperlink r:id="rId113" ref="K34"/>
    <hyperlink r:id="rId114" location="'Club Colours'!A98" ref="L34"/>
    <hyperlink r:id="rId115" ref="P34"/>
    <hyperlink r:id="rId116" location="'Sources'!A11" ref="J35"/>
    <hyperlink r:id="rId117" ref="K35"/>
    <hyperlink r:id="rId118" location="'Club Colours'!A102" ref="L35"/>
    <hyperlink r:id="rId119" ref="P35"/>
    <hyperlink r:id="rId120" location="'Sources'!A11" ref="J36"/>
    <hyperlink r:id="rId121" ref="K36"/>
    <hyperlink r:id="rId122" location="'Club Colours'!A104" ref="L36"/>
    <hyperlink r:id="rId123" ref="P36"/>
    <hyperlink r:id="rId124" location="'Sources'!A11" ref="J37"/>
    <hyperlink r:id="rId125" ref="K37"/>
    <hyperlink r:id="rId126" location="'Club Colours'!A107" ref="L37"/>
    <hyperlink r:id="rId127" ref="P37"/>
    <hyperlink r:id="rId128" location="'Sources'!A11" ref="J38"/>
    <hyperlink r:id="rId129" ref="K38"/>
    <hyperlink r:id="rId130" location="'Club Colours'!A110" ref="L38"/>
    <hyperlink r:id="rId131" ref="P38"/>
    <hyperlink r:id="rId132" location="'Sources'!A11" ref="J39"/>
    <hyperlink r:id="rId133" ref="K39"/>
    <hyperlink r:id="rId134" location="'Club Colours'!A111" ref="L39"/>
    <hyperlink r:id="rId135" ref="P39"/>
    <hyperlink r:id="rId136" location="'Sources'!A11" ref="J40"/>
    <hyperlink r:id="rId137" ref="K40"/>
    <hyperlink r:id="rId138" location="'Club Colours'!A115" ref="L40"/>
    <hyperlink r:id="rId139" ref="P40"/>
    <hyperlink r:id="rId140" location="'Sources'!A11" ref="J41"/>
    <hyperlink r:id="rId141" ref="K41"/>
    <hyperlink r:id="rId142" location="'Club Colours'!A116" ref="L41"/>
    <hyperlink r:id="rId143" ref="P41"/>
    <hyperlink r:id="rId144" location="'Sources'!A11" ref="J42"/>
    <hyperlink r:id="rId145" ref="K42"/>
    <hyperlink r:id="rId146" location="'Club Colours'!A119" ref="L42"/>
    <hyperlink r:id="rId147" ref="P42"/>
    <hyperlink r:id="rId148" location="'Sources'!A11" ref="J43"/>
    <hyperlink r:id="rId149" ref="K43"/>
    <hyperlink r:id="rId150" location="'Club Colours'!A136" ref="L43"/>
    <hyperlink r:id="rId151" ref="P43"/>
    <hyperlink r:id="rId152" location="'Sources'!A11" ref="J44"/>
    <hyperlink r:id="rId153" ref="K44"/>
    <hyperlink r:id="rId154" location="'Club Colours'!A138" ref="L44"/>
    <hyperlink r:id="rId155" ref="P44"/>
    <hyperlink r:id="rId156" location="'Sources'!A11" ref="J45"/>
    <hyperlink r:id="rId157" ref="K45"/>
    <hyperlink r:id="rId158" location="'Club Colours'!A140" ref="L45"/>
    <hyperlink r:id="rId159" ref="P45"/>
    <hyperlink r:id="rId160" location="'Sources'!A11" ref="J46"/>
    <hyperlink r:id="rId161" ref="K46"/>
    <hyperlink r:id="rId162" location="'Club Colours'!A142" ref="L46"/>
    <hyperlink r:id="rId163" ref="P46"/>
    <hyperlink r:id="rId164" location="'Sources'!A11" ref="J47"/>
    <hyperlink r:id="rId165" ref="K47"/>
    <hyperlink r:id="rId166" location="'Club Colours'!A144" ref="L47"/>
    <hyperlink r:id="rId167" ref="P47"/>
    <hyperlink r:id="rId168" location="'Sources'!A11" ref="J48"/>
    <hyperlink r:id="rId169" ref="K48"/>
    <hyperlink r:id="rId170" location="'Club Colours'!A145" ref="L48"/>
    <hyperlink r:id="rId171" ref="P48"/>
    <hyperlink r:id="rId172" location="'Sources'!A12" ref="J49"/>
    <hyperlink r:id="rId173" ref="K49"/>
    <hyperlink r:id="rId174" location="'Club Colours'!A81" ref="L49"/>
    <hyperlink r:id="rId175" ref="P49"/>
    <hyperlink r:id="rId176" location="'Sources'!A12" ref="J50"/>
    <hyperlink r:id="rId177" ref="K50"/>
    <hyperlink r:id="rId178" location="'Club Colours'!A83" ref="L50"/>
    <hyperlink r:id="rId179" ref="P50"/>
    <hyperlink r:id="rId180" location="'Sources'!A12" ref="J51"/>
    <hyperlink r:id="rId181" ref="K51"/>
    <hyperlink r:id="rId182" location="'Club Colours'!A86" ref="L51"/>
    <hyperlink r:id="rId183" ref="P51"/>
    <hyperlink r:id="rId184" location="'Sources'!A12" ref="J52"/>
    <hyperlink r:id="rId185" ref="K52"/>
    <hyperlink r:id="rId186" location="'Club Colours'!A89" ref="L52"/>
    <hyperlink r:id="rId187" ref="P52"/>
    <hyperlink r:id="rId188" location="'Sources'!A12" ref="J53"/>
    <hyperlink r:id="rId189" ref="K53"/>
    <hyperlink r:id="rId190" location="'Club Colours'!A95" ref="N53"/>
    <hyperlink r:id="rId191" location="'Sources'!A12" ref="J54"/>
    <hyperlink r:id="rId192" ref="K54"/>
    <hyperlink r:id="rId193" location="'Club Colours'!A96" ref="L54"/>
    <hyperlink r:id="rId194" ref="P54"/>
    <hyperlink r:id="rId195" location="'Sources'!A12" ref="J55"/>
    <hyperlink r:id="rId196" ref="K55"/>
    <hyperlink r:id="rId197" location="'Club Colours'!A100" ref="L55"/>
    <hyperlink r:id="rId198" ref="P55"/>
    <hyperlink r:id="rId199" location="'Sources'!A12" ref="J56"/>
    <hyperlink r:id="rId200" ref="K56"/>
    <hyperlink r:id="rId201" location="'Club Colours'!A106" ref="L56"/>
    <hyperlink r:id="rId202" ref="P56"/>
    <hyperlink r:id="rId203" location="'Sources'!A12" ref="J57"/>
    <hyperlink r:id="rId204" ref="K57"/>
    <hyperlink r:id="rId205" location="'Club Colours'!A118" ref="L57"/>
    <hyperlink r:id="rId206" ref="P57"/>
    <hyperlink r:id="rId207" location="'Sources'!A12" ref="J58"/>
    <hyperlink r:id="rId208" ref="K58"/>
    <hyperlink r:id="rId209" location="'Club Colours'!A120" ref="L58"/>
    <hyperlink r:id="rId210" ref="P58"/>
    <hyperlink r:id="rId211" location="'Sources'!A12" ref="J59"/>
    <hyperlink r:id="rId212" ref="K59"/>
    <hyperlink r:id="rId213" location="'Club Colours'!A122" ref="N59"/>
    <hyperlink r:id="rId214" location="'Sources'!A12" ref="J60"/>
    <hyperlink r:id="rId215" ref="K60"/>
    <hyperlink r:id="rId216" location="'Club Colours'!A124" ref="L60"/>
    <hyperlink r:id="rId217" ref="P60"/>
    <hyperlink r:id="rId218" location="'Sources'!A12" ref="J61"/>
    <hyperlink r:id="rId219" ref="K61"/>
    <hyperlink r:id="rId220" location="'Club Colours'!A125" ref="L61"/>
    <hyperlink r:id="rId221" ref="P61"/>
    <hyperlink r:id="rId222" location="'Sources'!A12" ref="J62"/>
    <hyperlink r:id="rId223" ref="K62"/>
    <hyperlink r:id="rId224" location="'Club Colours'!A126" ref="L62"/>
    <hyperlink r:id="rId225" ref="P62"/>
    <hyperlink r:id="rId226" location="'Sources'!A12" ref="J63"/>
    <hyperlink r:id="rId227" ref="K63"/>
    <hyperlink r:id="rId228" location="'Club Colours'!A130" ref="L63"/>
    <hyperlink r:id="rId229" ref="P63"/>
    <hyperlink r:id="rId230" location="'Sources'!A12" ref="J64"/>
    <hyperlink r:id="rId231" ref="K64"/>
    <hyperlink r:id="rId232" location="'Club Colours'!A139" ref="L64"/>
    <hyperlink r:id="rId233" ref="P64"/>
    <hyperlink r:id="rId234" location="'Sources'!A12" ref="J65"/>
    <hyperlink r:id="rId235" ref="K65"/>
    <hyperlink r:id="rId236" location="'Club Colours'!A148" ref="L65"/>
    <hyperlink r:id="rId237" ref="P65"/>
    <hyperlink r:id="rId238" location="'Sources'!A12" ref="J66"/>
    <hyperlink r:id="rId239" ref="K66"/>
    <hyperlink r:id="rId240" location="'Club Colours'!A149" ref="N66"/>
    <hyperlink r:id="rId241" location="'Sources'!A12" ref="J67"/>
    <hyperlink r:id="rId242" ref="K67"/>
    <hyperlink r:id="rId243" location="'Club Colours'!A151" ref="L67"/>
    <hyperlink r:id="rId244" ref="P67"/>
    <hyperlink r:id="rId245" location="'Sources'!A12" ref="J68"/>
    <hyperlink r:id="rId246" ref="K68"/>
    <hyperlink r:id="rId247" location="'Club Colours'!A155" ref="L68"/>
    <hyperlink r:id="rId248" ref="P68"/>
    <hyperlink r:id="rId249" location="'Sources'!A12" ref="J69"/>
    <hyperlink r:id="rId250" ref="K69"/>
    <hyperlink r:id="rId251" location="'Club Colours'!A77" ref="L69"/>
    <hyperlink r:id="rId252" ref="P69"/>
    <hyperlink r:id="rId253" location="'Sources'!A12" ref="J70"/>
    <hyperlink r:id="rId254" ref="K70"/>
    <hyperlink r:id="rId255" location="'Club Colours'!A78" ref="L70"/>
    <hyperlink r:id="rId256" ref="P70"/>
    <hyperlink r:id="rId257" location="'Sources'!A12" ref="J71"/>
    <hyperlink r:id="rId258" ref="K71"/>
    <hyperlink r:id="rId259" location="'Club Colours'!A80" ref="L71"/>
    <hyperlink r:id="rId260" ref="P71"/>
    <hyperlink r:id="rId261" location="'Sources'!A12" ref="J72"/>
    <hyperlink r:id="rId262" ref="K72"/>
    <hyperlink r:id="rId263" location="'Club Colours'!A85" ref="L72"/>
    <hyperlink r:id="rId264" ref="P72"/>
    <hyperlink r:id="rId265" location="'Sources'!A12" ref="J73"/>
    <hyperlink r:id="rId266" ref="K73"/>
    <hyperlink r:id="rId267" location="'Club Colours'!A90" ref="L73"/>
    <hyperlink r:id="rId268" ref="P73"/>
    <hyperlink r:id="rId269" location="'Sources'!A12" ref="J74"/>
    <hyperlink r:id="rId270" ref="K74"/>
    <hyperlink r:id="rId271" location="'Club Colours'!A92" ref="L74"/>
    <hyperlink r:id="rId272" ref="P74"/>
    <hyperlink r:id="rId273" location="'Sources'!A12" ref="J75"/>
    <hyperlink r:id="rId274" ref="K75"/>
    <hyperlink r:id="rId275" location="'Club Colours'!A109" ref="L75"/>
    <hyperlink r:id="rId276" ref="P75"/>
    <hyperlink r:id="rId277" location="'Sources'!A12" ref="J76"/>
    <hyperlink r:id="rId278" ref="K76"/>
    <hyperlink r:id="rId279" location="'Club Colours'!A112" ref="L76"/>
    <hyperlink r:id="rId280" ref="P76"/>
    <hyperlink r:id="rId281" location="'Sources'!A12" ref="J77"/>
    <hyperlink r:id="rId282" ref="K77"/>
    <hyperlink r:id="rId283" location="'Club Colours'!A113" ref="L77"/>
    <hyperlink r:id="rId284" ref="P77"/>
    <hyperlink r:id="rId285" location="'Sources'!A12" ref="J78"/>
    <hyperlink r:id="rId286" ref="K78"/>
    <hyperlink r:id="rId287" location="'Club Colours'!A114" ref="N78"/>
    <hyperlink r:id="rId288" location="'Sources'!A12" ref="J79"/>
    <hyperlink r:id="rId289" ref="K79"/>
    <hyperlink r:id="rId290" location="'Club Colours'!A128" ref="L79"/>
    <hyperlink r:id="rId291" ref="P79"/>
    <hyperlink r:id="rId292" location="'Sources'!A12" ref="J80"/>
    <hyperlink r:id="rId293" ref="K80"/>
    <hyperlink r:id="rId294" location="'Club Colours'!A132" ref="L80"/>
    <hyperlink r:id="rId295" ref="P80"/>
    <hyperlink r:id="rId296" location="'Sources'!A12" ref="J81"/>
    <hyperlink r:id="rId297" ref="K81"/>
    <hyperlink r:id="rId298" location="'Club Colours'!A134" ref="L81"/>
    <hyperlink r:id="rId299" ref="P81"/>
    <hyperlink r:id="rId300" location="'Sources'!A12" ref="J82"/>
    <hyperlink r:id="rId301" ref="K82"/>
    <hyperlink r:id="rId302" location="'Club Colours'!A135" ref="L82"/>
    <hyperlink r:id="rId303" ref="P82"/>
    <hyperlink r:id="rId304" location="'Sources'!A12" ref="J83"/>
    <hyperlink r:id="rId305" ref="K83"/>
    <hyperlink r:id="rId306" location="'Club Colours'!A141" ref="L83"/>
    <hyperlink r:id="rId307" ref="P83"/>
    <hyperlink r:id="rId308" location="'Sources'!A12" ref="J84"/>
    <hyperlink r:id="rId309" ref="K84"/>
    <hyperlink r:id="rId310" location="'Club Colours'!A146" ref="L84"/>
    <hyperlink r:id="rId311" ref="P84"/>
    <hyperlink r:id="rId312" location="'Sources'!A12" ref="J85"/>
    <hyperlink r:id="rId313" ref="K85"/>
    <hyperlink r:id="rId314" location="'Club Colours'!A147" ref="L85"/>
    <hyperlink r:id="rId315" ref="P85"/>
    <hyperlink r:id="rId316" location="'Sources'!A12" ref="J86"/>
    <hyperlink r:id="rId317" ref="K86"/>
    <hyperlink r:id="rId318" location="'Club Colours'!A150" ref="L86"/>
    <hyperlink r:id="rId319" ref="P86"/>
    <hyperlink r:id="rId320" location="'Sources'!A12" ref="J87"/>
    <hyperlink r:id="rId321" ref="K87"/>
    <hyperlink r:id="rId322" location="'Club Colours'!A154" ref="L87"/>
    <hyperlink r:id="rId323" ref="P87"/>
    <hyperlink r:id="rId324" location="'Sources'!A12" ref="J88"/>
    <hyperlink r:id="rId325" ref="K88"/>
    <hyperlink r:id="rId326" location="'Club Colours'!A156" ref="L88"/>
    <hyperlink r:id="rId327" ref="P88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328"/>
  <legacyDrawing r:id="rId329"/>
  <tableParts count="1">
    <tablePart r:id="rId33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591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276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9.75" customHeight="1">
      <c r="A7" s="73" t="s">
        <v>553</v>
      </c>
      <c r="B7" s="75" t="s">
        <v>51</v>
      </c>
      <c r="C7" s="73" t="s">
        <v>282</v>
      </c>
      <c r="D7" s="77">
        <v>1.0</v>
      </c>
      <c r="E7" s="77" t="s">
        <v>146</v>
      </c>
      <c r="F7" s="77" t="s">
        <v>148</v>
      </c>
      <c r="G7" s="77" t="s">
        <v>149</v>
      </c>
      <c r="H7" s="77" t="s">
        <v>151</v>
      </c>
      <c r="I7" s="75"/>
      <c r="J7" s="81" t="s">
        <v>284</v>
      </c>
      <c r="K7" s="45" t="s">
        <v>285</v>
      </c>
      <c r="L7" s="125" t="s">
        <v>92</v>
      </c>
      <c r="M7" s="86" t="s">
        <v>164</v>
      </c>
      <c r="N7" s="43" t="s">
        <v>55</v>
      </c>
      <c r="O7" s="59" t="s">
        <v>68</v>
      </c>
      <c r="P7" s="45" t="s">
        <v>550</v>
      </c>
      <c r="Q7" s="44" t="s">
        <v>552</v>
      </c>
    </row>
    <row r="8" ht="39.75" customHeight="1">
      <c r="A8" s="94" t="s">
        <v>567</v>
      </c>
      <c r="B8" s="96" t="s">
        <v>51</v>
      </c>
      <c r="C8" s="94" t="s">
        <v>282</v>
      </c>
      <c r="D8" s="97">
        <v>1.0</v>
      </c>
      <c r="E8" s="97" t="s">
        <v>146</v>
      </c>
      <c r="F8" s="97" t="s">
        <v>148</v>
      </c>
      <c r="G8" s="97" t="s">
        <v>149</v>
      </c>
      <c r="H8" s="97" t="s">
        <v>151</v>
      </c>
      <c r="I8" s="96"/>
      <c r="J8" s="100" t="s">
        <v>284</v>
      </c>
      <c r="K8" s="101" t="s">
        <v>285</v>
      </c>
      <c r="L8" s="88" t="s">
        <v>63</v>
      </c>
      <c r="M8" s="62" t="s">
        <v>92</v>
      </c>
      <c r="N8" s="43" t="s">
        <v>55</v>
      </c>
      <c r="O8" s="105" t="s">
        <v>68</v>
      </c>
      <c r="P8" s="101" t="s">
        <v>550</v>
      </c>
      <c r="Q8" s="107" t="s">
        <v>552</v>
      </c>
    </row>
    <row r="9" ht="39.75" customHeight="1">
      <c r="A9" s="73" t="s">
        <v>568</v>
      </c>
      <c r="B9" s="75" t="s">
        <v>51</v>
      </c>
      <c r="C9" s="73" t="s">
        <v>282</v>
      </c>
      <c r="D9" s="77">
        <v>1.0</v>
      </c>
      <c r="E9" s="77" t="s">
        <v>146</v>
      </c>
      <c r="F9" s="77" t="s">
        <v>148</v>
      </c>
      <c r="G9" s="77" t="s">
        <v>149</v>
      </c>
      <c r="H9" s="77" t="s">
        <v>151</v>
      </c>
      <c r="I9" s="75"/>
      <c r="J9" s="81" t="s">
        <v>284</v>
      </c>
      <c r="K9" s="45" t="s">
        <v>285</v>
      </c>
      <c r="L9" s="88" t="s">
        <v>63</v>
      </c>
      <c r="M9" s="62" t="s">
        <v>92</v>
      </c>
      <c r="N9" s="43" t="s">
        <v>55</v>
      </c>
      <c r="O9" s="59" t="s">
        <v>68</v>
      </c>
      <c r="P9" s="45" t="s">
        <v>550</v>
      </c>
      <c r="Q9" s="44" t="s">
        <v>552</v>
      </c>
    </row>
    <row r="10" ht="39.75" customHeight="1">
      <c r="A10" s="94" t="s">
        <v>596</v>
      </c>
      <c r="B10" s="96" t="s">
        <v>51</v>
      </c>
      <c r="C10" s="94" t="s">
        <v>282</v>
      </c>
      <c r="D10" s="97">
        <v>1.0</v>
      </c>
      <c r="E10" s="97" t="s">
        <v>146</v>
      </c>
      <c r="F10" s="97" t="s">
        <v>148</v>
      </c>
      <c r="G10" s="97" t="s">
        <v>149</v>
      </c>
      <c r="H10" s="97" t="s">
        <v>151</v>
      </c>
      <c r="I10" s="96"/>
      <c r="J10" s="100" t="s">
        <v>284</v>
      </c>
      <c r="K10" s="101" t="s">
        <v>285</v>
      </c>
      <c r="L10" s="125" t="s">
        <v>92</v>
      </c>
      <c r="M10" s="50" t="s">
        <v>64</v>
      </c>
      <c r="N10" s="43" t="s">
        <v>55</v>
      </c>
      <c r="O10" s="105" t="s">
        <v>68</v>
      </c>
      <c r="P10" s="101" t="s">
        <v>550</v>
      </c>
      <c r="Q10" s="107" t="s">
        <v>552</v>
      </c>
    </row>
    <row r="11" ht="39.75" customHeight="1">
      <c r="A11" s="73" t="s">
        <v>614</v>
      </c>
      <c r="B11" s="75" t="s">
        <v>51</v>
      </c>
      <c r="C11" s="73" t="s">
        <v>282</v>
      </c>
      <c r="D11" s="77">
        <v>1.0</v>
      </c>
      <c r="E11" s="77" t="s">
        <v>146</v>
      </c>
      <c r="F11" s="77" t="s">
        <v>148</v>
      </c>
      <c r="G11" s="77" t="s">
        <v>149</v>
      </c>
      <c r="H11" s="77" t="s">
        <v>151</v>
      </c>
      <c r="I11" s="75"/>
      <c r="J11" s="81" t="s">
        <v>284</v>
      </c>
      <c r="K11" s="45" t="s">
        <v>285</v>
      </c>
      <c r="L11" s="156" t="s">
        <v>218</v>
      </c>
      <c r="M11" s="50" t="s">
        <v>64</v>
      </c>
      <c r="N11" s="43" t="s">
        <v>55</v>
      </c>
      <c r="O11" s="59" t="s">
        <v>68</v>
      </c>
      <c r="P11" s="45" t="s">
        <v>550</v>
      </c>
      <c r="Q11" s="44" t="s">
        <v>552</v>
      </c>
    </row>
    <row r="12" ht="30.0" customHeight="1">
      <c r="A12" s="94" t="s">
        <v>623</v>
      </c>
      <c r="B12" s="96" t="s">
        <v>51</v>
      </c>
      <c r="C12" s="94" t="s">
        <v>282</v>
      </c>
      <c r="D12" s="97">
        <v>1.0</v>
      </c>
      <c r="E12" s="97" t="s">
        <v>146</v>
      </c>
      <c r="F12" s="97" t="s">
        <v>148</v>
      </c>
      <c r="G12" s="97" t="s">
        <v>149</v>
      </c>
      <c r="H12" s="97" t="s">
        <v>151</v>
      </c>
      <c r="I12" s="96"/>
      <c r="J12" s="100" t="s">
        <v>284</v>
      </c>
      <c r="K12" s="101" t="s">
        <v>285</v>
      </c>
      <c r="L12" s="140" t="s">
        <v>52</v>
      </c>
      <c r="M12" s="62" t="s">
        <v>92</v>
      </c>
      <c r="N12" s="43" t="s">
        <v>55</v>
      </c>
      <c r="O12" s="124" t="s">
        <v>56</v>
      </c>
      <c r="P12" s="101" t="s">
        <v>625</v>
      </c>
      <c r="Q12" s="107"/>
    </row>
    <row r="13" ht="39.75" customHeight="1">
      <c r="A13" s="73" t="s">
        <v>626</v>
      </c>
      <c r="B13" s="75" t="s">
        <v>51</v>
      </c>
      <c r="C13" s="73" t="s">
        <v>282</v>
      </c>
      <c r="D13" s="77">
        <v>1.0</v>
      </c>
      <c r="E13" s="77" t="s">
        <v>146</v>
      </c>
      <c r="F13" s="77" t="s">
        <v>148</v>
      </c>
      <c r="G13" s="77" t="s">
        <v>149</v>
      </c>
      <c r="H13" s="77" t="s">
        <v>151</v>
      </c>
      <c r="I13" s="75"/>
      <c r="J13" s="81" t="s">
        <v>284</v>
      </c>
      <c r="K13" s="45" t="s">
        <v>285</v>
      </c>
      <c r="L13" s="88" t="s">
        <v>63</v>
      </c>
      <c r="M13" s="62" t="s">
        <v>92</v>
      </c>
      <c r="N13" s="43" t="s">
        <v>55</v>
      </c>
      <c r="O13" s="59" t="s">
        <v>68</v>
      </c>
      <c r="P13" s="45" t="s">
        <v>550</v>
      </c>
      <c r="Q13" s="44" t="s">
        <v>552</v>
      </c>
    </row>
    <row r="14" ht="39.75" customHeight="1">
      <c r="A14" s="94" t="s">
        <v>627</v>
      </c>
      <c r="B14" s="96" t="s">
        <v>51</v>
      </c>
      <c r="C14" s="94" t="s">
        <v>282</v>
      </c>
      <c r="D14" s="97">
        <v>1.0</v>
      </c>
      <c r="E14" s="97" t="s">
        <v>146</v>
      </c>
      <c r="F14" s="97" t="s">
        <v>148</v>
      </c>
      <c r="G14" s="97" t="s">
        <v>149</v>
      </c>
      <c r="H14" s="97" t="s">
        <v>151</v>
      </c>
      <c r="I14" s="96"/>
      <c r="J14" s="100" t="s">
        <v>284</v>
      </c>
      <c r="K14" s="101" t="s">
        <v>285</v>
      </c>
      <c r="L14" s="125" t="s">
        <v>92</v>
      </c>
      <c r="M14" s="86" t="s">
        <v>164</v>
      </c>
      <c r="N14" s="43" t="s">
        <v>55</v>
      </c>
      <c r="O14" s="105" t="s">
        <v>68</v>
      </c>
      <c r="P14" s="101" t="s">
        <v>550</v>
      </c>
      <c r="Q14" s="107" t="s">
        <v>552</v>
      </c>
    </row>
    <row r="15" ht="39.75" customHeight="1">
      <c r="A15" s="73" t="s">
        <v>631</v>
      </c>
      <c r="B15" s="75" t="s">
        <v>51</v>
      </c>
      <c r="C15" s="73" t="s">
        <v>282</v>
      </c>
      <c r="D15" s="77">
        <v>1.0</v>
      </c>
      <c r="E15" s="77" t="s">
        <v>146</v>
      </c>
      <c r="F15" s="77" t="s">
        <v>148</v>
      </c>
      <c r="G15" s="77" t="s">
        <v>149</v>
      </c>
      <c r="H15" s="77" t="s">
        <v>151</v>
      </c>
      <c r="I15" s="75"/>
      <c r="J15" s="81" t="s">
        <v>284</v>
      </c>
      <c r="K15" s="45" t="s">
        <v>285</v>
      </c>
      <c r="L15" s="137" t="s">
        <v>164</v>
      </c>
      <c r="M15" s="50" t="s">
        <v>64</v>
      </c>
      <c r="N15" s="43" t="s">
        <v>55</v>
      </c>
      <c r="O15" s="59" t="s">
        <v>68</v>
      </c>
      <c r="P15" s="45" t="s">
        <v>550</v>
      </c>
      <c r="Q15" s="44" t="s">
        <v>552</v>
      </c>
    </row>
    <row r="16" ht="39.75" customHeight="1">
      <c r="A16" s="94" t="s">
        <v>636</v>
      </c>
      <c r="B16" s="96" t="s">
        <v>51</v>
      </c>
      <c r="C16" s="94" t="s">
        <v>282</v>
      </c>
      <c r="D16" s="97">
        <v>1.0</v>
      </c>
      <c r="E16" s="97" t="s">
        <v>146</v>
      </c>
      <c r="F16" s="97" t="s">
        <v>148</v>
      </c>
      <c r="G16" s="97" t="s">
        <v>149</v>
      </c>
      <c r="H16" s="97" t="s">
        <v>151</v>
      </c>
      <c r="I16" s="96"/>
      <c r="J16" s="100" t="s">
        <v>284</v>
      </c>
      <c r="K16" s="101" t="s">
        <v>285</v>
      </c>
      <c r="L16" s="126" t="s">
        <v>78</v>
      </c>
      <c r="M16" s="50" t="s">
        <v>64</v>
      </c>
      <c r="N16" s="43" t="s">
        <v>55</v>
      </c>
      <c r="O16" s="105" t="s">
        <v>68</v>
      </c>
      <c r="P16" s="101" t="s">
        <v>550</v>
      </c>
      <c r="Q16" s="107" t="s">
        <v>552</v>
      </c>
    </row>
    <row r="17" ht="39.75" customHeight="1">
      <c r="A17" s="73" t="s">
        <v>641</v>
      </c>
      <c r="B17" s="75" t="s">
        <v>51</v>
      </c>
      <c r="C17" s="73" t="s">
        <v>282</v>
      </c>
      <c r="D17" s="77">
        <v>1.0</v>
      </c>
      <c r="E17" s="77" t="s">
        <v>146</v>
      </c>
      <c r="F17" s="77" t="s">
        <v>148</v>
      </c>
      <c r="G17" s="77" t="s">
        <v>149</v>
      </c>
      <c r="H17" s="77" t="s">
        <v>151</v>
      </c>
      <c r="I17" s="75"/>
      <c r="J17" s="81" t="s">
        <v>284</v>
      </c>
      <c r="K17" s="45" t="s">
        <v>285</v>
      </c>
      <c r="L17" s="140" t="s">
        <v>52</v>
      </c>
      <c r="M17" s="49" t="s">
        <v>63</v>
      </c>
      <c r="N17" s="43" t="s">
        <v>55</v>
      </c>
      <c r="O17" s="59" t="s">
        <v>68</v>
      </c>
      <c r="P17" s="45" t="s">
        <v>550</v>
      </c>
      <c r="Q17" s="44" t="s">
        <v>552</v>
      </c>
    </row>
    <row r="18" ht="39.75" customHeight="1">
      <c r="A18" s="94" t="s">
        <v>647</v>
      </c>
      <c r="B18" s="96" t="s">
        <v>51</v>
      </c>
      <c r="C18" s="94" t="s">
        <v>282</v>
      </c>
      <c r="D18" s="97">
        <v>1.0</v>
      </c>
      <c r="E18" s="97" t="s">
        <v>146</v>
      </c>
      <c r="F18" s="97" t="s">
        <v>148</v>
      </c>
      <c r="G18" s="97" t="s">
        <v>149</v>
      </c>
      <c r="H18" s="97" t="s">
        <v>151</v>
      </c>
      <c r="I18" s="96"/>
      <c r="J18" s="100" t="s">
        <v>284</v>
      </c>
      <c r="K18" s="101" t="s">
        <v>285</v>
      </c>
      <c r="L18" s="88" t="s">
        <v>63</v>
      </c>
      <c r="M18" s="86" t="s">
        <v>164</v>
      </c>
      <c r="N18" s="43" t="s">
        <v>55</v>
      </c>
      <c r="O18" s="105" t="s">
        <v>68</v>
      </c>
      <c r="P18" s="101" t="s">
        <v>550</v>
      </c>
      <c r="Q18" s="107" t="s">
        <v>552</v>
      </c>
    </row>
    <row r="19" ht="39.75" customHeight="1">
      <c r="A19" s="73" t="s">
        <v>650</v>
      </c>
      <c r="B19" s="75" t="s">
        <v>51</v>
      </c>
      <c r="C19" s="73" t="s">
        <v>282</v>
      </c>
      <c r="D19" s="77">
        <v>1.0</v>
      </c>
      <c r="E19" s="77" t="s">
        <v>146</v>
      </c>
      <c r="F19" s="77" t="s">
        <v>148</v>
      </c>
      <c r="G19" s="77" t="s">
        <v>149</v>
      </c>
      <c r="H19" s="77" t="s">
        <v>151</v>
      </c>
      <c r="I19" s="75"/>
      <c r="J19" s="81" t="s">
        <v>284</v>
      </c>
      <c r="K19" s="45" t="s">
        <v>285</v>
      </c>
      <c r="L19" s="88" t="s">
        <v>63</v>
      </c>
      <c r="M19" s="50" t="s">
        <v>64</v>
      </c>
      <c r="N19" s="43" t="s">
        <v>55</v>
      </c>
      <c r="O19" s="59" t="s">
        <v>68</v>
      </c>
      <c r="P19" s="45" t="s">
        <v>550</v>
      </c>
      <c r="Q19" s="44" t="s">
        <v>552</v>
      </c>
    </row>
    <row r="20" ht="39.75" customHeight="1">
      <c r="A20" s="94" t="s">
        <v>652</v>
      </c>
      <c r="B20" s="96" t="s">
        <v>51</v>
      </c>
      <c r="C20" s="94" t="s">
        <v>282</v>
      </c>
      <c r="D20" s="97">
        <v>1.0</v>
      </c>
      <c r="E20" s="97" t="s">
        <v>146</v>
      </c>
      <c r="F20" s="97" t="s">
        <v>148</v>
      </c>
      <c r="G20" s="97" t="s">
        <v>149</v>
      </c>
      <c r="H20" s="97" t="s">
        <v>151</v>
      </c>
      <c r="I20" s="96"/>
      <c r="J20" s="100" t="s">
        <v>284</v>
      </c>
      <c r="K20" s="101" t="s">
        <v>285</v>
      </c>
      <c r="L20" s="126" t="s">
        <v>78</v>
      </c>
      <c r="M20" s="50" t="s">
        <v>64</v>
      </c>
      <c r="N20" s="43" t="s">
        <v>55</v>
      </c>
      <c r="O20" s="105" t="s">
        <v>68</v>
      </c>
      <c r="P20" s="101" t="s">
        <v>550</v>
      </c>
      <c r="Q20" s="107" t="s">
        <v>552</v>
      </c>
    </row>
    <row r="21" ht="39.75" customHeight="1">
      <c r="A21" s="73" t="s">
        <v>655</v>
      </c>
      <c r="B21" s="75" t="s">
        <v>51</v>
      </c>
      <c r="C21" s="73" t="s">
        <v>282</v>
      </c>
      <c r="D21" s="77">
        <v>1.0</v>
      </c>
      <c r="E21" s="77" t="s">
        <v>146</v>
      </c>
      <c r="F21" s="77" t="s">
        <v>148</v>
      </c>
      <c r="G21" s="77" t="s">
        <v>149</v>
      </c>
      <c r="H21" s="77" t="s">
        <v>151</v>
      </c>
      <c r="I21" s="75"/>
      <c r="J21" s="81" t="s">
        <v>284</v>
      </c>
      <c r="K21" s="45" t="s">
        <v>285</v>
      </c>
      <c r="L21" s="140" t="s">
        <v>52</v>
      </c>
      <c r="M21" s="62" t="s">
        <v>92</v>
      </c>
      <c r="N21" s="43" t="s">
        <v>55</v>
      </c>
      <c r="O21" s="59" t="s">
        <v>68</v>
      </c>
      <c r="P21" s="45" t="s">
        <v>550</v>
      </c>
      <c r="Q21" s="44" t="s">
        <v>658</v>
      </c>
    </row>
    <row r="22" ht="39.75" customHeight="1">
      <c r="A22" s="94" t="s">
        <v>659</v>
      </c>
      <c r="B22" s="96" t="s">
        <v>51</v>
      </c>
      <c r="C22" s="94" t="s">
        <v>282</v>
      </c>
      <c r="D22" s="97">
        <v>1.0</v>
      </c>
      <c r="E22" s="97" t="s">
        <v>146</v>
      </c>
      <c r="F22" s="97" t="s">
        <v>148</v>
      </c>
      <c r="G22" s="97" t="s">
        <v>149</v>
      </c>
      <c r="H22" s="97" t="s">
        <v>151</v>
      </c>
      <c r="I22" s="96"/>
      <c r="J22" s="100" t="s">
        <v>284</v>
      </c>
      <c r="K22" s="101" t="s">
        <v>285</v>
      </c>
      <c r="L22" s="163" t="s">
        <v>176</v>
      </c>
      <c r="M22" s="164" t="s">
        <v>196</v>
      </c>
      <c r="N22" s="43" t="s">
        <v>55</v>
      </c>
      <c r="O22" s="105" t="s">
        <v>68</v>
      </c>
      <c r="P22" s="101" t="s">
        <v>550</v>
      </c>
      <c r="Q22" s="107" t="s">
        <v>552</v>
      </c>
    </row>
    <row r="23" ht="30.0" customHeight="1">
      <c r="A23" s="73" t="s">
        <v>661</v>
      </c>
      <c r="B23" s="75" t="s">
        <v>51</v>
      </c>
      <c r="C23" s="73" t="s">
        <v>282</v>
      </c>
      <c r="D23" s="77">
        <v>1.0</v>
      </c>
      <c r="E23" s="77" t="s">
        <v>146</v>
      </c>
      <c r="F23" s="77" t="s">
        <v>148</v>
      </c>
      <c r="G23" s="77" t="s">
        <v>149</v>
      </c>
      <c r="H23" s="77" t="s">
        <v>151</v>
      </c>
      <c r="I23" s="75"/>
      <c r="J23" s="81" t="s">
        <v>284</v>
      </c>
      <c r="K23" s="45" t="s">
        <v>285</v>
      </c>
      <c r="L23" s="137" t="s">
        <v>164</v>
      </c>
      <c r="M23" s="138" t="s">
        <v>199</v>
      </c>
      <c r="N23" s="43" t="s">
        <v>55</v>
      </c>
      <c r="O23" s="115" t="s">
        <v>56</v>
      </c>
      <c r="P23" s="45" t="s">
        <v>665</v>
      </c>
      <c r="Q23" s="44"/>
    </row>
    <row r="24" ht="39.75" customHeight="1">
      <c r="A24" s="94" t="s">
        <v>667</v>
      </c>
      <c r="B24" s="96" t="s">
        <v>51</v>
      </c>
      <c r="C24" s="94" t="s">
        <v>282</v>
      </c>
      <c r="D24" s="97">
        <v>1.0</v>
      </c>
      <c r="E24" s="97" t="s">
        <v>146</v>
      </c>
      <c r="F24" s="97" t="s">
        <v>148</v>
      </c>
      <c r="G24" s="97" t="s">
        <v>149</v>
      </c>
      <c r="H24" s="97" t="s">
        <v>151</v>
      </c>
      <c r="I24" s="96"/>
      <c r="J24" s="100" t="s">
        <v>284</v>
      </c>
      <c r="K24" s="101" t="s">
        <v>285</v>
      </c>
      <c r="L24" s="165" t="s">
        <v>192</v>
      </c>
      <c r="M24" s="50" t="s">
        <v>64</v>
      </c>
      <c r="N24" s="43" t="s">
        <v>55</v>
      </c>
      <c r="O24" s="105" t="s">
        <v>68</v>
      </c>
      <c r="P24" s="101" t="s">
        <v>550</v>
      </c>
      <c r="Q24" s="107" t="s">
        <v>669</v>
      </c>
    </row>
    <row r="25" ht="39.75" customHeight="1">
      <c r="A25" s="73" t="s">
        <v>670</v>
      </c>
      <c r="B25" s="75" t="s">
        <v>51</v>
      </c>
      <c r="C25" s="73" t="s">
        <v>282</v>
      </c>
      <c r="D25" s="77">
        <v>1.0</v>
      </c>
      <c r="E25" s="77" t="s">
        <v>146</v>
      </c>
      <c r="F25" s="77" t="s">
        <v>148</v>
      </c>
      <c r="G25" s="77" t="s">
        <v>149</v>
      </c>
      <c r="H25" s="77" t="s">
        <v>151</v>
      </c>
      <c r="I25" s="75"/>
      <c r="J25" s="81" t="s">
        <v>284</v>
      </c>
      <c r="K25" s="45" t="s">
        <v>285</v>
      </c>
      <c r="L25" s="137" t="s">
        <v>164</v>
      </c>
      <c r="M25" s="50" t="s">
        <v>64</v>
      </c>
      <c r="N25" s="43" t="s">
        <v>55</v>
      </c>
      <c r="O25" s="59" t="s">
        <v>68</v>
      </c>
      <c r="P25" s="45" t="s">
        <v>550</v>
      </c>
      <c r="Q25" s="44" t="s">
        <v>552</v>
      </c>
    </row>
    <row r="26" ht="39.75" customHeight="1">
      <c r="A26" s="94" t="s">
        <v>674</v>
      </c>
      <c r="B26" s="96" t="s">
        <v>51</v>
      </c>
      <c r="C26" s="94" t="s">
        <v>282</v>
      </c>
      <c r="D26" s="97">
        <v>1.0</v>
      </c>
      <c r="E26" s="97" t="s">
        <v>146</v>
      </c>
      <c r="F26" s="97" t="s">
        <v>148</v>
      </c>
      <c r="G26" s="97" t="s">
        <v>149</v>
      </c>
      <c r="H26" s="97" t="s">
        <v>151</v>
      </c>
      <c r="I26" s="96"/>
      <c r="J26" s="100" t="s">
        <v>284</v>
      </c>
      <c r="K26" s="101" t="s">
        <v>285</v>
      </c>
      <c r="L26" s="153" t="s">
        <v>210</v>
      </c>
      <c r="M26" s="138" t="s">
        <v>199</v>
      </c>
      <c r="N26" s="43" t="s">
        <v>55</v>
      </c>
      <c r="O26" s="105" t="s">
        <v>68</v>
      </c>
      <c r="P26" s="101" t="s">
        <v>550</v>
      </c>
      <c r="Q26" s="107" t="s">
        <v>678</v>
      </c>
    </row>
    <row r="27" ht="30.0" customHeight="1">
      <c r="A27" s="73" t="s">
        <v>541</v>
      </c>
      <c r="B27" s="75" t="s">
        <v>51</v>
      </c>
      <c r="C27" s="73" t="s">
        <v>287</v>
      </c>
      <c r="D27" s="77">
        <v>2.0</v>
      </c>
      <c r="E27" s="77" t="s">
        <v>146</v>
      </c>
      <c r="F27" s="77" t="s">
        <v>148</v>
      </c>
      <c r="G27" s="77" t="s">
        <v>149</v>
      </c>
      <c r="H27" s="77" t="s">
        <v>151</v>
      </c>
      <c r="I27" s="75"/>
      <c r="J27" s="81" t="s">
        <v>284</v>
      </c>
      <c r="K27" s="45" t="s">
        <v>285</v>
      </c>
      <c r="L27" s="166" t="s">
        <v>154</v>
      </c>
      <c r="M27" s="149" t="s">
        <v>503</v>
      </c>
      <c r="N27" s="150" t="s">
        <v>35</v>
      </c>
      <c r="O27" s="115" t="s">
        <v>56</v>
      </c>
      <c r="P27" s="45" t="s">
        <v>543</v>
      </c>
      <c r="Q27" s="44" t="s">
        <v>544</v>
      </c>
    </row>
    <row r="28" ht="39.75" customHeight="1">
      <c r="A28" s="94" t="s">
        <v>548</v>
      </c>
      <c r="B28" s="96" t="s">
        <v>51</v>
      </c>
      <c r="C28" s="94" t="s">
        <v>287</v>
      </c>
      <c r="D28" s="97">
        <v>2.0</v>
      </c>
      <c r="E28" s="97" t="s">
        <v>146</v>
      </c>
      <c r="F28" s="97" t="s">
        <v>148</v>
      </c>
      <c r="G28" s="97" t="s">
        <v>149</v>
      </c>
      <c r="H28" s="97" t="s">
        <v>151</v>
      </c>
      <c r="I28" s="96"/>
      <c r="J28" s="100" t="s">
        <v>284</v>
      </c>
      <c r="K28" s="101" t="s">
        <v>285</v>
      </c>
      <c r="L28" s="137" t="s">
        <v>164</v>
      </c>
      <c r="M28" s="50" t="s">
        <v>64</v>
      </c>
      <c r="N28" s="43" t="s">
        <v>55</v>
      </c>
      <c r="O28" s="105" t="s">
        <v>68</v>
      </c>
      <c r="P28" s="101" t="s">
        <v>550</v>
      </c>
      <c r="Q28" s="107" t="s">
        <v>552</v>
      </c>
    </row>
    <row r="29" ht="39.75" customHeight="1">
      <c r="A29" s="73" t="s">
        <v>559</v>
      </c>
      <c r="B29" s="75" t="s">
        <v>51</v>
      </c>
      <c r="C29" s="73" t="s">
        <v>287</v>
      </c>
      <c r="D29" s="77">
        <v>2.0</v>
      </c>
      <c r="E29" s="77" t="s">
        <v>146</v>
      </c>
      <c r="F29" s="77" t="s">
        <v>148</v>
      </c>
      <c r="G29" s="77" t="s">
        <v>149</v>
      </c>
      <c r="H29" s="77" t="s">
        <v>151</v>
      </c>
      <c r="I29" s="75"/>
      <c r="J29" s="81" t="s">
        <v>284</v>
      </c>
      <c r="K29" s="45" t="s">
        <v>285</v>
      </c>
      <c r="L29" s="148" t="s">
        <v>199</v>
      </c>
      <c r="M29" s="50" t="s">
        <v>64</v>
      </c>
      <c r="N29" s="43" t="s">
        <v>55</v>
      </c>
      <c r="O29" s="59" t="s">
        <v>68</v>
      </c>
      <c r="P29" s="45" t="s">
        <v>550</v>
      </c>
      <c r="Q29" s="44" t="s">
        <v>552</v>
      </c>
    </row>
    <row r="30" ht="30.0" customHeight="1">
      <c r="A30" s="94" t="s">
        <v>564</v>
      </c>
      <c r="B30" s="96" t="s">
        <v>51</v>
      </c>
      <c r="C30" s="94" t="s">
        <v>287</v>
      </c>
      <c r="D30" s="97">
        <v>2.0</v>
      </c>
      <c r="E30" s="97" t="s">
        <v>146</v>
      </c>
      <c r="F30" s="97" t="s">
        <v>148</v>
      </c>
      <c r="G30" s="97" t="s">
        <v>149</v>
      </c>
      <c r="H30" s="97" t="s">
        <v>151</v>
      </c>
      <c r="I30" s="96"/>
      <c r="J30" s="100" t="s">
        <v>284</v>
      </c>
      <c r="K30" s="101" t="s">
        <v>285</v>
      </c>
      <c r="L30" s="140" t="s">
        <v>52</v>
      </c>
      <c r="M30" s="49" t="s">
        <v>63</v>
      </c>
      <c r="N30" s="43" t="s">
        <v>55</v>
      </c>
      <c r="O30" s="124" t="s">
        <v>56</v>
      </c>
      <c r="P30" s="101" t="s">
        <v>566</v>
      </c>
      <c r="Q30" s="107"/>
    </row>
    <row r="31" ht="30.0" customHeight="1">
      <c r="A31" s="73" t="s">
        <v>575</v>
      </c>
      <c r="B31" s="75" t="s">
        <v>51</v>
      </c>
      <c r="C31" s="73" t="s">
        <v>287</v>
      </c>
      <c r="D31" s="77">
        <v>2.0</v>
      </c>
      <c r="E31" s="77" t="s">
        <v>146</v>
      </c>
      <c r="F31" s="77" t="s">
        <v>148</v>
      </c>
      <c r="G31" s="77" t="s">
        <v>149</v>
      </c>
      <c r="H31" s="77" t="s">
        <v>151</v>
      </c>
      <c r="I31" s="75"/>
      <c r="J31" s="81" t="s">
        <v>284</v>
      </c>
      <c r="K31" s="45" t="s">
        <v>285</v>
      </c>
      <c r="L31" s="125" t="s">
        <v>92</v>
      </c>
      <c r="M31" s="41" t="s">
        <v>52</v>
      </c>
      <c r="N31" s="43" t="s">
        <v>55</v>
      </c>
      <c r="O31" s="115" t="s">
        <v>56</v>
      </c>
      <c r="P31" s="45" t="s">
        <v>577</v>
      </c>
      <c r="Q31" s="44"/>
    </row>
    <row r="32" ht="30.0" customHeight="1">
      <c r="A32" s="94" t="s">
        <v>585</v>
      </c>
      <c r="B32" s="96" t="s">
        <v>51</v>
      </c>
      <c r="C32" s="94" t="s">
        <v>287</v>
      </c>
      <c r="D32" s="97">
        <v>2.0</v>
      </c>
      <c r="E32" s="97" t="s">
        <v>146</v>
      </c>
      <c r="F32" s="97" t="s">
        <v>148</v>
      </c>
      <c r="G32" s="97" t="s">
        <v>149</v>
      </c>
      <c r="H32" s="97" t="s">
        <v>151</v>
      </c>
      <c r="I32" s="96"/>
      <c r="J32" s="100" t="s">
        <v>284</v>
      </c>
      <c r="K32" s="101" t="s">
        <v>285</v>
      </c>
      <c r="L32" s="140" t="s">
        <v>52</v>
      </c>
      <c r="M32" s="49" t="s">
        <v>63</v>
      </c>
      <c r="N32" s="43" t="s">
        <v>55</v>
      </c>
      <c r="O32" s="124" t="s">
        <v>56</v>
      </c>
      <c r="P32" s="101" t="s">
        <v>587</v>
      </c>
      <c r="Q32" s="107"/>
    </row>
    <row r="33" ht="39.75" customHeight="1">
      <c r="A33" s="73" t="s">
        <v>592</v>
      </c>
      <c r="B33" s="75" t="s">
        <v>51</v>
      </c>
      <c r="C33" s="73" t="s">
        <v>287</v>
      </c>
      <c r="D33" s="77">
        <v>2.0</v>
      </c>
      <c r="E33" s="77" t="s">
        <v>146</v>
      </c>
      <c r="F33" s="77" t="s">
        <v>148</v>
      </c>
      <c r="G33" s="77" t="s">
        <v>149</v>
      </c>
      <c r="H33" s="77" t="s">
        <v>151</v>
      </c>
      <c r="I33" s="75"/>
      <c r="J33" s="81" t="s">
        <v>284</v>
      </c>
      <c r="K33" s="45" t="s">
        <v>285</v>
      </c>
      <c r="L33" s="127" t="s">
        <v>64</v>
      </c>
      <c r="M33" s="86" t="s">
        <v>164</v>
      </c>
      <c r="N33" s="43" t="s">
        <v>55</v>
      </c>
      <c r="O33" s="59" t="s">
        <v>68</v>
      </c>
      <c r="P33" s="45" t="s">
        <v>550</v>
      </c>
      <c r="Q33" s="44" t="s">
        <v>552</v>
      </c>
    </row>
    <row r="34" ht="39.75" customHeight="1">
      <c r="A34" s="94" t="s">
        <v>598</v>
      </c>
      <c r="B34" s="96" t="s">
        <v>51</v>
      </c>
      <c r="C34" s="94" t="s">
        <v>287</v>
      </c>
      <c r="D34" s="97">
        <v>2.0</v>
      </c>
      <c r="E34" s="97" t="s">
        <v>146</v>
      </c>
      <c r="F34" s="97" t="s">
        <v>148</v>
      </c>
      <c r="G34" s="97" t="s">
        <v>149</v>
      </c>
      <c r="H34" s="97" t="s">
        <v>151</v>
      </c>
      <c r="I34" s="96"/>
      <c r="J34" s="100" t="s">
        <v>284</v>
      </c>
      <c r="K34" s="101" t="s">
        <v>285</v>
      </c>
      <c r="L34" s="167" t="s">
        <v>201</v>
      </c>
      <c r="M34" s="49" t="s">
        <v>63</v>
      </c>
      <c r="N34" s="43" t="s">
        <v>55</v>
      </c>
      <c r="O34" s="105" t="s">
        <v>68</v>
      </c>
      <c r="P34" s="101" t="s">
        <v>550</v>
      </c>
      <c r="Q34" s="107" t="s">
        <v>552</v>
      </c>
    </row>
    <row r="35" ht="30.0" customHeight="1">
      <c r="A35" s="73" t="s">
        <v>610</v>
      </c>
      <c r="B35" s="75" t="s">
        <v>51</v>
      </c>
      <c r="C35" s="73" t="s">
        <v>287</v>
      </c>
      <c r="D35" s="77">
        <v>2.0</v>
      </c>
      <c r="E35" s="77" t="s">
        <v>146</v>
      </c>
      <c r="F35" s="77" t="s">
        <v>148</v>
      </c>
      <c r="G35" s="77" t="s">
        <v>149</v>
      </c>
      <c r="H35" s="77" t="s">
        <v>151</v>
      </c>
      <c r="I35" s="75"/>
      <c r="J35" s="81" t="s">
        <v>284</v>
      </c>
      <c r="K35" s="45" t="s">
        <v>285</v>
      </c>
      <c r="L35" s="125" t="s">
        <v>92</v>
      </c>
      <c r="M35" s="50" t="s">
        <v>64</v>
      </c>
      <c r="N35" s="43" t="s">
        <v>55</v>
      </c>
      <c r="O35" s="115" t="s">
        <v>144</v>
      </c>
      <c r="P35" s="45" t="s">
        <v>612</v>
      </c>
      <c r="Q35" s="44" t="s">
        <v>613</v>
      </c>
    </row>
    <row r="36" ht="39.75" customHeight="1">
      <c r="A36" s="94" t="s">
        <v>649</v>
      </c>
      <c r="B36" s="96" t="s">
        <v>51</v>
      </c>
      <c r="C36" s="94" t="s">
        <v>287</v>
      </c>
      <c r="D36" s="97">
        <v>2.0</v>
      </c>
      <c r="E36" s="97" t="s">
        <v>146</v>
      </c>
      <c r="F36" s="97" t="s">
        <v>148</v>
      </c>
      <c r="G36" s="97" t="s">
        <v>149</v>
      </c>
      <c r="H36" s="97" t="s">
        <v>151</v>
      </c>
      <c r="I36" s="96"/>
      <c r="J36" s="100" t="s">
        <v>284</v>
      </c>
      <c r="K36" s="101" t="s">
        <v>285</v>
      </c>
      <c r="L36" s="125" t="s">
        <v>92</v>
      </c>
      <c r="M36" s="41" t="s">
        <v>52</v>
      </c>
      <c r="N36" s="43" t="s">
        <v>55</v>
      </c>
      <c r="O36" s="105" t="s">
        <v>68</v>
      </c>
      <c r="P36" s="101" t="s">
        <v>550</v>
      </c>
      <c r="Q36" s="107" t="s">
        <v>552</v>
      </c>
    </row>
    <row r="37" ht="30.0" customHeight="1">
      <c r="A37" s="73" t="s">
        <v>654</v>
      </c>
      <c r="B37" s="75" t="s">
        <v>51</v>
      </c>
      <c r="C37" s="73" t="s">
        <v>287</v>
      </c>
      <c r="D37" s="77">
        <v>2.0</v>
      </c>
      <c r="E37" s="77" t="s">
        <v>146</v>
      </c>
      <c r="F37" s="77" t="s">
        <v>148</v>
      </c>
      <c r="G37" s="77" t="s">
        <v>149</v>
      </c>
      <c r="H37" s="77" t="s">
        <v>151</v>
      </c>
      <c r="I37" s="75"/>
      <c r="J37" s="81" t="s">
        <v>284</v>
      </c>
      <c r="K37" s="45" t="s">
        <v>285</v>
      </c>
      <c r="L37" s="140" t="s">
        <v>52</v>
      </c>
      <c r="M37" s="62" t="s">
        <v>92</v>
      </c>
      <c r="N37" s="43" t="s">
        <v>55</v>
      </c>
      <c r="O37" s="115" t="s">
        <v>56</v>
      </c>
      <c r="P37" s="45" t="s">
        <v>657</v>
      </c>
      <c r="Q37" s="44"/>
    </row>
    <row r="38" ht="30.0" customHeight="1">
      <c r="A38" s="94" t="s">
        <v>679</v>
      </c>
      <c r="B38" s="96" t="s">
        <v>51</v>
      </c>
      <c r="C38" s="94" t="s">
        <v>287</v>
      </c>
      <c r="D38" s="97">
        <v>2.0</v>
      </c>
      <c r="E38" s="97" t="s">
        <v>146</v>
      </c>
      <c r="F38" s="97" t="s">
        <v>148</v>
      </c>
      <c r="G38" s="97" t="s">
        <v>149</v>
      </c>
      <c r="H38" s="97" t="s">
        <v>151</v>
      </c>
      <c r="I38" s="96"/>
      <c r="J38" s="100" t="s">
        <v>284</v>
      </c>
      <c r="K38" s="101" t="s">
        <v>285</v>
      </c>
      <c r="L38" s="127" t="s">
        <v>64</v>
      </c>
      <c r="M38" s="49" t="s">
        <v>63</v>
      </c>
      <c r="N38" s="43" t="s">
        <v>55</v>
      </c>
      <c r="O38" s="124" t="s">
        <v>56</v>
      </c>
      <c r="P38" s="101" t="s">
        <v>681</v>
      </c>
      <c r="Q38" s="107"/>
    </row>
    <row r="39" ht="39.75" customHeight="1">
      <c r="A39" s="73" t="s">
        <v>682</v>
      </c>
      <c r="B39" s="75" t="s">
        <v>51</v>
      </c>
      <c r="C39" s="73" t="s">
        <v>287</v>
      </c>
      <c r="D39" s="77">
        <v>2.0</v>
      </c>
      <c r="E39" s="77" t="s">
        <v>146</v>
      </c>
      <c r="F39" s="77" t="s">
        <v>148</v>
      </c>
      <c r="G39" s="77" t="s">
        <v>149</v>
      </c>
      <c r="H39" s="77" t="s">
        <v>151</v>
      </c>
      <c r="I39" s="75"/>
      <c r="J39" s="81" t="s">
        <v>284</v>
      </c>
      <c r="K39" s="45" t="s">
        <v>285</v>
      </c>
      <c r="L39" s="140" t="s">
        <v>52</v>
      </c>
      <c r="M39" s="62" t="s">
        <v>92</v>
      </c>
      <c r="N39" s="43" t="s">
        <v>55</v>
      </c>
      <c r="O39" s="59" t="s">
        <v>68</v>
      </c>
      <c r="P39" s="45" t="s">
        <v>550</v>
      </c>
      <c r="Q39" s="44" t="s">
        <v>552</v>
      </c>
    </row>
    <row r="40" ht="39.75" customHeight="1">
      <c r="A40" s="94" t="s">
        <v>697</v>
      </c>
      <c r="B40" s="96" t="s">
        <v>51</v>
      </c>
      <c r="C40" s="94" t="s">
        <v>287</v>
      </c>
      <c r="D40" s="97">
        <v>2.0</v>
      </c>
      <c r="E40" s="97" t="s">
        <v>146</v>
      </c>
      <c r="F40" s="97" t="s">
        <v>148</v>
      </c>
      <c r="G40" s="97" t="s">
        <v>149</v>
      </c>
      <c r="H40" s="97" t="s">
        <v>151</v>
      </c>
      <c r="I40" s="96"/>
      <c r="J40" s="100" t="s">
        <v>284</v>
      </c>
      <c r="K40" s="101" t="s">
        <v>285</v>
      </c>
      <c r="L40" s="127" t="s">
        <v>64</v>
      </c>
      <c r="M40" s="49" t="s">
        <v>63</v>
      </c>
      <c r="N40" s="43" t="s">
        <v>55</v>
      </c>
      <c r="O40" s="105" t="s">
        <v>68</v>
      </c>
      <c r="P40" s="101" t="s">
        <v>550</v>
      </c>
      <c r="Q40" s="107" t="s">
        <v>552</v>
      </c>
    </row>
    <row r="41" ht="39.75" customHeight="1">
      <c r="A41" s="73" t="s">
        <v>698</v>
      </c>
      <c r="B41" s="75" t="s">
        <v>51</v>
      </c>
      <c r="C41" s="73" t="s">
        <v>287</v>
      </c>
      <c r="D41" s="77">
        <v>2.0</v>
      </c>
      <c r="E41" s="77" t="s">
        <v>146</v>
      </c>
      <c r="F41" s="77" t="s">
        <v>148</v>
      </c>
      <c r="G41" s="77" t="s">
        <v>149</v>
      </c>
      <c r="H41" s="77" t="s">
        <v>151</v>
      </c>
      <c r="I41" s="75"/>
      <c r="J41" s="81" t="s">
        <v>284</v>
      </c>
      <c r="K41" s="45" t="s">
        <v>285</v>
      </c>
      <c r="L41" s="168" t="s">
        <v>212</v>
      </c>
      <c r="M41" s="86" t="s">
        <v>164</v>
      </c>
      <c r="N41" s="43" t="s">
        <v>55</v>
      </c>
      <c r="O41" s="59" t="s">
        <v>68</v>
      </c>
      <c r="P41" s="45" t="s">
        <v>550</v>
      </c>
      <c r="Q41" s="44" t="s">
        <v>552</v>
      </c>
    </row>
    <row r="42" ht="39.75" customHeight="1">
      <c r="A42" s="94" t="s">
        <v>718</v>
      </c>
      <c r="B42" s="96" t="s">
        <v>51</v>
      </c>
      <c r="C42" s="94" t="s">
        <v>287</v>
      </c>
      <c r="D42" s="97">
        <v>2.0</v>
      </c>
      <c r="E42" s="97" t="s">
        <v>146</v>
      </c>
      <c r="F42" s="97" t="s">
        <v>148</v>
      </c>
      <c r="G42" s="97" t="s">
        <v>149</v>
      </c>
      <c r="H42" s="97" t="s">
        <v>151</v>
      </c>
      <c r="I42" s="96"/>
      <c r="J42" s="100" t="s">
        <v>284</v>
      </c>
      <c r="K42" s="101" t="s">
        <v>285</v>
      </c>
      <c r="L42" s="137" t="s">
        <v>164</v>
      </c>
      <c r="M42" s="62" t="s">
        <v>92</v>
      </c>
      <c r="N42" s="43" t="s">
        <v>55</v>
      </c>
      <c r="O42" s="105" t="s">
        <v>68</v>
      </c>
      <c r="P42" s="101" t="s">
        <v>550</v>
      </c>
      <c r="Q42" s="107" t="s">
        <v>552</v>
      </c>
    </row>
    <row r="43" ht="39.75" customHeight="1">
      <c r="A43" s="73" t="s">
        <v>732</v>
      </c>
      <c r="B43" s="75" t="s">
        <v>51</v>
      </c>
      <c r="C43" s="73" t="s">
        <v>287</v>
      </c>
      <c r="D43" s="77">
        <v>2.0</v>
      </c>
      <c r="E43" s="77" t="s">
        <v>146</v>
      </c>
      <c r="F43" s="77" t="s">
        <v>148</v>
      </c>
      <c r="G43" s="77" t="s">
        <v>149</v>
      </c>
      <c r="H43" s="77" t="s">
        <v>151</v>
      </c>
      <c r="I43" s="75"/>
      <c r="J43" s="81" t="s">
        <v>284</v>
      </c>
      <c r="K43" s="45" t="s">
        <v>285</v>
      </c>
      <c r="L43" s="125" t="s">
        <v>92</v>
      </c>
      <c r="M43" s="50" t="s">
        <v>64</v>
      </c>
      <c r="N43" s="43" t="s">
        <v>55</v>
      </c>
      <c r="O43" s="59" t="s">
        <v>68</v>
      </c>
      <c r="P43" s="45" t="s">
        <v>550</v>
      </c>
      <c r="Q43" s="44" t="s">
        <v>737</v>
      </c>
    </row>
    <row r="44" ht="30.0" customHeight="1">
      <c r="A44" s="94" t="s">
        <v>738</v>
      </c>
      <c r="B44" s="96" t="s">
        <v>51</v>
      </c>
      <c r="C44" s="94" t="s">
        <v>287</v>
      </c>
      <c r="D44" s="97">
        <v>2.0</v>
      </c>
      <c r="E44" s="97" t="s">
        <v>146</v>
      </c>
      <c r="F44" s="97" t="s">
        <v>148</v>
      </c>
      <c r="G44" s="97" t="s">
        <v>149</v>
      </c>
      <c r="H44" s="97" t="s">
        <v>151</v>
      </c>
      <c r="I44" s="96"/>
      <c r="J44" s="100" t="s">
        <v>284</v>
      </c>
      <c r="K44" s="101" t="s">
        <v>285</v>
      </c>
      <c r="L44" s="127" t="s">
        <v>64</v>
      </c>
      <c r="M44" s="49" t="s">
        <v>63</v>
      </c>
      <c r="N44" s="43" t="s">
        <v>55</v>
      </c>
      <c r="O44" s="124" t="s">
        <v>56</v>
      </c>
      <c r="P44" s="101" t="s">
        <v>770</v>
      </c>
      <c r="Q44" s="107"/>
    </row>
    <row r="45" ht="39.75" customHeight="1">
      <c r="A45" s="73" t="s">
        <v>777</v>
      </c>
      <c r="B45" s="75" t="s">
        <v>51</v>
      </c>
      <c r="C45" s="73" t="s">
        <v>287</v>
      </c>
      <c r="D45" s="77">
        <v>2.0</v>
      </c>
      <c r="E45" s="77" t="s">
        <v>146</v>
      </c>
      <c r="F45" s="77" t="s">
        <v>148</v>
      </c>
      <c r="G45" s="77" t="s">
        <v>149</v>
      </c>
      <c r="H45" s="77" t="s">
        <v>151</v>
      </c>
      <c r="I45" s="75"/>
      <c r="J45" s="81" t="s">
        <v>284</v>
      </c>
      <c r="K45" s="45" t="s">
        <v>285</v>
      </c>
      <c r="L45" s="88" t="s">
        <v>63</v>
      </c>
      <c r="M45" s="50" t="s">
        <v>64</v>
      </c>
      <c r="N45" s="43" t="s">
        <v>55</v>
      </c>
      <c r="O45" s="59" t="s">
        <v>68</v>
      </c>
      <c r="P45" s="45" t="s">
        <v>550</v>
      </c>
      <c r="Q45" s="44" t="s">
        <v>552</v>
      </c>
    </row>
    <row r="46" ht="30.0" customHeight="1">
      <c r="A46" s="94" t="s">
        <v>786</v>
      </c>
      <c r="B46" s="96" t="s">
        <v>51</v>
      </c>
      <c r="C46" s="94" t="s">
        <v>287</v>
      </c>
      <c r="D46" s="97">
        <v>2.0</v>
      </c>
      <c r="E46" s="97" t="s">
        <v>146</v>
      </c>
      <c r="F46" s="97" t="s">
        <v>148</v>
      </c>
      <c r="G46" s="97" t="s">
        <v>149</v>
      </c>
      <c r="H46" s="97" t="s">
        <v>151</v>
      </c>
      <c r="I46" s="96"/>
      <c r="J46" s="100" t="s">
        <v>284</v>
      </c>
      <c r="K46" s="101" t="s">
        <v>285</v>
      </c>
      <c r="L46" s="127" t="s">
        <v>64</v>
      </c>
      <c r="M46" s="57" t="s">
        <v>78</v>
      </c>
      <c r="N46" s="43" t="s">
        <v>55</v>
      </c>
      <c r="O46" s="124" t="s">
        <v>56</v>
      </c>
      <c r="P46" s="101" t="s">
        <v>793</v>
      </c>
      <c r="Q46" s="107"/>
    </row>
    <row r="47" ht="31.5" customHeight="1">
      <c r="A47" s="73" t="s">
        <v>534</v>
      </c>
      <c r="B47" s="75" t="s">
        <v>51</v>
      </c>
      <c r="C47" s="73" t="s">
        <v>288</v>
      </c>
      <c r="D47" s="77">
        <v>3.0</v>
      </c>
      <c r="E47" s="77" t="s">
        <v>798</v>
      </c>
      <c r="F47" s="77" t="s">
        <v>148</v>
      </c>
      <c r="G47" s="77" t="s">
        <v>149</v>
      </c>
      <c r="H47" s="77" t="s">
        <v>151</v>
      </c>
      <c r="I47" s="75"/>
      <c r="J47" s="81" t="s">
        <v>292</v>
      </c>
      <c r="K47" s="45" t="s">
        <v>293</v>
      </c>
      <c r="L47" s="125" t="s">
        <v>92</v>
      </c>
      <c r="M47" s="57" t="s">
        <v>78</v>
      </c>
      <c r="N47" s="43" t="s">
        <v>55</v>
      </c>
      <c r="O47" s="115" t="s">
        <v>56</v>
      </c>
      <c r="P47" s="45" t="s">
        <v>536</v>
      </c>
      <c r="Q47" s="44"/>
    </row>
    <row r="48" ht="31.5" customHeight="1">
      <c r="A48" s="94" t="s">
        <v>537</v>
      </c>
      <c r="B48" s="96" t="s">
        <v>51</v>
      </c>
      <c r="C48" s="94" t="s">
        <v>288</v>
      </c>
      <c r="D48" s="97">
        <v>3.0</v>
      </c>
      <c r="E48" s="97" t="s">
        <v>798</v>
      </c>
      <c r="F48" s="97" t="s">
        <v>148</v>
      </c>
      <c r="G48" s="97" t="s">
        <v>149</v>
      </c>
      <c r="H48" s="97" t="s">
        <v>151</v>
      </c>
      <c r="I48" s="96"/>
      <c r="J48" s="100" t="s">
        <v>292</v>
      </c>
      <c r="K48" s="101" t="s">
        <v>293</v>
      </c>
      <c r="L48" s="153" t="s">
        <v>210</v>
      </c>
      <c r="M48" s="62" t="s">
        <v>92</v>
      </c>
      <c r="N48" s="43" t="s">
        <v>55</v>
      </c>
      <c r="O48" s="124" t="s">
        <v>56</v>
      </c>
      <c r="P48" s="101" t="s">
        <v>539</v>
      </c>
      <c r="Q48" s="107"/>
    </row>
    <row r="49" ht="31.5" customHeight="1">
      <c r="A49" s="73" t="s">
        <v>545</v>
      </c>
      <c r="B49" s="75" t="s">
        <v>51</v>
      </c>
      <c r="C49" s="73" t="s">
        <v>288</v>
      </c>
      <c r="D49" s="77">
        <v>3.0</v>
      </c>
      <c r="E49" s="77" t="s">
        <v>798</v>
      </c>
      <c r="F49" s="77" t="s">
        <v>148</v>
      </c>
      <c r="G49" s="77" t="s">
        <v>149</v>
      </c>
      <c r="H49" s="77" t="s">
        <v>151</v>
      </c>
      <c r="I49" s="75"/>
      <c r="J49" s="81" t="s">
        <v>292</v>
      </c>
      <c r="K49" s="45" t="s">
        <v>293</v>
      </c>
      <c r="L49" s="140" t="s">
        <v>52</v>
      </c>
      <c r="M49" s="57" t="s">
        <v>78</v>
      </c>
      <c r="N49" s="43" t="s">
        <v>55</v>
      </c>
      <c r="O49" s="115" t="s">
        <v>56</v>
      </c>
      <c r="P49" s="45" t="s">
        <v>547</v>
      </c>
      <c r="Q49" s="44"/>
    </row>
    <row r="50" ht="31.5" customHeight="1">
      <c r="A50" s="94" t="s">
        <v>572</v>
      </c>
      <c r="B50" s="96" t="s">
        <v>51</v>
      </c>
      <c r="C50" s="94" t="s">
        <v>288</v>
      </c>
      <c r="D50" s="97">
        <v>3.0</v>
      </c>
      <c r="E50" s="97" t="s">
        <v>798</v>
      </c>
      <c r="F50" s="97" t="s">
        <v>148</v>
      </c>
      <c r="G50" s="97" t="s">
        <v>149</v>
      </c>
      <c r="H50" s="97" t="s">
        <v>151</v>
      </c>
      <c r="I50" s="96"/>
      <c r="J50" s="100" t="s">
        <v>292</v>
      </c>
      <c r="K50" s="101" t="s">
        <v>293</v>
      </c>
      <c r="L50" s="127" t="s">
        <v>64</v>
      </c>
      <c r="M50" s="49" t="s">
        <v>63</v>
      </c>
      <c r="N50" s="43" t="s">
        <v>55</v>
      </c>
      <c r="O50" s="124" t="s">
        <v>56</v>
      </c>
      <c r="P50" s="101" t="s">
        <v>574</v>
      </c>
      <c r="Q50" s="107"/>
    </row>
    <row r="51" ht="31.5" customHeight="1">
      <c r="A51" s="73" t="s">
        <v>593</v>
      </c>
      <c r="B51" s="75" t="s">
        <v>51</v>
      </c>
      <c r="C51" s="73" t="s">
        <v>288</v>
      </c>
      <c r="D51" s="77">
        <v>3.0</v>
      </c>
      <c r="E51" s="77" t="s">
        <v>798</v>
      </c>
      <c r="F51" s="77" t="s">
        <v>148</v>
      </c>
      <c r="G51" s="77" t="s">
        <v>149</v>
      </c>
      <c r="H51" s="77" t="s">
        <v>151</v>
      </c>
      <c r="I51" s="75"/>
      <c r="J51" s="81" t="s">
        <v>292</v>
      </c>
      <c r="K51" s="45" t="s">
        <v>293</v>
      </c>
      <c r="L51" s="165" t="s">
        <v>192</v>
      </c>
      <c r="M51" s="149" t="s">
        <v>503</v>
      </c>
      <c r="N51" s="150" t="s">
        <v>35</v>
      </c>
      <c r="O51" s="115" t="s">
        <v>56</v>
      </c>
      <c r="P51" s="45" t="s">
        <v>595</v>
      </c>
      <c r="Q51" s="44" t="s">
        <v>544</v>
      </c>
    </row>
    <row r="52" ht="31.5" customHeight="1">
      <c r="A52" s="94" t="s">
        <v>602</v>
      </c>
      <c r="B52" s="96" t="s">
        <v>51</v>
      </c>
      <c r="C52" s="94" t="s">
        <v>288</v>
      </c>
      <c r="D52" s="97">
        <v>3.0</v>
      </c>
      <c r="E52" s="97" t="s">
        <v>798</v>
      </c>
      <c r="F52" s="97" t="s">
        <v>148</v>
      </c>
      <c r="G52" s="97" t="s">
        <v>149</v>
      </c>
      <c r="H52" s="97" t="s">
        <v>151</v>
      </c>
      <c r="I52" s="96"/>
      <c r="J52" s="100" t="s">
        <v>292</v>
      </c>
      <c r="K52" s="101" t="s">
        <v>293</v>
      </c>
      <c r="L52" s="125" t="s">
        <v>92</v>
      </c>
      <c r="M52" s="50" t="s">
        <v>64</v>
      </c>
      <c r="N52" s="43" t="s">
        <v>55</v>
      </c>
      <c r="O52" s="124" t="s">
        <v>173</v>
      </c>
      <c r="P52" s="101" t="s">
        <v>604</v>
      </c>
      <c r="Q52" s="107" t="s">
        <v>605</v>
      </c>
    </row>
    <row r="53" ht="31.5" customHeight="1">
      <c r="A53" s="73" t="s">
        <v>606</v>
      </c>
      <c r="B53" s="75" t="s">
        <v>51</v>
      </c>
      <c r="C53" s="73" t="s">
        <v>288</v>
      </c>
      <c r="D53" s="77">
        <v>3.0</v>
      </c>
      <c r="E53" s="77" t="s">
        <v>798</v>
      </c>
      <c r="F53" s="77" t="s">
        <v>148</v>
      </c>
      <c r="G53" s="77" t="s">
        <v>149</v>
      </c>
      <c r="H53" s="77" t="s">
        <v>151</v>
      </c>
      <c r="I53" s="75"/>
      <c r="J53" s="81" t="s">
        <v>292</v>
      </c>
      <c r="K53" s="45" t="s">
        <v>293</v>
      </c>
      <c r="L53" s="168" t="s">
        <v>212</v>
      </c>
      <c r="M53" s="138" t="s">
        <v>199</v>
      </c>
      <c r="N53" s="43" t="s">
        <v>55</v>
      </c>
      <c r="O53" s="115" t="s">
        <v>56</v>
      </c>
      <c r="P53" s="45" t="s">
        <v>608</v>
      </c>
      <c r="Q53" s="44" t="s">
        <v>609</v>
      </c>
    </row>
    <row r="54" ht="39.75" customHeight="1">
      <c r="A54" s="94" t="s">
        <v>616</v>
      </c>
      <c r="B54" s="96" t="s">
        <v>51</v>
      </c>
      <c r="C54" s="94" t="s">
        <v>288</v>
      </c>
      <c r="D54" s="97">
        <v>3.0</v>
      </c>
      <c r="E54" s="97" t="s">
        <v>798</v>
      </c>
      <c r="F54" s="97" t="s">
        <v>148</v>
      </c>
      <c r="G54" s="97" t="s">
        <v>149</v>
      </c>
      <c r="H54" s="97" t="s">
        <v>151</v>
      </c>
      <c r="I54" s="96"/>
      <c r="J54" s="100" t="s">
        <v>292</v>
      </c>
      <c r="K54" s="101" t="s">
        <v>293</v>
      </c>
      <c r="L54" s="125" t="s">
        <v>92</v>
      </c>
      <c r="M54" s="144" t="s">
        <v>192</v>
      </c>
      <c r="N54" s="43" t="s">
        <v>55</v>
      </c>
      <c r="O54" s="124" t="s">
        <v>56</v>
      </c>
      <c r="P54" s="101" t="s">
        <v>618</v>
      </c>
      <c r="Q54" s="107" t="s">
        <v>619</v>
      </c>
    </row>
    <row r="55" ht="31.5" customHeight="1">
      <c r="A55" s="73" t="s">
        <v>628</v>
      </c>
      <c r="B55" s="75" t="s">
        <v>51</v>
      </c>
      <c r="C55" s="73" t="s">
        <v>288</v>
      </c>
      <c r="D55" s="77">
        <v>3.0</v>
      </c>
      <c r="E55" s="77" t="s">
        <v>798</v>
      </c>
      <c r="F55" s="77" t="s">
        <v>148</v>
      </c>
      <c r="G55" s="77" t="s">
        <v>149</v>
      </c>
      <c r="H55" s="77" t="s">
        <v>151</v>
      </c>
      <c r="I55" s="75"/>
      <c r="J55" s="81" t="s">
        <v>292</v>
      </c>
      <c r="K55" s="45" t="s">
        <v>293</v>
      </c>
      <c r="L55" s="127" t="s">
        <v>64</v>
      </c>
      <c r="M55" s="62" t="s">
        <v>92</v>
      </c>
      <c r="N55" s="43" t="s">
        <v>55</v>
      </c>
      <c r="O55" s="115" t="s">
        <v>56</v>
      </c>
      <c r="P55" s="45" t="s">
        <v>630</v>
      </c>
      <c r="Q55" s="44" t="s">
        <v>632</v>
      </c>
    </row>
    <row r="56" ht="39.75" customHeight="1">
      <c r="A56" s="94" t="s">
        <v>660</v>
      </c>
      <c r="B56" s="96" t="s">
        <v>51</v>
      </c>
      <c r="C56" s="94" t="s">
        <v>288</v>
      </c>
      <c r="D56" s="97">
        <v>3.0</v>
      </c>
      <c r="E56" s="97" t="s">
        <v>798</v>
      </c>
      <c r="F56" s="97" t="s">
        <v>148</v>
      </c>
      <c r="G56" s="97" t="s">
        <v>149</v>
      </c>
      <c r="H56" s="154" t="s">
        <v>466</v>
      </c>
      <c r="I56" s="96"/>
      <c r="J56" s="100" t="s">
        <v>292</v>
      </c>
      <c r="K56" s="101" t="s">
        <v>293</v>
      </c>
      <c r="L56" s="137" t="s">
        <v>164</v>
      </c>
      <c r="M56" s="50" t="s">
        <v>64</v>
      </c>
      <c r="N56" s="43" t="s">
        <v>55</v>
      </c>
      <c r="O56" s="105" t="s">
        <v>187</v>
      </c>
      <c r="P56" s="101" t="s">
        <v>550</v>
      </c>
      <c r="Q56" s="107" t="s">
        <v>662</v>
      </c>
    </row>
    <row r="57" ht="31.5" customHeight="1">
      <c r="A57" s="73" t="s">
        <v>668</v>
      </c>
      <c r="B57" s="75" t="s">
        <v>51</v>
      </c>
      <c r="C57" s="73" t="s">
        <v>288</v>
      </c>
      <c r="D57" s="77">
        <v>3.0</v>
      </c>
      <c r="E57" s="77" t="s">
        <v>798</v>
      </c>
      <c r="F57" s="77" t="s">
        <v>148</v>
      </c>
      <c r="G57" s="77" t="s">
        <v>149</v>
      </c>
      <c r="H57" s="77" t="s">
        <v>151</v>
      </c>
      <c r="I57" s="75"/>
      <c r="J57" s="81" t="s">
        <v>292</v>
      </c>
      <c r="K57" s="45" t="s">
        <v>293</v>
      </c>
      <c r="L57" s="125" t="s">
        <v>92</v>
      </c>
      <c r="M57" s="57" t="s">
        <v>78</v>
      </c>
      <c r="N57" s="43" t="s">
        <v>55</v>
      </c>
      <c r="O57" s="115" t="s">
        <v>56</v>
      </c>
      <c r="P57" s="45" t="s">
        <v>672</v>
      </c>
      <c r="Q57" s="44"/>
    </row>
    <row r="58" ht="31.5" customHeight="1">
      <c r="A58" s="94" t="s">
        <v>675</v>
      </c>
      <c r="B58" s="96" t="s">
        <v>51</v>
      </c>
      <c r="C58" s="94" t="s">
        <v>288</v>
      </c>
      <c r="D58" s="97">
        <v>3.0</v>
      </c>
      <c r="E58" s="97" t="s">
        <v>798</v>
      </c>
      <c r="F58" s="97" t="s">
        <v>148</v>
      </c>
      <c r="G58" s="97" t="s">
        <v>149</v>
      </c>
      <c r="H58" s="97" t="s">
        <v>151</v>
      </c>
      <c r="I58" s="96"/>
      <c r="J58" s="100" t="s">
        <v>292</v>
      </c>
      <c r="K58" s="101" t="s">
        <v>293</v>
      </c>
      <c r="L58" s="88" t="s">
        <v>63</v>
      </c>
      <c r="M58" s="62" t="s">
        <v>92</v>
      </c>
      <c r="N58" s="43" t="s">
        <v>55</v>
      </c>
      <c r="O58" s="124" t="s">
        <v>56</v>
      </c>
      <c r="P58" s="101" t="s">
        <v>677</v>
      </c>
      <c r="Q58" s="107"/>
    </row>
    <row r="59" ht="31.5" customHeight="1">
      <c r="A59" s="73" t="s">
        <v>686</v>
      </c>
      <c r="B59" s="75" t="s">
        <v>51</v>
      </c>
      <c r="C59" s="73" t="s">
        <v>288</v>
      </c>
      <c r="D59" s="77">
        <v>3.0</v>
      </c>
      <c r="E59" s="77" t="s">
        <v>798</v>
      </c>
      <c r="F59" s="77" t="s">
        <v>148</v>
      </c>
      <c r="G59" s="77" t="s">
        <v>149</v>
      </c>
      <c r="H59" s="77" t="s">
        <v>151</v>
      </c>
      <c r="I59" s="75"/>
      <c r="J59" s="81" t="s">
        <v>292</v>
      </c>
      <c r="K59" s="45" t="s">
        <v>293</v>
      </c>
      <c r="L59" s="125" t="s">
        <v>92</v>
      </c>
      <c r="M59" s="50" t="s">
        <v>64</v>
      </c>
      <c r="N59" s="43" t="s">
        <v>55</v>
      </c>
      <c r="O59" s="115" t="s">
        <v>56</v>
      </c>
      <c r="P59" s="45" t="s">
        <v>688</v>
      </c>
      <c r="Q59" s="44" t="s">
        <v>689</v>
      </c>
    </row>
    <row r="60" ht="31.5" customHeight="1">
      <c r="A60" s="94" t="s">
        <v>690</v>
      </c>
      <c r="B60" s="96" t="s">
        <v>51</v>
      </c>
      <c r="C60" s="94" t="s">
        <v>288</v>
      </c>
      <c r="D60" s="97">
        <v>3.0</v>
      </c>
      <c r="E60" s="97" t="s">
        <v>798</v>
      </c>
      <c r="F60" s="97" t="s">
        <v>148</v>
      </c>
      <c r="G60" s="97" t="s">
        <v>149</v>
      </c>
      <c r="H60" s="97" t="s">
        <v>151</v>
      </c>
      <c r="I60" s="96"/>
      <c r="J60" s="100" t="s">
        <v>292</v>
      </c>
      <c r="K60" s="101" t="s">
        <v>293</v>
      </c>
      <c r="L60" s="153" t="s">
        <v>210</v>
      </c>
      <c r="M60" s="62" t="s">
        <v>92</v>
      </c>
      <c r="N60" s="43" t="s">
        <v>55</v>
      </c>
      <c r="O60" s="124" t="s">
        <v>56</v>
      </c>
      <c r="P60" s="101" t="s">
        <v>692</v>
      </c>
      <c r="Q60" s="107"/>
    </row>
    <row r="61" ht="31.5" customHeight="1">
      <c r="A61" s="73" t="s">
        <v>699</v>
      </c>
      <c r="B61" s="75" t="s">
        <v>51</v>
      </c>
      <c r="C61" s="73" t="s">
        <v>288</v>
      </c>
      <c r="D61" s="77">
        <v>3.0</v>
      </c>
      <c r="E61" s="77" t="s">
        <v>798</v>
      </c>
      <c r="F61" s="77" t="s">
        <v>148</v>
      </c>
      <c r="G61" s="77" t="s">
        <v>149</v>
      </c>
      <c r="H61" s="77" t="s">
        <v>151</v>
      </c>
      <c r="I61" s="75"/>
      <c r="J61" s="81" t="s">
        <v>292</v>
      </c>
      <c r="K61" s="45" t="s">
        <v>293</v>
      </c>
      <c r="L61" s="140" t="s">
        <v>52</v>
      </c>
      <c r="M61" s="62" t="s">
        <v>92</v>
      </c>
      <c r="N61" s="43" t="s">
        <v>55</v>
      </c>
      <c r="O61" s="115" t="s">
        <v>56</v>
      </c>
      <c r="P61" s="45" t="s">
        <v>702</v>
      </c>
      <c r="Q61" s="44"/>
    </row>
    <row r="62" ht="31.5" customHeight="1">
      <c r="A62" s="94" t="s">
        <v>723</v>
      </c>
      <c r="B62" s="96" t="s">
        <v>51</v>
      </c>
      <c r="C62" s="94" t="s">
        <v>288</v>
      </c>
      <c r="D62" s="97">
        <v>3.0</v>
      </c>
      <c r="E62" s="97" t="s">
        <v>798</v>
      </c>
      <c r="F62" s="97" t="s">
        <v>148</v>
      </c>
      <c r="G62" s="97" t="s">
        <v>149</v>
      </c>
      <c r="H62" s="97" t="s">
        <v>151</v>
      </c>
      <c r="I62" s="96"/>
      <c r="J62" s="100" t="s">
        <v>292</v>
      </c>
      <c r="K62" s="101" t="s">
        <v>293</v>
      </c>
      <c r="L62" s="127" t="s">
        <v>64</v>
      </c>
      <c r="M62" s="86" t="s">
        <v>164</v>
      </c>
      <c r="N62" s="43" t="s">
        <v>55</v>
      </c>
      <c r="O62" s="124" t="s">
        <v>144</v>
      </c>
      <c r="P62" s="101" t="s">
        <v>725</v>
      </c>
      <c r="Q62" s="107" t="s">
        <v>726</v>
      </c>
    </row>
    <row r="63" ht="31.5" customHeight="1">
      <c r="A63" s="73" t="s">
        <v>731</v>
      </c>
      <c r="B63" s="75" t="s">
        <v>51</v>
      </c>
      <c r="C63" s="73" t="s">
        <v>288</v>
      </c>
      <c r="D63" s="77">
        <v>3.0</v>
      </c>
      <c r="E63" s="77" t="s">
        <v>798</v>
      </c>
      <c r="F63" s="77" t="s">
        <v>148</v>
      </c>
      <c r="G63" s="77" t="s">
        <v>149</v>
      </c>
      <c r="H63" s="77" t="s">
        <v>151</v>
      </c>
      <c r="I63" s="75"/>
      <c r="J63" s="81" t="s">
        <v>292</v>
      </c>
      <c r="K63" s="45" t="s">
        <v>293</v>
      </c>
      <c r="L63" s="137" t="s">
        <v>164</v>
      </c>
      <c r="M63" s="62" t="s">
        <v>92</v>
      </c>
      <c r="N63" s="43" t="s">
        <v>55</v>
      </c>
      <c r="O63" s="115" t="s">
        <v>56</v>
      </c>
      <c r="P63" s="45" t="s">
        <v>736</v>
      </c>
      <c r="Q63" s="44"/>
    </row>
    <row r="64" ht="31.5" customHeight="1">
      <c r="A64" s="94" t="s">
        <v>782</v>
      </c>
      <c r="B64" s="96" t="s">
        <v>51</v>
      </c>
      <c r="C64" s="94" t="s">
        <v>288</v>
      </c>
      <c r="D64" s="97">
        <v>3.0</v>
      </c>
      <c r="E64" s="97" t="s">
        <v>798</v>
      </c>
      <c r="F64" s="97" t="s">
        <v>148</v>
      </c>
      <c r="G64" s="97" t="s">
        <v>149</v>
      </c>
      <c r="H64" s="97" t="s">
        <v>151</v>
      </c>
      <c r="I64" s="96"/>
      <c r="J64" s="100" t="s">
        <v>292</v>
      </c>
      <c r="K64" s="101" t="s">
        <v>293</v>
      </c>
      <c r="L64" s="140" t="s">
        <v>52</v>
      </c>
      <c r="M64" s="62" t="s">
        <v>92</v>
      </c>
      <c r="N64" s="43" t="s">
        <v>55</v>
      </c>
      <c r="O64" s="124" t="s">
        <v>56</v>
      </c>
      <c r="P64" s="101" t="s">
        <v>785</v>
      </c>
      <c r="Q64" s="107"/>
    </row>
    <row r="65" ht="39.75" customHeight="1">
      <c r="A65" s="73" t="s">
        <v>787</v>
      </c>
      <c r="B65" s="75" t="s">
        <v>51</v>
      </c>
      <c r="C65" s="73" t="s">
        <v>288</v>
      </c>
      <c r="D65" s="77">
        <v>3.0</v>
      </c>
      <c r="E65" s="77" t="s">
        <v>798</v>
      </c>
      <c r="F65" s="77" t="s">
        <v>148</v>
      </c>
      <c r="G65" s="77" t="s">
        <v>149</v>
      </c>
      <c r="H65" s="77" t="s">
        <v>151</v>
      </c>
      <c r="I65" s="75"/>
      <c r="J65" s="81" t="s">
        <v>292</v>
      </c>
      <c r="K65" s="45" t="s">
        <v>293</v>
      </c>
      <c r="L65" s="126" t="s">
        <v>78</v>
      </c>
      <c r="M65" s="50" t="s">
        <v>64</v>
      </c>
      <c r="N65" s="43" t="s">
        <v>55</v>
      </c>
      <c r="O65" s="59" t="s">
        <v>68</v>
      </c>
      <c r="P65" s="45" t="s">
        <v>550</v>
      </c>
      <c r="Q65" s="44" t="s">
        <v>552</v>
      </c>
    </row>
    <row r="66" ht="31.5" customHeight="1">
      <c r="A66" s="94" t="s">
        <v>789</v>
      </c>
      <c r="B66" s="96" t="s">
        <v>51</v>
      </c>
      <c r="C66" s="94" t="s">
        <v>288</v>
      </c>
      <c r="D66" s="97">
        <v>3.0</v>
      </c>
      <c r="E66" s="97" t="s">
        <v>798</v>
      </c>
      <c r="F66" s="97" t="s">
        <v>148</v>
      </c>
      <c r="G66" s="97" t="s">
        <v>149</v>
      </c>
      <c r="H66" s="97" t="s">
        <v>151</v>
      </c>
      <c r="I66" s="96"/>
      <c r="J66" s="100" t="s">
        <v>292</v>
      </c>
      <c r="K66" s="101" t="s">
        <v>293</v>
      </c>
      <c r="L66" s="143" t="s">
        <v>150</v>
      </c>
      <c r="M66" s="50" t="s">
        <v>64</v>
      </c>
      <c r="N66" s="43" t="s">
        <v>55</v>
      </c>
      <c r="O66" s="124" t="s">
        <v>56</v>
      </c>
      <c r="P66" s="101" t="s">
        <v>791</v>
      </c>
      <c r="Q66" s="107" t="s">
        <v>792</v>
      </c>
    </row>
    <row r="67" ht="39.75" customHeight="1">
      <c r="A67" s="73" t="s">
        <v>554</v>
      </c>
      <c r="B67" s="75" t="s">
        <v>51</v>
      </c>
      <c r="C67" s="73" t="s">
        <v>288</v>
      </c>
      <c r="D67" s="77">
        <v>3.0</v>
      </c>
      <c r="E67" s="77" t="s">
        <v>866</v>
      </c>
      <c r="F67" s="77" t="s">
        <v>148</v>
      </c>
      <c r="G67" s="77" t="s">
        <v>149</v>
      </c>
      <c r="H67" s="158" t="s">
        <v>466</v>
      </c>
      <c r="I67" s="75"/>
      <c r="J67" s="81" t="s">
        <v>292</v>
      </c>
      <c r="K67" s="45" t="s">
        <v>293</v>
      </c>
      <c r="L67" s="125" t="s">
        <v>92</v>
      </c>
      <c r="M67" s="86" t="s">
        <v>164</v>
      </c>
      <c r="N67" s="43" t="s">
        <v>55</v>
      </c>
      <c r="O67" s="59" t="s">
        <v>187</v>
      </c>
      <c r="P67" s="45" t="s">
        <v>550</v>
      </c>
      <c r="Q67" s="44" t="s">
        <v>555</v>
      </c>
    </row>
    <row r="68" ht="31.5" customHeight="1">
      <c r="A68" s="94" t="s">
        <v>569</v>
      </c>
      <c r="B68" s="96" t="s">
        <v>51</v>
      </c>
      <c r="C68" s="94" t="s">
        <v>288</v>
      </c>
      <c r="D68" s="97">
        <v>3.0</v>
      </c>
      <c r="E68" s="97" t="s">
        <v>866</v>
      </c>
      <c r="F68" s="97" t="s">
        <v>148</v>
      </c>
      <c r="G68" s="97" t="s">
        <v>149</v>
      </c>
      <c r="H68" s="97" t="s">
        <v>151</v>
      </c>
      <c r="I68" s="96"/>
      <c r="J68" s="100" t="s">
        <v>292</v>
      </c>
      <c r="K68" s="101" t="s">
        <v>293</v>
      </c>
      <c r="L68" s="88" t="s">
        <v>63</v>
      </c>
      <c r="M68" s="62" t="s">
        <v>92</v>
      </c>
      <c r="N68" s="43" t="s">
        <v>55</v>
      </c>
      <c r="O68" s="124" t="s">
        <v>56</v>
      </c>
      <c r="P68" s="101" t="s">
        <v>571</v>
      </c>
      <c r="Q68" s="107"/>
    </row>
    <row r="69" ht="31.5" customHeight="1">
      <c r="A69" s="73" t="s">
        <v>620</v>
      </c>
      <c r="B69" s="75" t="s">
        <v>51</v>
      </c>
      <c r="C69" s="73" t="s">
        <v>288</v>
      </c>
      <c r="D69" s="77">
        <v>3.0</v>
      </c>
      <c r="E69" s="77" t="s">
        <v>866</v>
      </c>
      <c r="F69" s="77" t="s">
        <v>148</v>
      </c>
      <c r="G69" s="77" t="s">
        <v>149</v>
      </c>
      <c r="H69" s="77" t="s">
        <v>151</v>
      </c>
      <c r="I69" s="75"/>
      <c r="J69" s="81" t="s">
        <v>292</v>
      </c>
      <c r="K69" s="45" t="s">
        <v>293</v>
      </c>
      <c r="L69" s="127" t="s">
        <v>64</v>
      </c>
      <c r="M69" s="49" t="s">
        <v>63</v>
      </c>
      <c r="N69" s="43" t="s">
        <v>55</v>
      </c>
      <c r="O69" s="115" t="s">
        <v>56</v>
      </c>
      <c r="P69" s="45" t="s">
        <v>622</v>
      </c>
      <c r="Q69" s="44"/>
    </row>
    <row r="70" ht="31.5" customHeight="1">
      <c r="A70" s="94" t="s">
        <v>637</v>
      </c>
      <c r="B70" s="96" t="s">
        <v>51</v>
      </c>
      <c r="C70" s="94" t="s">
        <v>288</v>
      </c>
      <c r="D70" s="97">
        <v>3.0</v>
      </c>
      <c r="E70" s="97" t="s">
        <v>866</v>
      </c>
      <c r="F70" s="97" t="s">
        <v>148</v>
      </c>
      <c r="G70" s="97" t="s">
        <v>149</v>
      </c>
      <c r="H70" s="97" t="s">
        <v>151</v>
      </c>
      <c r="I70" s="96"/>
      <c r="J70" s="100" t="s">
        <v>292</v>
      </c>
      <c r="K70" s="101" t="s">
        <v>293</v>
      </c>
      <c r="L70" s="127" t="s">
        <v>64</v>
      </c>
      <c r="M70" s="49" t="s">
        <v>63</v>
      </c>
      <c r="N70" s="43" t="s">
        <v>55</v>
      </c>
      <c r="O70" s="124" t="s">
        <v>56</v>
      </c>
      <c r="P70" s="101" t="s">
        <v>639</v>
      </c>
      <c r="Q70" s="107"/>
    </row>
    <row r="71" ht="31.5" customHeight="1">
      <c r="A71" s="73" t="s">
        <v>640</v>
      </c>
      <c r="B71" s="75" t="s">
        <v>51</v>
      </c>
      <c r="C71" s="73" t="s">
        <v>288</v>
      </c>
      <c r="D71" s="77">
        <v>3.0</v>
      </c>
      <c r="E71" s="77" t="s">
        <v>866</v>
      </c>
      <c r="F71" s="77" t="s">
        <v>148</v>
      </c>
      <c r="G71" s="77" t="s">
        <v>149</v>
      </c>
      <c r="H71" s="77" t="s">
        <v>151</v>
      </c>
      <c r="I71" s="75"/>
      <c r="J71" s="81" t="s">
        <v>292</v>
      </c>
      <c r="K71" s="45" t="s">
        <v>293</v>
      </c>
      <c r="L71" s="88" t="s">
        <v>63</v>
      </c>
      <c r="M71" s="62" t="s">
        <v>92</v>
      </c>
      <c r="N71" s="43" t="s">
        <v>55</v>
      </c>
      <c r="O71" s="115" t="s">
        <v>56</v>
      </c>
      <c r="P71" s="45" t="s">
        <v>643</v>
      </c>
      <c r="Q71" s="44"/>
    </row>
    <row r="72" ht="31.5" customHeight="1">
      <c r="A72" s="94" t="s">
        <v>644</v>
      </c>
      <c r="B72" s="96" t="s">
        <v>51</v>
      </c>
      <c r="C72" s="94" t="s">
        <v>288</v>
      </c>
      <c r="D72" s="97">
        <v>3.0</v>
      </c>
      <c r="E72" s="97" t="s">
        <v>866</v>
      </c>
      <c r="F72" s="97" t="s">
        <v>148</v>
      </c>
      <c r="G72" s="97" t="s">
        <v>149</v>
      </c>
      <c r="H72" s="97" t="s">
        <v>151</v>
      </c>
      <c r="I72" s="96"/>
      <c r="J72" s="100" t="s">
        <v>292</v>
      </c>
      <c r="K72" s="101" t="s">
        <v>293</v>
      </c>
      <c r="L72" s="125" t="s">
        <v>92</v>
      </c>
      <c r="M72" s="49" t="s">
        <v>63</v>
      </c>
      <c r="N72" s="43" t="s">
        <v>55</v>
      </c>
      <c r="O72" s="124" t="s">
        <v>56</v>
      </c>
      <c r="P72" s="101" t="s">
        <v>646</v>
      </c>
      <c r="Q72" s="107" t="s">
        <v>648</v>
      </c>
    </row>
    <row r="73" ht="31.5" customHeight="1">
      <c r="A73" s="73" t="s">
        <v>663</v>
      </c>
      <c r="B73" s="75" t="s">
        <v>51</v>
      </c>
      <c r="C73" s="73" t="s">
        <v>288</v>
      </c>
      <c r="D73" s="77">
        <v>3.0</v>
      </c>
      <c r="E73" s="77" t="s">
        <v>866</v>
      </c>
      <c r="F73" s="77" t="s">
        <v>148</v>
      </c>
      <c r="G73" s="77" t="s">
        <v>149</v>
      </c>
      <c r="H73" s="77" t="s">
        <v>151</v>
      </c>
      <c r="I73" s="75"/>
      <c r="J73" s="81" t="s">
        <v>292</v>
      </c>
      <c r="K73" s="45" t="s">
        <v>293</v>
      </c>
      <c r="L73" s="137" t="s">
        <v>164</v>
      </c>
      <c r="M73" s="62" t="s">
        <v>92</v>
      </c>
      <c r="N73" s="43" t="s">
        <v>55</v>
      </c>
      <c r="O73" s="115" t="s">
        <v>56</v>
      </c>
      <c r="P73" s="45" t="s">
        <v>666</v>
      </c>
      <c r="Q73" s="44"/>
    </row>
    <row r="74" ht="39.75" customHeight="1">
      <c r="A74" s="94" t="s">
        <v>673</v>
      </c>
      <c r="B74" s="96" t="s">
        <v>51</v>
      </c>
      <c r="C74" s="94" t="s">
        <v>288</v>
      </c>
      <c r="D74" s="97">
        <v>3.0</v>
      </c>
      <c r="E74" s="97" t="s">
        <v>866</v>
      </c>
      <c r="F74" s="97" t="s">
        <v>148</v>
      </c>
      <c r="G74" s="97" t="s">
        <v>149</v>
      </c>
      <c r="H74" s="97" t="s">
        <v>151</v>
      </c>
      <c r="I74" s="96"/>
      <c r="J74" s="100" t="s">
        <v>292</v>
      </c>
      <c r="K74" s="101" t="s">
        <v>293</v>
      </c>
      <c r="L74" s="166" t="s">
        <v>154</v>
      </c>
      <c r="M74" s="50" t="s">
        <v>64</v>
      </c>
      <c r="N74" s="43" t="s">
        <v>55</v>
      </c>
      <c r="O74" s="105" t="s">
        <v>68</v>
      </c>
      <c r="P74" s="101" t="s">
        <v>550</v>
      </c>
      <c r="Q74" s="107" t="s">
        <v>669</v>
      </c>
    </row>
    <row r="75" ht="31.5" customHeight="1">
      <c r="A75" s="73" t="s">
        <v>693</v>
      </c>
      <c r="B75" s="75" t="s">
        <v>51</v>
      </c>
      <c r="C75" s="73" t="s">
        <v>288</v>
      </c>
      <c r="D75" s="77">
        <v>3.0</v>
      </c>
      <c r="E75" s="77" t="s">
        <v>866</v>
      </c>
      <c r="F75" s="77" t="s">
        <v>148</v>
      </c>
      <c r="G75" s="77" t="s">
        <v>149</v>
      </c>
      <c r="H75" s="77" t="s">
        <v>151</v>
      </c>
      <c r="I75" s="75"/>
      <c r="J75" s="81" t="s">
        <v>292</v>
      </c>
      <c r="K75" s="45" t="s">
        <v>293</v>
      </c>
      <c r="L75" s="156" t="s">
        <v>218</v>
      </c>
      <c r="M75" s="50" t="s">
        <v>64</v>
      </c>
      <c r="N75" s="43" t="s">
        <v>55</v>
      </c>
      <c r="O75" s="115" t="s">
        <v>56</v>
      </c>
      <c r="P75" s="45" t="s">
        <v>696</v>
      </c>
      <c r="Q75" s="44"/>
    </row>
    <row r="76" ht="39.75" customHeight="1">
      <c r="A76" s="94" t="s">
        <v>703</v>
      </c>
      <c r="B76" s="96" t="s">
        <v>51</v>
      </c>
      <c r="C76" s="94" t="s">
        <v>288</v>
      </c>
      <c r="D76" s="97">
        <v>3.0</v>
      </c>
      <c r="E76" s="97" t="s">
        <v>866</v>
      </c>
      <c r="F76" s="97" t="s">
        <v>148</v>
      </c>
      <c r="G76" s="97" t="s">
        <v>149</v>
      </c>
      <c r="H76" s="97" t="s">
        <v>151</v>
      </c>
      <c r="I76" s="96"/>
      <c r="J76" s="100" t="s">
        <v>292</v>
      </c>
      <c r="K76" s="101" t="s">
        <v>293</v>
      </c>
      <c r="L76" s="88" t="s">
        <v>63</v>
      </c>
      <c r="M76" s="50" t="s">
        <v>64</v>
      </c>
      <c r="N76" s="43" t="s">
        <v>55</v>
      </c>
      <c r="O76" s="105" t="s">
        <v>68</v>
      </c>
      <c r="P76" s="101" t="s">
        <v>550</v>
      </c>
      <c r="Q76" s="107" t="s">
        <v>552</v>
      </c>
    </row>
    <row r="77" ht="39.75" customHeight="1">
      <c r="A77" s="73" t="s">
        <v>704</v>
      </c>
      <c r="B77" s="75" t="s">
        <v>51</v>
      </c>
      <c r="C77" s="73" t="s">
        <v>288</v>
      </c>
      <c r="D77" s="77">
        <v>3.0</v>
      </c>
      <c r="E77" s="77" t="s">
        <v>866</v>
      </c>
      <c r="F77" s="77" t="s">
        <v>148</v>
      </c>
      <c r="G77" s="77" t="s">
        <v>149</v>
      </c>
      <c r="H77" s="77" t="s">
        <v>151</v>
      </c>
      <c r="I77" s="75"/>
      <c r="J77" s="81" t="s">
        <v>292</v>
      </c>
      <c r="K77" s="45" t="s">
        <v>293</v>
      </c>
      <c r="L77" s="125" t="s">
        <v>92</v>
      </c>
      <c r="M77" s="50" t="s">
        <v>64</v>
      </c>
      <c r="N77" s="43" t="s">
        <v>55</v>
      </c>
      <c r="O77" s="59" t="s">
        <v>68</v>
      </c>
      <c r="P77" s="45" t="s">
        <v>550</v>
      </c>
      <c r="Q77" s="44" t="s">
        <v>552</v>
      </c>
    </row>
    <row r="78" ht="31.5" customHeight="1">
      <c r="A78" s="94" t="s">
        <v>705</v>
      </c>
      <c r="B78" s="96" t="s">
        <v>51</v>
      </c>
      <c r="C78" s="94" t="s">
        <v>288</v>
      </c>
      <c r="D78" s="97">
        <v>3.0</v>
      </c>
      <c r="E78" s="97" t="s">
        <v>866</v>
      </c>
      <c r="F78" s="97" t="s">
        <v>148</v>
      </c>
      <c r="G78" s="97" t="s">
        <v>149</v>
      </c>
      <c r="H78" s="97" t="s">
        <v>151</v>
      </c>
      <c r="I78" s="96"/>
      <c r="J78" s="100" t="s">
        <v>292</v>
      </c>
      <c r="K78" s="101" t="s">
        <v>293</v>
      </c>
      <c r="L78" s="127" t="s">
        <v>64</v>
      </c>
      <c r="M78" s="86" t="s">
        <v>164</v>
      </c>
      <c r="N78" s="43" t="s">
        <v>55</v>
      </c>
      <c r="O78" s="124" t="s">
        <v>56</v>
      </c>
      <c r="P78" s="101" t="s">
        <v>708</v>
      </c>
      <c r="Q78" s="107"/>
    </row>
    <row r="79" ht="31.5" customHeight="1">
      <c r="A79" s="73" t="s">
        <v>714</v>
      </c>
      <c r="B79" s="75" t="s">
        <v>51</v>
      </c>
      <c r="C79" s="73" t="s">
        <v>288</v>
      </c>
      <c r="D79" s="77">
        <v>3.0</v>
      </c>
      <c r="E79" s="77" t="s">
        <v>866</v>
      </c>
      <c r="F79" s="77" t="s">
        <v>148</v>
      </c>
      <c r="G79" s="77" t="s">
        <v>149</v>
      </c>
      <c r="H79" s="77" t="s">
        <v>151</v>
      </c>
      <c r="I79" s="75"/>
      <c r="J79" s="81" t="s">
        <v>292</v>
      </c>
      <c r="K79" s="45" t="s">
        <v>293</v>
      </c>
      <c r="L79" s="127" t="s">
        <v>64</v>
      </c>
      <c r="M79" s="62" t="s">
        <v>92</v>
      </c>
      <c r="N79" s="43" t="s">
        <v>55</v>
      </c>
      <c r="O79" s="115" t="s">
        <v>56</v>
      </c>
      <c r="P79" s="45" t="s">
        <v>716</v>
      </c>
      <c r="Q79" s="44"/>
    </row>
    <row r="80" ht="39.75" customHeight="1">
      <c r="A80" s="94" t="s">
        <v>728</v>
      </c>
      <c r="B80" s="96" t="s">
        <v>51</v>
      </c>
      <c r="C80" s="94" t="s">
        <v>288</v>
      </c>
      <c r="D80" s="97">
        <v>3.0</v>
      </c>
      <c r="E80" s="97" t="s">
        <v>866</v>
      </c>
      <c r="F80" s="97" t="s">
        <v>148</v>
      </c>
      <c r="G80" s="97" t="s">
        <v>149</v>
      </c>
      <c r="H80" s="97" t="s">
        <v>151</v>
      </c>
      <c r="I80" s="96"/>
      <c r="J80" s="100" t="s">
        <v>292</v>
      </c>
      <c r="K80" s="101" t="s">
        <v>293</v>
      </c>
      <c r="L80" s="140" t="s">
        <v>52</v>
      </c>
      <c r="M80" s="49" t="s">
        <v>63</v>
      </c>
      <c r="N80" s="43" t="s">
        <v>55</v>
      </c>
      <c r="O80" s="105" t="s">
        <v>68</v>
      </c>
      <c r="P80" s="101" t="s">
        <v>550</v>
      </c>
      <c r="Q80" s="107" t="s">
        <v>552</v>
      </c>
    </row>
    <row r="81" ht="39.75" customHeight="1">
      <c r="A81" s="73" t="s">
        <v>729</v>
      </c>
      <c r="B81" s="75" t="s">
        <v>51</v>
      </c>
      <c r="C81" s="73" t="s">
        <v>288</v>
      </c>
      <c r="D81" s="77">
        <v>3.0</v>
      </c>
      <c r="E81" s="77" t="s">
        <v>866</v>
      </c>
      <c r="F81" s="77" t="s">
        <v>148</v>
      </c>
      <c r="G81" s="77" t="s">
        <v>149</v>
      </c>
      <c r="H81" s="77" t="s">
        <v>151</v>
      </c>
      <c r="I81" s="75"/>
      <c r="J81" s="81" t="s">
        <v>292</v>
      </c>
      <c r="K81" s="45" t="s">
        <v>293</v>
      </c>
      <c r="L81" s="165" t="s">
        <v>192</v>
      </c>
      <c r="M81" s="62" t="s">
        <v>92</v>
      </c>
      <c r="N81" s="43" t="s">
        <v>55</v>
      </c>
      <c r="O81" s="59" t="s">
        <v>68</v>
      </c>
      <c r="P81" s="45" t="s">
        <v>550</v>
      </c>
      <c r="Q81" s="44" t="s">
        <v>552</v>
      </c>
    </row>
    <row r="82" ht="31.5" customHeight="1">
      <c r="A82" s="94" t="s">
        <v>744</v>
      </c>
      <c r="B82" s="96" t="s">
        <v>51</v>
      </c>
      <c r="C82" s="94" t="s">
        <v>288</v>
      </c>
      <c r="D82" s="97">
        <v>3.0</v>
      </c>
      <c r="E82" s="97" t="s">
        <v>866</v>
      </c>
      <c r="F82" s="97" t="s">
        <v>148</v>
      </c>
      <c r="G82" s="97" t="s">
        <v>149</v>
      </c>
      <c r="H82" s="97" t="s">
        <v>151</v>
      </c>
      <c r="I82" s="96"/>
      <c r="J82" s="100" t="s">
        <v>292</v>
      </c>
      <c r="K82" s="101" t="s">
        <v>293</v>
      </c>
      <c r="L82" s="88" t="s">
        <v>63</v>
      </c>
      <c r="M82" s="62" t="s">
        <v>92</v>
      </c>
      <c r="N82" s="43" t="s">
        <v>55</v>
      </c>
      <c r="O82" s="124" t="s">
        <v>184</v>
      </c>
      <c r="P82" s="101" t="s">
        <v>747</v>
      </c>
      <c r="Q82" s="107"/>
    </row>
    <row r="83" ht="31.5" customHeight="1">
      <c r="A83" s="73" t="s">
        <v>765</v>
      </c>
      <c r="B83" s="75" t="s">
        <v>51</v>
      </c>
      <c r="C83" s="73" t="s">
        <v>288</v>
      </c>
      <c r="D83" s="77">
        <v>3.0</v>
      </c>
      <c r="E83" s="77" t="s">
        <v>866</v>
      </c>
      <c r="F83" s="77" t="s">
        <v>148</v>
      </c>
      <c r="G83" s="77" t="s">
        <v>149</v>
      </c>
      <c r="H83" s="77" t="s">
        <v>151</v>
      </c>
      <c r="I83" s="75"/>
      <c r="J83" s="81" t="s">
        <v>292</v>
      </c>
      <c r="K83" s="45" t="s">
        <v>293</v>
      </c>
      <c r="L83" s="127" t="s">
        <v>64</v>
      </c>
      <c r="M83" s="86" t="s">
        <v>164</v>
      </c>
      <c r="N83" s="43" t="s">
        <v>55</v>
      </c>
      <c r="O83" s="115" t="s">
        <v>56</v>
      </c>
      <c r="P83" s="45" t="s">
        <v>767</v>
      </c>
      <c r="Q83" s="44"/>
    </row>
    <row r="84" ht="31.5" customHeight="1">
      <c r="A84" s="94" t="s">
        <v>778</v>
      </c>
      <c r="B84" s="96" t="s">
        <v>51</v>
      </c>
      <c r="C84" s="94" t="s">
        <v>288</v>
      </c>
      <c r="D84" s="97">
        <v>3.0</v>
      </c>
      <c r="E84" s="97" t="s">
        <v>866</v>
      </c>
      <c r="F84" s="97" t="s">
        <v>148</v>
      </c>
      <c r="G84" s="97" t="s">
        <v>149</v>
      </c>
      <c r="H84" s="97" t="s">
        <v>151</v>
      </c>
      <c r="I84" s="96"/>
      <c r="J84" s="100" t="s">
        <v>292</v>
      </c>
      <c r="K84" s="101" t="s">
        <v>293</v>
      </c>
      <c r="L84" s="88" t="s">
        <v>63</v>
      </c>
      <c r="M84" s="62" t="s">
        <v>92</v>
      </c>
      <c r="N84" s="43" t="s">
        <v>55</v>
      </c>
      <c r="O84" s="124" t="s">
        <v>56</v>
      </c>
      <c r="P84" s="101" t="s">
        <v>780</v>
      </c>
      <c r="Q84" s="107"/>
    </row>
    <row r="85" ht="31.5" customHeight="1">
      <c r="A85" s="73" t="s">
        <v>794</v>
      </c>
      <c r="B85" s="75" t="s">
        <v>51</v>
      </c>
      <c r="C85" s="73" t="s">
        <v>288</v>
      </c>
      <c r="D85" s="77">
        <v>3.0</v>
      </c>
      <c r="E85" s="77" t="s">
        <v>866</v>
      </c>
      <c r="F85" s="77" t="s">
        <v>148</v>
      </c>
      <c r="G85" s="77" t="s">
        <v>149</v>
      </c>
      <c r="H85" s="77" t="s">
        <v>151</v>
      </c>
      <c r="I85" s="75"/>
      <c r="J85" s="81" t="s">
        <v>292</v>
      </c>
      <c r="K85" s="45" t="s">
        <v>293</v>
      </c>
      <c r="L85" s="88" t="s">
        <v>63</v>
      </c>
      <c r="M85" s="62" t="s">
        <v>92</v>
      </c>
      <c r="N85" s="43" t="s">
        <v>55</v>
      </c>
      <c r="O85" s="115" t="s">
        <v>56</v>
      </c>
      <c r="P85" s="45" t="s">
        <v>796</v>
      </c>
      <c r="Q85" s="44"/>
    </row>
    <row r="86" ht="31.5" customHeight="1">
      <c r="A86" s="94" t="s">
        <v>802</v>
      </c>
      <c r="B86" s="96" t="s">
        <v>51</v>
      </c>
      <c r="C86" s="94" t="s">
        <v>288</v>
      </c>
      <c r="D86" s="97">
        <v>3.0</v>
      </c>
      <c r="E86" s="97" t="s">
        <v>866</v>
      </c>
      <c r="F86" s="97" t="s">
        <v>148</v>
      </c>
      <c r="G86" s="97" t="s">
        <v>149</v>
      </c>
      <c r="H86" s="97" t="s">
        <v>151</v>
      </c>
      <c r="I86" s="96"/>
      <c r="J86" s="100" t="s">
        <v>292</v>
      </c>
      <c r="K86" s="101" t="s">
        <v>293</v>
      </c>
      <c r="L86" s="127" t="s">
        <v>64</v>
      </c>
      <c r="M86" s="49" t="s">
        <v>63</v>
      </c>
      <c r="N86" s="43" t="s">
        <v>55</v>
      </c>
      <c r="O86" s="124" t="s">
        <v>56</v>
      </c>
      <c r="P86" s="101" t="s">
        <v>805</v>
      </c>
      <c r="Q86" s="107"/>
    </row>
    <row r="87" ht="31.5" customHeight="1">
      <c r="A87" s="73" t="s">
        <v>556</v>
      </c>
      <c r="B87" s="75" t="s">
        <v>51</v>
      </c>
      <c r="C87" s="73" t="s">
        <v>288</v>
      </c>
      <c r="D87" s="77">
        <v>3.0</v>
      </c>
      <c r="E87" s="77" t="s">
        <v>939</v>
      </c>
      <c r="F87" s="77" t="s">
        <v>148</v>
      </c>
      <c r="G87" s="77" t="s">
        <v>149</v>
      </c>
      <c r="H87" s="77" t="s">
        <v>151</v>
      </c>
      <c r="I87" s="75"/>
      <c r="J87" s="81" t="s">
        <v>292</v>
      </c>
      <c r="K87" s="45" t="s">
        <v>293</v>
      </c>
      <c r="L87" s="140" t="s">
        <v>52</v>
      </c>
      <c r="M87" s="62" t="s">
        <v>92</v>
      </c>
      <c r="N87" s="43" t="s">
        <v>55</v>
      </c>
      <c r="O87" s="115" t="s">
        <v>56</v>
      </c>
      <c r="P87" s="45" t="s">
        <v>558</v>
      </c>
      <c r="Q87" s="44"/>
    </row>
    <row r="88" ht="39.75" customHeight="1">
      <c r="A88" s="94" t="s">
        <v>560</v>
      </c>
      <c r="B88" s="96" t="s">
        <v>51</v>
      </c>
      <c r="C88" s="94" t="s">
        <v>288</v>
      </c>
      <c r="D88" s="97">
        <v>3.0</v>
      </c>
      <c r="E88" s="97" t="s">
        <v>939</v>
      </c>
      <c r="F88" s="97" t="s">
        <v>148</v>
      </c>
      <c r="G88" s="97" t="s">
        <v>149</v>
      </c>
      <c r="H88" s="97" t="s">
        <v>151</v>
      </c>
      <c r="I88" s="96"/>
      <c r="J88" s="100" t="s">
        <v>292</v>
      </c>
      <c r="K88" s="101" t="s">
        <v>293</v>
      </c>
      <c r="L88" s="127" t="s">
        <v>64</v>
      </c>
      <c r="M88" s="49" t="s">
        <v>63</v>
      </c>
      <c r="N88" s="43" t="s">
        <v>55</v>
      </c>
      <c r="O88" s="105" t="s">
        <v>68</v>
      </c>
      <c r="P88" s="101" t="s">
        <v>550</v>
      </c>
      <c r="Q88" s="107" t="s">
        <v>552</v>
      </c>
    </row>
    <row r="89" ht="31.5" customHeight="1">
      <c r="A89" s="73" t="s">
        <v>561</v>
      </c>
      <c r="B89" s="75" t="s">
        <v>51</v>
      </c>
      <c r="C89" s="73" t="s">
        <v>288</v>
      </c>
      <c r="D89" s="77">
        <v>3.0</v>
      </c>
      <c r="E89" s="77" t="s">
        <v>939</v>
      </c>
      <c r="F89" s="77" t="s">
        <v>148</v>
      </c>
      <c r="G89" s="77" t="s">
        <v>149</v>
      </c>
      <c r="H89" s="77" t="s">
        <v>151</v>
      </c>
      <c r="I89" s="75"/>
      <c r="J89" s="81" t="s">
        <v>292</v>
      </c>
      <c r="K89" s="45" t="s">
        <v>293</v>
      </c>
      <c r="L89" s="127" t="s">
        <v>64</v>
      </c>
      <c r="M89" s="49" t="s">
        <v>63</v>
      </c>
      <c r="N89" s="43" t="s">
        <v>55</v>
      </c>
      <c r="O89" s="115" t="s">
        <v>56</v>
      </c>
      <c r="P89" s="45" t="s">
        <v>563</v>
      </c>
      <c r="Q89" s="44"/>
    </row>
    <row r="90" ht="31.5" customHeight="1">
      <c r="A90" s="94" t="s">
        <v>578</v>
      </c>
      <c r="B90" s="96" t="s">
        <v>51</v>
      </c>
      <c r="C90" s="94" t="s">
        <v>288</v>
      </c>
      <c r="D90" s="97">
        <v>3.0</v>
      </c>
      <c r="E90" s="97" t="s">
        <v>939</v>
      </c>
      <c r="F90" s="97" t="s">
        <v>148</v>
      </c>
      <c r="G90" s="97" t="s">
        <v>149</v>
      </c>
      <c r="H90" s="97" t="s">
        <v>151</v>
      </c>
      <c r="I90" s="96"/>
      <c r="J90" s="100" t="s">
        <v>292</v>
      </c>
      <c r="K90" s="101" t="s">
        <v>293</v>
      </c>
      <c r="L90" s="88" t="s">
        <v>63</v>
      </c>
      <c r="M90" s="62" t="s">
        <v>92</v>
      </c>
      <c r="N90" s="43" t="s">
        <v>55</v>
      </c>
      <c r="O90" s="124" t="s">
        <v>56</v>
      </c>
      <c r="P90" s="101" t="s">
        <v>580</v>
      </c>
      <c r="Q90" s="107"/>
    </row>
    <row r="91" ht="39.75" customHeight="1">
      <c r="A91" s="73" t="s">
        <v>581</v>
      </c>
      <c r="B91" s="75" t="s">
        <v>51</v>
      </c>
      <c r="C91" s="73" t="s">
        <v>288</v>
      </c>
      <c r="D91" s="77">
        <v>3.0</v>
      </c>
      <c r="E91" s="77" t="s">
        <v>939</v>
      </c>
      <c r="F91" s="77" t="s">
        <v>148</v>
      </c>
      <c r="G91" s="77" t="s">
        <v>149</v>
      </c>
      <c r="H91" s="77" t="s">
        <v>151</v>
      </c>
      <c r="I91" s="75"/>
      <c r="J91" s="81" t="s">
        <v>292</v>
      </c>
      <c r="K91" s="45" t="s">
        <v>293</v>
      </c>
      <c r="L91" s="88" t="s">
        <v>63</v>
      </c>
      <c r="M91" s="62" t="s">
        <v>92</v>
      </c>
      <c r="N91" s="43" t="s">
        <v>55</v>
      </c>
      <c r="O91" s="59" t="s">
        <v>68</v>
      </c>
      <c r="P91" s="45" t="s">
        <v>550</v>
      </c>
      <c r="Q91" s="44" t="s">
        <v>552</v>
      </c>
    </row>
    <row r="92" ht="31.5" customHeight="1">
      <c r="A92" s="94" t="s">
        <v>582</v>
      </c>
      <c r="B92" s="96" t="s">
        <v>51</v>
      </c>
      <c r="C92" s="94" t="s">
        <v>288</v>
      </c>
      <c r="D92" s="97">
        <v>3.0</v>
      </c>
      <c r="E92" s="97" t="s">
        <v>939</v>
      </c>
      <c r="F92" s="97" t="s">
        <v>148</v>
      </c>
      <c r="G92" s="97" t="s">
        <v>149</v>
      </c>
      <c r="H92" s="97" t="s">
        <v>151</v>
      </c>
      <c r="I92" s="96"/>
      <c r="J92" s="100" t="s">
        <v>292</v>
      </c>
      <c r="K92" s="101" t="s">
        <v>293</v>
      </c>
      <c r="L92" s="88" t="s">
        <v>63</v>
      </c>
      <c r="M92" s="62" t="s">
        <v>92</v>
      </c>
      <c r="N92" s="43" t="s">
        <v>55</v>
      </c>
      <c r="O92" s="124" t="s">
        <v>56</v>
      </c>
      <c r="P92" s="101" t="s">
        <v>584</v>
      </c>
      <c r="Q92" s="107"/>
    </row>
    <row r="93" ht="31.5" customHeight="1">
      <c r="A93" s="73" t="s">
        <v>588</v>
      </c>
      <c r="B93" s="75" t="s">
        <v>51</v>
      </c>
      <c r="C93" s="73" t="s">
        <v>288</v>
      </c>
      <c r="D93" s="77">
        <v>3.0</v>
      </c>
      <c r="E93" s="77" t="s">
        <v>939</v>
      </c>
      <c r="F93" s="77" t="s">
        <v>148</v>
      </c>
      <c r="G93" s="77" t="s">
        <v>149</v>
      </c>
      <c r="H93" s="77" t="s">
        <v>151</v>
      </c>
      <c r="I93" s="75"/>
      <c r="J93" s="81" t="s">
        <v>292</v>
      </c>
      <c r="K93" s="45" t="s">
        <v>293</v>
      </c>
      <c r="L93" s="143" t="s">
        <v>150</v>
      </c>
      <c r="M93" s="50" t="s">
        <v>64</v>
      </c>
      <c r="N93" s="43" t="s">
        <v>55</v>
      </c>
      <c r="O93" s="115" t="s">
        <v>56</v>
      </c>
      <c r="P93" s="45" t="s">
        <v>590</v>
      </c>
      <c r="Q93" s="44"/>
    </row>
    <row r="94" ht="39.75" customHeight="1">
      <c r="A94" s="94" t="s">
        <v>597</v>
      </c>
      <c r="B94" s="96" t="s">
        <v>51</v>
      </c>
      <c r="C94" s="94" t="s">
        <v>288</v>
      </c>
      <c r="D94" s="97">
        <v>3.0</v>
      </c>
      <c r="E94" s="97" t="s">
        <v>939</v>
      </c>
      <c r="F94" s="97" t="s">
        <v>148</v>
      </c>
      <c r="G94" s="97" t="s">
        <v>149</v>
      </c>
      <c r="H94" s="97" t="s">
        <v>151</v>
      </c>
      <c r="I94" s="96"/>
      <c r="J94" s="100" t="s">
        <v>292</v>
      </c>
      <c r="K94" s="101" t="s">
        <v>293</v>
      </c>
      <c r="L94" s="88" t="s">
        <v>63</v>
      </c>
      <c r="M94" s="62" t="s">
        <v>92</v>
      </c>
      <c r="N94" s="43" t="s">
        <v>55</v>
      </c>
      <c r="O94" s="105" t="s">
        <v>68</v>
      </c>
      <c r="P94" s="101" t="s">
        <v>550</v>
      </c>
      <c r="Q94" s="107" t="s">
        <v>552</v>
      </c>
    </row>
    <row r="95" ht="31.5" customHeight="1">
      <c r="A95" s="73" t="s">
        <v>599</v>
      </c>
      <c r="B95" s="75" t="s">
        <v>51</v>
      </c>
      <c r="C95" s="73" t="s">
        <v>288</v>
      </c>
      <c r="D95" s="77">
        <v>3.0</v>
      </c>
      <c r="E95" s="77" t="s">
        <v>939</v>
      </c>
      <c r="F95" s="77" t="s">
        <v>148</v>
      </c>
      <c r="G95" s="77" t="s">
        <v>149</v>
      </c>
      <c r="H95" s="77" t="s">
        <v>151</v>
      </c>
      <c r="I95" s="75"/>
      <c r="J95" s="81" t="s">
        <v>292</v>
      </c>
      <c r="K95" s="45" t="s">
        <v>293</v>
      </c>
      <c r="L95" s="88" t="s">
        <v>63</v>
      </c>
      <c r="M95" s="62" t="s">
        <v>92</v>
      </c>
      <c r="N95" s="43" t="s">
        <v>55</v>
      </c>
      <c r="O95" s="115" t="s">
        <v>56</v>
      </c>
      <c r="P95" s="45" t="s">
        <v>601</v>
      </c>
      <c r="Q95" s="44"/>
    </row>
    <row r="96" ht="39.75" customHeight="1">
      <c r="A96" s="94" t="s">
        <v>615</v>
      </c>
      <c r="B96" s="96" t="s">
        <v>51</v>
      </c>
      <c r="C96" s="94" t="s">
        <v>288</v>
      </c>
      <c r="D96" s="97">
        <v>3.0</v>
      </c>
      <c r="E96" s="97" t="s">
        <v>939</v>
      </c>
      <c r="F96" s="97" t="s">
        <v>148</v>
      </c>
      <c r="G96" s="97" t="s">
        <v>149</v>
      </c>
      <c r="H96" s="97" t="s">
        <v>151</v>
      </c>
      <c r="I96" s="96"/>
      <c r="J96" s="100" t="s">
        <v>292</v>
      </c>
      <c r="K96" s="101" t="s">
        <v>293</v>
      </c>
      <c r="L96" s="88" t="s">
        <v>63</v>
      </c>
      <c r="M96" s="86" t="s">
        <v>164</v>
      </c>
      <c r="N96" s="43" t="s">
        <v>55</v>
      </c>
      <c r="O96" s="105" t="s">
        <v>68</v>
      </c>
      <c r="P96" s="101" t="s">
        <v>550</v>
      </c>
      <c r="Q96" s="107" t="s">
        <v>552</v>
      </c>
    </row>
    <row r="97" ht="31.5" customHeight="1">
      <c r="A97" s="73" t="s">
        <v>633</v>
      </c>
      <c r="B97" s="75" t="s">
        <v>51</v>
      </c>
      <c r="C97" s="73" t="s">
        <v>288</v>
      </c>
      <c r="D97" s="77">
        <v>3.0</v>
      </c>
      <c r="E97" s="77" t="s">
        <v>939</v>
      </c>
      <c r="F97" s="77" t="s">
        <v>148</v>
      </c>
      <c r="G97" s="77" t="s">
        <v>149</v>
      </c>
      <c r="H97" s="77" t="s">
        <v>151</v>
      </c>
      <c r="I97" s="75"/>
      <c r="J97" s="81" t="s">
        <v>292</v>
      </c>
      <c r="K97" s="45" t="s">
        <v>293</v>
      </c>
      <c r="L97" s="140" t="s">
        <v>52</v>
      </c>
      <c r="M97" s="62" t="s">
        <v>92</v>
      </c>
      <c r="N97" s="43" t="s">
        <v>55</v>
      </c>
      <c r="O97" s="115" t="s">
        <v>56</v>
      </c>
      <c r="P97" s="45" t="s">
        <v>635</v>
      </c>
      <c r="Q97" s="44"/>
    </row>
    <row r="98" ht="39.75" customHeight="1">
      <c r="A98" s="94" t="s">
        <v>651</v>
      </c>
      <c r="B98" s="96" t="s">
        <v>51</v>
      </c>
      <c r="C98" s="94" t="s">
        <v>288</v>
      </c>
      <c r="D98" s="97">
        <v>3.0</v>
      </c>
      <c r="E98" s="97" t="s">
        <v>939</v>
      </c>
      <c r="F98" s="97" t="s">
        <v>148</v>
      </c>
      <c r="G98" s="97" t="s">
        <v>149</v>
      </c>
      <c r="H98" s="154" t="s">
        <v>466</v>
      </c>
      <c r="I98" s="96"/>
      <c r="J98" s="100" t="s">
        <v>292</v>
      </c>
      <c r="K98" s="101" t="s">
        <v>293</v>
      </c>
      <c r="L98" s="125" t="s">
        <v>92</v>
      </c>
      <c r="M98" s="86" t="s">
        <v>164</v>
      </c>
      <c r="N98" s="43" t="s">
        <v>55</v>
      </c>
      <c r="O98" s="105" t="s">
        <v>187</v>
      </c>
      <c r="P98" s="101" t="s">
        <v>550</v>
      </c>
      <c r="Q98" s="107" t="s">
        <v>653</v>
      </c>
    </row>
    <row r="99" ht="31.5" customHeight="1">
      <c r="A99" s="73" t="s">
        <v>683</v>
      </c>
      <c r="B99" s="75" t="s">
        <v>51</v>
      </c>
      <c r="C99" s="73" t="s">
        <v>288</v>
      </c>
      <c r="D99" s="77">
        <v>3.0</v>
      </c>
      <c r="E99" s="77" t="s">
        <v>939</v>
      </c>
      <c r="F99" s="77" t="s">
        <v>148</v>
      </c>
      <c r="G99" s="77" t="s">
        <v>149</v>
      </c>
      <c r="H99" s="77" t="s">
        <v>151</v>
      </c>
      <c r="I99" s="75"/>
      <c r="J99" s="81" t="s">
        <v>292</v>
      </c>
      <c r="K99" s="45" t="s">
        <v>293</v>
      </c>
      <c r="L99" s="127" t="s">
        <v>64</v>
      </c>
      <c r="M99" s="138" t="s">
        <v>199</v>
      </c>
      <c r="N99" s="43" t="s">
        <v>55</v>
      </c>
      <c r="O99" s="115" t="s">
        <v>56</v>
      </c>
      <c r="P99" s="45" t="s">
        <v>685</v>
      </c>
      <c r="Q99" s="44"/>
    </row>
    <row r="100" ht="31.5" customHeight="1">
      <c r="A100" s="94" t="s">
        <v>711</v>
      </c>
      <c r="B100" s="96" t="s">
        <v>51</v>
      </c>
      <c r="C100" s="94" t="s">
        <v>288</v>
      </c>
      <c r="D100" s="97">
        <v>3.0</v>
      </c>
      <c r="E100" s="97" t="s">
        <v>939</v>
      </c>
      <c r="F100" s="97" t="s">
        <v>148</v>
      </c>
      <c r="G100" s="97" t="s">
        <v>149</v>
      </c>
      <c r="H100" s="97" t="s">
        <v>151</v>
      </c>
      <c r="I100" s="96"/>
      <c r="J100" s="100" t="s">
        <v>292</v>
      </c>
      <c r="K100" s="101" t="s">
        <v>293</v>
      </c>
      <c r="L100" s="88" t="s">
        <v>63</v>
      </c>
      <c r="M100" s="62" t="s">
        <v>92</v>
      </c>
      <c r="N100" s="43" t="s">
        <v>55</v>
      </c>
      <c r="O100" s="124" t="s">
        <v>56</v>
      </c>
      <c r="P100" s="101" t="s">
        <v>713</v>
      </c>
      <c r="Q100" s="107"/>
    </row>
    <row r="101" ht="31.5" customHeight="1">
      <c r="A101" s="73" t="s">
        <v>719</v>
      </c>
      <c r="B101" s="75" t="s">
        <v>51</v>
      </c>
      <c r="C101" s="73" t="s">
        <v>288</v>
      </c>
      <c r="D101" s="77">
        <v>3.0</v>
      </c>
      <c r="E101" s="77" t="s">
        <v>939</v>
      </c>
      <c r="F101" s="77" t="s">
        <v>148</v>
      </c>
      <c r="G101" s="77" t="s">
        <v>149</v>
      </c>
      <c r="H101" s="77" t="s">
        <v>151</v>
      </c>
      <c r="I101" s="75"/>
      <c r="J101" s="81" t="s">
        <v>292</v>
      </c>
      <c r="K101" s="45" t="s">
        <v>293</v>
      </c>
      <c r="L101" s="88" t="s">
        <v>63</v>
      </c>
      <c r="M101" s="62" t="s">
        <v>92</v>
      </c>
      <c r="N101" s="43" t="s">
        <v>55</v>
      </c>
      <c r="O101" s="115" t="s">
        <v>56</v>
      </c>
      <c r="P101" s="45" t="s">
        <v>722</v>
      </c>
      <c r="Q101" s="44"/>
    </row>
    <row r="102" ht="31.5" customHeight="1">
      <c r="A102" s="94" t="s">
        <v>740</v>
      </c>
      <c r="B102" s="96" t="s">
        <v>51</v>
      </c>
      <c r="C102" s="94" t="s">
        <v>288</v>
      </c>
      <c r="D102" s="97">
        <v>3.0</v>
      </c>
      <c r="E102" s="97" t="s">
        <v>939</v>
      </c>
      <c r="F102" s="97" t="s">
        <v>148</v>
      </c>
      <c r="G102" s="97" t="s">
        <v>149</v>
      </c>
      <c r="H102" s="97" t="s">
        <v>151</v>
      </c>
      <c r="I102" s="96"/>
      <c r="J102" s="100" t="s">
        <v>292</v>
      </c>
      <c r="K102" s="101" t="s">
        <v>293</v>
      </c>
      <c r="L102" s="165" t="s">
        <v>192</v>
      </c>
      <c r="M102" s="149" t="s">
        <v>503</v>
      </c>
      <c r="N102" s="150" t="s">
        <v>35</v>
      </c>
      <c r="O102" s="124" t="s">
        <v>56</v>
      </c>
      <c r="P102" s="101" t="s">
        <v>742</v>
      </c>
      <c r="Q102" s="107" t="s">
        <v>743</v>
      </c>
    </row>
    <row r="103" ht="31.5" customHeight="1">
      <c r="A103" s="73" t="s">
        <v>751</v>
      </c>
      <c r="B103" s="75" t="s">
        <v>51</v>
      </c>
      <c r="C103" s="73" t="s">
        <v>288</v>
      </c>
      <c r="D103" s="77">
        <v>3.0</v>
      </c>
      <c r="E103" s="77" t="s">
        <v>939</v>
      </c>
      <c r="F103" s="77" t="s">
        <v>148</v>
      </c>
      <c r="G103" s="77" t="s">
        <v>149</v>
      </c>
      <c r="H103" s="77" t="s">
        <v>151</v>
      </c>
      <c r="I103" s="75"/>
      <c r="J103" s="81" t="s">
        <v>292</v>
      </c>
      <c r="K103" s="45" t="s">
        <v>293</v>
      </c>
      <c r="L103" s="127" t="s">
        <v>64</v>
      </c>
      <c r="M103" s="86" t="s">
        <v>164</v>
      </c>
      <c r="N103" s="43" t="s">
        <v>55</v>
      </c>
      <c r="O103" s="115" t="s">
        <v>144</v>
      </c>
      <c r="P103" s="45" t="s">
        <v>755</v>
      </c>
      <c r="Q103" s="44" t="s">
        <v>756</v>
      </c>
    </row>
    <row r="104" ht="31.5" customHeight="1">
      <c r="A104" s="94" t="s">
        <v>757</v>
      </c>
      <c r="B104" s="96" t="s">
        <v>51</v>
      </c>
      <c r="C104" s="94" t="s">
        <v>288</v>
      </c>
      <c r="D104" s="97">
        <v>3.0</v>
      </c>
      <c r="E104" s="97" t="s">
        <v>939</v>
      </c>
      <c r="F104" s="97" t="s">
        <v>148</v>
      </c>
      <c r="G104" s="97" t="s">
        <v>149</v>
      </c>
      <c r="H104" s="97" t="s">
        <v>151</v>
      </c>
      <c r="I104" s="96"/>
      <c r="J104" s="100" t="s">
        <v>292</v>
      </c>
      <c r="K104" s="101" t="s">
        <v>293</v>
      </c>
      <c r="L104" s="140" t="s">
        <v>52</v>
      </c>
      <c r="M104" s="62" t="s">
        <v>92</v>
      </c>
      <c r="N104" s="43" t="s">
        <v>55</v>
      </c>
      <c r="O104" s="124" t="s">
        <v>56</v>
      </c>
      <c r="P104" s="101" t="s">
        <v>759</v>
      </c>
      <c r="Q104" s="107"/>
    </row>
    <row r="105" ht="31.5" customHeight="1">
      <c r="A105" s="73" t="s">
        <v>761</v>
      </c>
      <c r="B105" s="75" t="s">
        <v>51</v>
      </c>
      <c r="C105" s="73" t="s">
        <v>288</v>
      </c>
      <c r="D105" s="77">
        <v>3.0</v>
      </c>
      <c r="E105" s="77" t="s">
        <v>939</v>
      </c>
      <c r="F105" s="77" t="s">
        <v>148</v>
      </c>
      <c r="G105" s="77" t="s">
        <v>149</v>
      </c>
      <c r="H105" s="77" t="s">
        <v>151</v>
      </c>
      <c r="I105" s="75"/>
      <c r="J105" s="81" t="s">
        <v>292</v>
      </c>
      <c r="K105" s="45" t="s">
        <v>293</v>
      </c>
      <c r="L105" s="88" t="s">
        <v>63</v>
      </c>
      <c r="M105" s="86" t="s">
        <v>164</v>
      </c>
      <c r="N105" s="43" t="s">
        <v>55</v>
      </c>
      <c r="O105" s="115" t="s">
        <v>56</v>
      </c>
      <c r="P105" s="45" t="s">
        <v>764</v>
      </c>
      <c r="Q105" s="44"/>
    </row>
    <row r="106" ht="31.5" customHeight="1">
      <c r="A106" s="94" t="s">
        <v>772</v>
      </c>
      <c r="B106" s="96" t="s">
        <v>51</v>
      </c>
      <c r="C106" s="94" t="s">
        <v>288</v>
      </c>
      <c r="D106" s="97">
        <v>3.0</v>
      </c>
      <c r="E106" s="97" t="s">
        <v>939</v>
      </c>
      <c r="F106" s="97" t="s">
        <v>148</v>
      </c>
      <c r="G106" s="97" t="s">
        <v>149</v>
      </c>
      <c r="H106" s="97" t="s">
        <v>151</v>
      </c>
      <c r="I106" s="96"/>
      <c r="J106" s="100" t="s">
        <v>292</v>
      </c>
      <c r="K106" s="101" t="s">
        <v>293</v>
      </c>
      <c r="L106" s="127" t="s">
        <v>64</v>
      </c>
      <c r="M106" s="49" t="s">
        <v>63</v>
      </c>
      <c r="N106" s="43" t="s">
        <v>55</v>
      </c>
      <c r="O106" s="124" t="s">
        <v>56</v>
      </c>
      <c r="P106" s="101" t="s">
        <v>774</v>
      </c>
      <c r="Q106" s="107"/>
    </row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DCC1944-D9E7-4790-9ED3-39C6462169A0}" filter="1" showAutoFilter="1">
      <autoFilter ref="$A$6:$Q$106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13" ref="J7"/>
    <hyperlink r:id="rId5" ref="K7"/>
    <hyperlink r:id="rId6" location="'Club Colours'!A162" ref="L7"/>
    <hyperlink r:id="rId7" ref="P7"/>
    <hyperlink r:id="rId8" location="'Sources'!A13" ref="J8"/>
    <hyperlink r:id="rId9" ref="K8"/>
    <hyperlink r:id="rId10" location="'Club Colours'!A169" ref="L8"/>
    <hyperlink r:id="rId11" ref="P8"/>
    <hyperlink r:id="rId12" location="'Sources'!A13" ref="J9"/>
    <hyperlink r:id="rId13" ref="K9"/>
    <hyperlink r:id="rId14" location="'Club Colours'!A170" ref="L9"/>
    <hyperlink r:id="rId15" ref="P9"/>
    <hyperlink r:id="rId16" location="'Sources'!A13" ref="J10"/>
    <hyperlink r:id="rId17" ref="K10"/>
    <hyperlink r:id="rId18" location="'Club Colours'!A181" ref="L10"/>
    <hyperlink r:id="rId19" ref="P10"/>
    <hyperlink r:id="rId20" location="'Sources'!A13" ref="J11"/>
    <hyperlink r:id="rId21" ref="K11"/>
    <hyperlink r:id="rId22" location="'Club Colours'!A188" ref="L11"/>
    <hyperlink r:id="rId23" ref="P11"/>
    <hyperlink r:id="rId24" location="'Sources'!A13" ref="J12"/>
    <hyperlink r:id="rId25" ref="K12"/>
    <hyperlink r:id="rId26" location="'Club Colours'!A192" ref="L12"/>
    <hyperlink r:id="rId27" ref="P12"/>
    <hyperlink r:id="rId28" location="'Sources'!A13" ref="J13"/>
    <hyperlink r:id="rId29" ref="K13"/>
    <hyperlink r:id="rId30" location="'Club Colours'!A193" ref="L13"/>
    <hyperlink r:id="rId31" ref="P13"/>
    <hyperlink r:id="rId32" location="'Sources'!A13" ref="J14"/>
    <hyperlink r:id="rId33" ref="K14"/>
    <hyperlink r:id="rId34" location="'Club Colours'!A200" ref="L14"/>
    <hyperlink r:id="rId35" ref="P14"/>
    <hyperlink r:id="rId36" location="'Sources'!A13" ref="J15"/>
    <hyperlink r:id="rId37" ref="K15"/>
    <hyperlink r:id="rId38" location="'Club Colours'!A203" ref="L15"/>
    <hyperlink r:id="rId39" ref="P15"/>
    <hyperlink r:id="rId40" location="'Sources'!A13" ref="J16"/>
    <hyperlink r:id="rId41" ref="K16"/>
    <hyperlink r:id="rId42" location="'Club Colours'!A206" ref="L16"/>
    <hyperlink r:id="rId43" ref="P16"/>
    <hyperlink r:id="rId44" location="'Sources'!A13" ref="J17"/>
    <hyperlink r:id="rId45" ref="K17"/>
    <hyperlink r:id="rId46" location="'Club Colours'!A207" ref="L17"/>
    <hyperlink r:id="rId47" ref="P17"/>
    <hyperlink r:id="rId48" location="'Sources'!A13" ref="J18"/>
    <hyperlink r:id="rId49" ref="K18"/>
    <hyperlink r:id="rId50" location="'Club Colours'!A212" ref="L18"/>
    <hyperlink r:id="rId51" ref="P18"/>
    <hyperlink r:id="rId52" location="'Sources'!A13" ref="J19"/>
    <hyperlink r:id="rId53" ref="K19"/>
    <hyperlink r:id="rId54" location="'Club Colours'!A215" ref="L19"/>
    <hyperlink r:id="rId55" ref="P19"/>
    <hyperlink r:id="rId56" location="'Sources'!A13" ref="J20"/>
    <hyperlink r:id="rId57" ref="K20"/>
    <hyperlink r:id="rId58" location="'Club Colours'!A216" ref="L20"/>
    <hyperlink r:id="rId59" ref="P20"/>
    <hyperlink r:id="rId60" location="'Sources'!A13" ref="J21"/>
    <hyperlink r:id="rId61" ref="K21"/>
    <hyperlink r:id="rId62" location="'Club Colours'!A222" ref="L21"/>
    <hyperlink r:id="rId63" ref="P21"/>
    <hyperlink r:id="rId64" location="'Sources'!A13" ref="J22"/>
    <hyperlink r:id="rId65" ref="K22"/>
    <hyperlink r:id="rId66" location="'Club Colours'!A235" ref="L22"/>
    <hyperlink r:id="rId67" ref="P22"/>
    <hyperlink r:id="rId68" location="'Sources'!A13" ref="J23"/>
    <hyperlink r:id="rId69" ref="K23"/>
    <hyperlink r:id="rId70" location="'Club Colours'!A239" ref="L23"/>
    <hyperlink r:id="rId71" ref="P23"/>
    <hyperlink r:id="rId72" location="'Sources'!A13" ref="J24"/>
    <hyperlink r:id="rId73" ref="K24"/>
    <hyperlink r:id="rId74" location="'Club Colours'!A246" ref="L24"/>
    <hyperlink r:id="rId75" ref="P24"/>
    <hyperlink r:id="rId76" location="'Sources'!A13" ref="J25"/>
    <hyperlink r:id="rId77" ref="K25"/>
    <hyperlink r:id="rId78" location="'Club Colours'!A250" ref="L25"/>
    <hyperlink r:id="rId79" ref="P25"/>
    <hyperlink r:id="rId80" location="'Sources'!A13" ref="J26"/>
    <hyperlink r:id="rId81" ref="K26"/>
    <hyperlink r:id="rId82" location="'Club Colours'!A253" ref="L26"/>
    <hyperlink r:id="rId83" ref="P26"/>
    <hyperlink r:id="rId84" location="'Sources'!A13" ref="J27"/>
    <hyperlink r:id="rId85" ref="K27"/>
    <hyperlink r:id="rId86" location="'Club Colours'!A159" ref="L27"/>
    <hyperlink r:id="rId87" ref="P27"/>
    <hyperlink r:id="rId88" location="'Sources'!A13" ref="J28"/>
    <hyperlink r:id="rId89" ref="K28"/>
    <hyperlink r:id="rId90" location="'Club Colours'!A161" ref="L28"/>
    <hyperlink r:id="rId91" ref="P28"/>
    <hyperlink r:id="rId92" location="'Sources'!A13" ref="J29"/>
    <hyperlink r:id="rId93" ref="K29"/>
    <hyperlink r:id="rId94" location="'Club Colours'!A165" ref="L29"/>
    <hyperlink r:id="rId95" ref="P29"/>
    <hyperlink r:id="rId96" location="'Sources'!A13" ref="J30"/>
    <hyperlink r:id="rId97" ref="K30"/>
    <hyperlink r:id="rId98" location="'Club Colours'!A168" ref="L30"/>
    <hyperlink r:id="rId99" ref="P30"/>
    <hyperlink r:id="rId100" location="'Sources'!A13" ref="J31"/>
    <hyperlink r:id="rId101" ref="K31"/>
    <hyperlink r:id="rId102" location="'Club Colours'!A173" ref="L31"/>
    <hyperlink r:id="rId103" ref="P31"/>
    <hyperlink r:id="rId104" location="'Sources'!A13" ref="J32"/>
    <hyperlink r:id="rId105" ref="K32"/>
    <hyperlink r:id="rId106" location="'Club Colours'!A177" ref="L32"/>
    <hyperlink r:id="rId107" ref="P32"/>
    <hyperlink r:id="rId108" location="'Sources'!A13" ref="J33"/>
    <hyperlink r:id="rId109" ref="K33"/>
    <hyperlink r:id="rId110" location="'Club Colours'!A179" ref="L33"/>
    <hyperlink r:id="rId111" ref="P33"/>
    <hyperlink r:id="rId112" location="'Sources'!A13" ref="J34"/>
    <hyperlink r:id="rId113" ref="K34"/>
    <hyperlink r:id="rId114" location="'Club Colours'!A183" ref="L34"/>
    <hyperlink r:id="rId115" ref="P34"/>
    <hyperlink r:id="rId116" location="'Sources'!A13" ref="J35"/>
    <hyperlink r:id="rId117" ref="K35"/>
    <hyperlink r:id="rId118" location="'Club Colours'!A187" ref="L35"/>
    <hyperlink r:id="rId119" ref="P35"/>
    <hyperlink r:id="rId120" location="'Sources'!A13" ref="J36"/>
    <hyperlink r:id="rId121" ref="K36"/>
    <hyperlink r:id="rId122" location="'Club Colours'!A199" ref="L36"/>
    <hyperlink r:id="rId123" ref="P36"/>
    <hyperlink r:id="rId124" location="'Sources'!A13" ref="J37"/>
    <hyperlink r:id="rId125" ref="K37"/>
    <hyperlink r:id="rId126" location="'Club Colours'!A202" ref="L37"/>
    <hyperlink r:id="rId127" ref="P37"/>
    <hyperlink r:id="rId128" location="'Sources'!A13" ref="J38"/>
    <hyperlink r:id="rId129" ref="K38"/>
    <hyperlink r:id="rId130" location="'Club Colours'!A211" ref="L38"/>
    <hyperlink r:id="rId131" ref="P38"/>
    <hyperlink r:id="rId132" location="'Sources'!A13" ref="J39"/>
    <hyperlink r:id="rId133" ref="K39"/>
    <hyperlink r:id="rId134" location="'Club Colours'!A213" ref="L39"/>
    <hyperlink r:id="rId135" ref="P39"/>
    <hyperlink r:id="rId136" location="'Sources'!A13" ref="J40"/>
    <hyperlink r:id="rId137" ref="K40"/>
    <hyperlink r:id="rId138" location="'Club Colours'!A220" ref="L40"/>
    <hyperlink r:id="rId139" ref="P40"/>
    <hyperlink r:id="rId140" location="'Sources'!A13" ref="J41"/>
    <hyperlink r:id="rId141" ref="K41"/>
    <hyperlink r:id="rId142" location="'Club Colours'!A221" ref="L41"/>
    <hyperlink r:id="rId143" ref="P41"/>
    <hyperlink r:id="rId144" location="'Sources'!A13" ref="J42"/>
    <hyperlink r:id="rId145" ref="K42"/>
    <hyperlink r:id="rId146" location="'Club Colours'!A229" ref="L42"/>
    <hyperlink r:id="rId147" ref="P42"/>
    <hyperlink r:id="rId148" location="'Sources'!A13" ref="J43"/>
    <hyperlink r:id="rId149" ref="K43"/>
    <hyperlink r:id="rId150" location="'Club Colours'!A238" ref="L43"/>
    <hyperlink r:id="rId151" ref="P43"/>
    <hyperlink r:id="rId152" location="'Sources'!A13" ref="J44"/>
    <hyperlink r:id="rId153" ref="K44"/>
    <hyperlink r:id="rId154" location="'Club Colours'!A244" ref="L44"/>
    <hyperlink r:id="rId155" ref="P44"/>
    <hyperlink r:id="rId156" location="'Sources'!A13" ref="J45"/>
    <hyperlink r:id="rId157" ref="K45"/>
    <hyperlink r:id="rId158" location="'Club Colours'!A254" ref="L45"/>
    <hyperlink r:id="rId159" ref="P45"/>
    <hyperlink r:id="rId160" location="'Sources'!A13" ref="J46"/>
    <hyperlink r:id="rId161" ref="K46"/>
    <hyperlink r:id="rId162" location="'Club Colours'!A255" ref="L46"/>
    <hyperlink r:id="rId163" ref="P46"/>
    <hyperlink r:id="rId164" location="'Sources'!A14" ref="J47"/>
    <hyperlink r:id="rId165" ref="K47"/>
    <hyperlink r:id="rId166" location="'Club Colours'!A157" ref="L47"/>
    <hyperlink r:id="rId167" ref="P47"/>
    <hyperlink r:id="rId168" location="'Sources'!A14" ref="J48"/>
    <hyperlink r:id="rId169" ref="K48"/>
    <hyperlink r:id="rId170" location="'Club Colours'!A158" ref="L48"/>
    <hyperlink r:id="rId171" ref="P48"/>
    <hyperlink r:id="rId172" location="'Sources'!A14" ref="J49"/>
    <hyperlink r:id="rId173" ref="K49"/>
    <hyperlink r:id="rId174" location="'Club Colours'!A160" ref="L49"/>
    <hyperlink r:id="rId175" ref="P49"/>
    <hyperlink r:id="rId176" location="'Sources'!A14" ref="J50"/>
    <hyperlink r:id="rId177" ref="K50"/>
    <hyperlink r:id="rId178" location="'Club Colours'!A172" ref="L50"/>
    <hyperlink r:id="rId179" ref="P50"/>
    <hyperlink r:id="rId180" location="'Sources'!A14" ref="J51"/>
    <hyperlink r:id="rId181" ref="K51"/>
    <hyperlink r:id="rId182" location="'Club Colours'!A180" ref="L51"/>
    <hyperlink r:id="rId183" ref="P51"/>
    <hyperlink r:id="rId184" location="'Sources'!A14" ref="J52"/>
    <hyperlink r:id="rId185" ref="K52"/>
    <hyperlink r:id="rId186" location="'Club Colours'!A185" ref="L52"/>
    <hyperlink r:id="rId187" ref="P52"/>
    <hyperlink r:id="rId188" location="'Sources'!A14" ref="J53"/>
    <hyperlink r:id="rId189" ref="K53"/>
    <hyperlink r:id="rId190" location="'Club Colours'!A186" ref="L53"/>
    <hyperlink r:id="rId191" ref="P53"/>
    <hyperlink r:id="rId192" location="'Sources'!A14" ref="J54"/>
    <hyperlink r:id="rId193" ref="K54"/>
    <hyperlink r:id="rId194" location="'Club Colours'!A190" ref="L54"/>
    <hyperlink r:id="rId195" ref="P54"/>
    <hyperlink r:id="rId196" location="'Sources'!A14" ref="J55"/>
    <hyperlink r:id="rId197" ref="K55"/>
    <hyperlink r:id="rId198" location="'Club Colours'!A194" ref="L55"/>
    <hyperlink r:id="rId199" ref="P55"/>
    <hyperlink r:id="rId200" location="'Sources'!A14" ref="J56"/>
    <hyperlink r:id="rId201" ref="K56"/>
    <hyperlink r:id="rId202" location="'Club Colours'!A204" ref="L56"/>
    <hyperlink r:id="rId203" ref="P56"/>
    <hyperlink r:id="rId204" location="'Sources'!A14" ref="J57"/>
    <hyperlink r:id="rId205" ref="K57"/>
    <hyperlink r:id="rId206" location="'Club Colours'!A208" ref="L57"/>
    <hyperlink r:id="rId207" ref="P57"/>
    <hyperlink r:id="rId208" location="'Sources'!A14" ref="J58"/>
    <hyperlink r:id="rId209" ref="K58"/>
    <hyperlink r:id="rId210" location="'Club Colours'!A210" ref="L58"/>
    <hyperlink r:id="rId211" ref="P58"/>
    <hyperlink r:id="rId212" location="'Sources'!A14" ref="J59"/>
    <hyperlink r:id="rId213" ref="K59"/>
    <hyperlink r:id="rId214" location="'Club Colours'!A217" ref="L59"/>
    <hyperlink r:id="rId215" ref="P59"/>
    <hyperlink r:id="rId216" location="'Sources'!A14" ref="J60"/>
    <hyperlink r:id="rId217" ref="K60"/>
    <hyperlink r:id="rId218" location="'Club Colours'!A218" ref="L60"/>
    <hyperlink r:id="rId219" ref="P60"/>
    <hyperlink r:id="rId220" location="'Sources'!A14" ref="J61"/>
    <hyperlink r:id="rId221" ref="K61"/>
    <hyperlink r:id="rId222" location="'Club Colours'!A223" ref="L61"/>
    <hyperlink r:id="rId223" ref="P61"/>
    <hyperlink r:id="rId224" location="'Sources'!A14" ref="J62"/>
    <hyperlink r:id="rId225" ref="K62"/>
    <hyperlink r:id="rId226" location="'Club Colours'!A231" ref="L62"/>
    <hyperlink r:id="rId227" ref="P62"/>
    <hyperlink r:id="rId228" location="'Sources'!A14" ref="J63"/>
    <hyperlink r:id="rId229" ref="K63"/>
    <hyperlink r:id="rId230" location="'Club Colours'!A234" ref="L63"/>
    <hyperlink r:id="rId231" ref="P63"/>
    <hyperlink r:id="rId232" location="'Sources'!A14" ref="J64"/>
    <hyperlink r:id="rId233" ref="K64"/>
    <hyperlink r:id="rId234" location="'Club Colours'!A248" ref="L64"/>
    <hyperlink r:id="rId235" ref="P64"/>
    <hyperlink r:id="rId236" location="'Sources'!A14" ref="J65"/>
    <hyperlink r:id="rId237" ref="K65"/>
    <hyperlink r:id="rId238" location="'Club Colours'!A249" ref="L65"/>
    <hyperlink r:id="rId239" ref="P65"/>
    <hyperlink r:id="rId240" location="'Sources'!A14" ref="J66"/>
    <hyperlink r:id="rId241" ref="K66"/>
    <hyperlink r:id="rId242" location="'Club Colours'!A251" ref="L66"/>
    <hyperlink r:id="rId243" ref="P66"/>
    <hyperlink r:id="rId244" location="'Sources'!A14" ref="J67"/>
    <hyperlink r:id="rId245" ref="K67"/>
    <hyperlink r:id="rId246" location="'Club Colours'!A163" ref="L67"/>
    <hyperlink r:id="rId247" ref="P67"/>
    <hyperlink r:id="rId248" location="'Sources'!A14" ref="J68"/>
    <hyperlink r:id="rId249" ref="K68"/>
    <hyperlink r:id="rId250" location="'Club Colours'!A171" ref="L68"/>
    <hyperlink r:id="rId251" ref="P68"/>
    <hyperlink r:id="rId252" location="'Sources'!A14" ref="J69"/>
    <hyperlink r:id="rId253" ref="K69"/>
    <hyperlink r:id="rId254" location="'Club Colours'!A191" ref="L69"/>
    <hyperlink r:id="rId255" ref="P69"/>
    <hyperlink r:id="rId256" location="'Sources'!A14" ref="J70"/>
    <hyperlink r:id="rId257" ref="K70"/>
    <hyperlink r:id="rId258" location="'Club Colours'!A196" ref="L70"/>
    <hyperlink r:id="rId259" ref="P70"/>
    <hyperlink r:id="rId260" location="'Sources'!A14" ref="J71"/>
    <hyperlink r:id="rId261" ref="K71"/>
    <hyperlink r:id="rId262" location="'Club Colours'!A197" ref="L71"/>
    <hyperlink r:id="rId263" ref="P71"/>
    <hyperlink r:id="rId264" location="'Sources'!A14" ref="J72"/>
    <hyperlink r:id="rId265" ref="K72"/>
    <hyperlink r:id="rId266" location="'Club Colours'!A198" ref="L72"/>
    <hyperlink r:id="rId267" ref="P72"/>
    <hyperlink r:id="rId268" location="'Sources'!A14" ref="J73"/>
    <hyperlink r:id="rId269" ref="K73"/>
    <hyperlink r:id="rId270" location="'Club Colours'!A205" ref="L73"/>
    <hyperlink r:id="rId271" ref="P73"/>
    <hyperlink r:id="rId272" location="'Sources'!A14" ref="J74"/>
    <hyperlink r:id="rId273" ref="K74"/>
    <hyperlink r:id="rId274" location="'Club Colours'!A209" ref="L74"/>
    <hyperlink r:id="rId275" ref="P74"/>
    <hyperlink r:id="rId276" location="'Sources'!A14" ref="J75"/>
    <hyperlink r:id="rId277" ref="K75"/>
    <hyperlink r:id="rId278" location="'Club Colours'!A219" ref="L75"/>
    <hyperlink r:id="rId279" ref="P75"/>
    <hyperlink r:id="rId280" location="'Sources'!A14" ref="J76"/>
    <hyperlink r:id="rId281" ref="K76"/>
    <hyperlink r:id="rId282" location="'Club Colours'!A224" ref="L76"/>
    <hyperlink r:id="rId283" ref="P76"/>
    <hyperlink r:id="rId284" location="'Sources'!A14" ref="J77"/>
    <hyperlink r:id="rId285" ref="K77"/>
    <hyperlink r:id="rId286" location="'Club Colours'!A225" ref="L77"/>
    <hyperlink r:id="rId287" ref="P77"/>
    <hyperlink r:id="rId288" location="'Sources'!A14" ref="J78"/>
    <hyperlink r:id="rId289" ref="K78"/>
    <hyperlink r:id="rId290" location="'Club Colours'!A226" ref="L78"/>
    <hyperlink r:id="rId291" ref="P78"/>
    <hyperlink r:id="rId292" location="'Sources'!A14" ref="J79"/>
    <hyperlink r:id="rId293" ref="K79"/>
    <hyperlink r:id="rId294" location="'Club Colours'!A228" ref="L79"/>
    <hyperlink r:id="rId295" ref="P79"/>
    <hyperlink r:id="rId296" location="'Sources'!A14" ref="J80"/>
    <hyperlink r:id="rId297" ref="K80"/>
    <hyperlink r:id="rId298" location="'Club Colours'!A232" ref="L80"/>
    <hyperlink r:id="rId299" ref="P80"/>
    <hyperlink r:id="rId300" location="'Sources'!A14" ref="J81"/>
    <hyperlink r:id="rId301" ref="K81"/>
    <hyperlink r:id="rId302" location="'Club Colours'!A233" ref="L81"/>
    <hyperlink r:id="rId303" ref="P81"/>
    <hyperlink r:id="rId304" location="'Sources'!A14" ref="J82"/>
    <hyperlink r:id="rId305" ref="K82"/>
    <hyperlink r:id="rId306" location="'Club Colours'!A237" ref="L82"/>
    <hyperlink r:id="rId307" ref="P82"/>
    <hyperlink r:id="rId308" location="'Sources'!A14" ref="J83"/>
    <hyperlink r:id="rId309" ref="K83"/>
    <hyperlink r:id="rId310" location="'Club Colours'!A243" ref="L83"/>
    <hyperlink r:id="rId311" ref="P83"/>
    <hyperlink r:id="rId312" location="'Sources'!A14" ref="J84"/>
    <hyperlink r:id="rId313" ref="K84"/>
    <hyperlink r:id="rId314" location="'Club Colours'!A247" ref="L84"/>
    <hyperlink r:id="rId315" ref="P84"/>
    <hyperlink r:id="rId316" location="'Sources'!A14" ref="J85"/>
    <hyperlink r:id="rId317" ref="K85"/>
    <hyperlink r:id="rId318" location="'Club Colours'!A252" ref="L85"/>
    <hyperlink r:id="rId319" ref="P85"/>
    <hyperlink r:id="rId320" location="'Sources'!A14" ref="J86"/>
    <hyperlink r:id="rId321" ref="K86"/>
    <hyperlink r:id="rId322" location="'Club Colours'!A256" ref="L86"/>
    <hyperlink r:id="rId323" ref="P86"/>
    <hyperlink r:id="rId324" location="'Sources'!A14" ref="J87"/>
    <hyperlink r:id="rId325" ref="K87"/>
    <hyperlink r:id="rId326" location="'Club Colours'!A164" ref="L87"/>
    <hyperlink r:id="rId327" ref="P87"/>
    <hyperlink r:id="rId328" location="'Sources'!A14" ref="J88"/>
    <hyperlink r:id="rId329" ref="K88"/>
    <hyperlink r:id="rId330" location="'Club Colours'!A166" ref="L88"/>
    <hyperlink r:id="rId331" ref="P88"/>
    <hyperlink r:id="rId332" location="'Sources'!A14" ref="J89"/>
    <hyperlink r:id="rId333" ref="K89"/>
    <hyperlink r:id="rId334" location="'Club Colours'!A167" ref="L89"/>
    <hyperlink r:id="rId335" ref="P89"/>
    <hyperlink r:id="rId336" location="'Sources'!A14" ref="J90"/>
    <hyperlink r:id="rId337" ref="K90"/>
    <hyperlink r:id="rId338" location="'Club Colours'!A174" ref="L90"/>
    <hyperlink r:id="rId339" ref="P90"/>
    <hyperlink r:id="rId340" location="'Sources'!A14" ref="J91"/>
    <hyperlink r:id="rId341" ref="K91"/>
    <hyperlink r:id="rId342" location="'Club Colours'!A175" ref="L91"/>
    <hyperlink r:id="rId343" ref="P91"/>
    <hyperlink r:id="rId344" location="'Sources'!A14" ref="J92"/>
    <hyperlink r:id="rId345" ref="K92"/>
    <hyperlink r:id="rId346" location="'Club Colours'!A176" ref="L92"/>
    <hyperlink r:id="rId347" ref="P92"/>
    <hyperlink r:id="rId348" location="'Sources'!A14" ref="J93"/>
    <hyperlink r:id="rId349" ref="K93"/>
    <hyperlink r:id="rId350" location="'Club Colours'!A178" ref="L93"/>
    <hyperlink r:id="rId351" ref="P93"/>
    <hyperlink r:id="rId352" location="'Sources'!A14" ref="J94"/>
    <hyperlink r:id="rId353" ref="K94"/>
    <hyperlink r:id="rId354" location="'Club Colours'!A182" ref="L94"/>
    <hyperlink r:id="rId355" ref="P94"/>
    <hyperlink r:id="rId356" location="'Sources'!A14" ref="J95"/>
    <hyperlink r:id="rId357" ref="K95"/>
    <hyperlink r:id="rId358" location="'Club Colours'!A184" ref="L95"/>
    <hyperlink r:id="rId359" ref="P95"/>
    <hyperlink r:id="rId360" location="'Sources'!A14" ref="J96"/>
    <hyperlink r:id="rId361" ref="K96"/>
    <hyperlink r:id="rId362" location="'Club Colours'!A189" ref="L96"/>
    <hyperlink r:id="rId363" ref="P96"/>
    <hyperlink r:id="rId364" location="'Sources'!A14" ref="J97"/>
    <hyperlink r:id="rId365" ref="K97"/>
    <hyperlink r:id="rId366" location="'Club Colours'!A195" ref="L97"/>
    <hyperlink r:id="rId367" ref="P97"/>
    <hyperlink r:id="rId368" location="'Sources'!A14" ref="J98"/>
    <hyperlink r:id="rId369" ref="K98"/>
    <hyperlink r:id="rId370" location="'Club Colours'!A201" ref="L98"/>
    <hyperlink r:id="rId371" ref="P98"/>
    <hyperlink r:id="rId372" location="'Sources'!A14" ref="J99"/>
    <hyperlink r:id="rId373" ref="K99"/>
    <hyperlink r:id="rId374" location="'Club Colours'!A214" ref="L99"/>
    <hyperlink r:id="rId375" ref="P99"/>
    <hyperlink r:id="rId376" location="'Sources'!A14" ref="J100"/>
    <hyperlink r:id="rId377" ref="K100"/>
    <hyperlink r:id="rId378" location="'Club Colours'!A227" ref="L100"/>
    <hyperlink r:id="rId379" ref="P100"/>
    <hyperlink r:id="rId380" location="'Sources'!A14" ref="J101"/>
    <hyperlink r:id="rId381" ref="K101"/>
    <hyperlink r:id="rId382" location="'Club Colours'!A230" ref="L101"/>
    <hyperlink r:id="rId383" ref="P101"/>
    <hyperlink r:id="rId384" location="'Sources'!A14" ref="J102"/>
    <hyperlink r:id="rId385" ref="K102"/>
    <hyperlink r:id="rId386" location="'Club Colours'!A236" ref="L102"/>
    <hyperlink r:id="rId387" ref="P102"/>
    <hyperlink r:id="rId388" location="'Sources'!A14" ref="J103"/>
    <hyperlink r:id="rId389" ref="K103"/>
    <hyperlink r:id="rId390" location="'Club Colours'!A240" ref="L103"/>
    <hyperlink r:id="rId391" ref="P103"/>
    <hyperlink r:id="rId392" location="'Sources'!A14" ref="J104"/>
    <hyperlink r:id="rId393" ref="K104"/>
    <hyperlink r:id="rId394" location="'Club Colours'!A241" ref="L104"/>
    <hyperlink r:id="rId395" ref="P104"/>
    <hyperlink r:id="rId396" location="'Sources'!A14" ref="J105"/>
    <hyperlink r:id="rId397" ref="K105"/>
    <hyperlink r:id="rId398" location="'Club Colours'!A242" ref="L105"/>
    <hyperlink r:id="rId399" ref="P105"/>
    <hyperlink r:id="rId400" location="'Sources'!A14" ref="J106"/>
    <hyperlink r:id="rId401" ref="K106"/>
    <hyperlink r:id="rId402" location="'Club Colours'!A245" ref="L106"/>
    <hyperlink r:id="rId403" ref="P106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404"/>
  <legacyDrawing r:id="rId405"/>
  <tableParts count="1">
    <tablePart r:id="rId407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694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276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9.75" customHeight="1">
      <c r="A7" s="73" t="s">
        <v>700</v>
      </c>
      <c r="B7" s="75" t="s">
        <v>60</v>
      </c>
      <c r="C7" s="73" t="s">
        <v>294</v>
      </c>
      <c r="D7" s="77">
        <v>1.0</v>
      </c>
      <c r="E7" s="77" t="s">
        <v>146</v>
      </c>
      <c r="F7" s="77" t="s">
        <v>148</v>
      </c>
      <c r="G7" s="77" t="s">
        <v>149</v>
      </c>
      <c r="H7" s="77" t="s">
        <v>151</v>
      </c>
      <c r="I7" s="75"/>
      <c r="J7" s="81" t="s">
        <v>296</v>
      </c>
      <c r="K7" s="45" t="s">
        <v>297</v>
      </c>
      <c r="L7" s="88" t="s">
        <v>63</v>
      </c>
      <c r="M7" s="50" t="s">
        <v>64</v>
      </c>
      <c r="N7" s="43" t="s">
        <v>55</v>
      </c>
      <c r="O7" s="59" t="s">
        <v>68</v>
      </c>
      <c r="P7" s="45" t="s">
        <v>706</v>
      </c>
      <c r="Q7" s="44" t="s">
        <v>709</v>
      </c>
    </row>
    <row r="8" ht="39.75" customHeight="1">
      <c r="A8" s="94" t="s">
        <v>710</v>
      </c>
      <c r="B8" s="96" t="s">
        <v>60</v>
      </c>
      <c r="C8" s="94" t="s">
        <v>294</v>
      </c>
      <c r="D8" s="97">
        <v>1.0</v>
      </c>
      <c r="E8" s="97" t="s">
        <v>146</v>
      </c>
      <c r="F8" s="97" t="s">
        <v>148</v>
      </c>
      <c r="G8" s="97" t="s">
        <v>149</v>
      </c>
      <c r="H8" s="97" t="s">
        <v>151</v>
      </c>
      <c r="I8" s="96"/>
      <c r="J8" s="100" t="s">
        <v>296</v>
      </c>
      <c r="K8" s="101" t="s">
        <v>297</v>
      </c>
      <c r="L8" s="88" t="s">
        <v>63</v>
      </c>
      <c r="M8" s="86" t="s">
        <v>164</v>
      </c>
      <c r="N8" s="43" t="s">
        <v>55</v>
      </c>
      <c r="O8" s="105" t="s">
        <v>68</v>
      </c>
      <c r="P8" s="101" t="s">
        <v>706</v>
      </c>
      <c r="Q8" s="107" t="s">
        <v>709</v>
      </c>
    </row>
    <row r="9" ht="39.75" customHeight="1">
      <c r="A9" s="73" t="s">
        <v>717</v>
      </c>
      <c r="B9" s="75" t="s">
        <v>60</v>
      </c>
      <c r="C9" s="73" t="s">
        <v>294</v>
      </c>
      <c r="D9" s="77">
        <v>1.0</v>
      </c>
      <c r="E9" s="77" t="s">
        <v>146</v>
      </c>
      <c r="F9" s="77" t="s">
        <v>148</v>
      </c>
      <c r="G9" s="77" t="s">
        <v>149</v>
      </c>
      <c r="H9" s="77" t="s">
        <v>151</v>
      </c>
      <c r="I9" s="75"/>
      <c r="J9" s="81" t="s">
        <v>296</v>
      </c>
      <c r="K9" s="45" t="s">
        <v>297</v>
      </c>
      <c r="L9" s="88" t="s">
        <v>63</v>
      </c>
      <c r="M9" s="50" t="s">
        <v>64</v>
      </c>
      <c r="N9" s="43" t="s">
        <v>55</v>
      </c>
      <c r="O9" s="59" t="s">
        <v>68</v>
      </c>
      <c r="P9" s="45" t="s">
        <v>706</v>
      </c>
      <c r="Q9" s="44" t="s">
        <v>709</v>
      </c>
    </row>
    <row r="10" ht="39.75" customHeight="1">
      <c r="A10" s="94" t="s">
        <v>720</v>
      </c>
      <c r="B10" s="96" t="s">
        <v>60</v>
      </c>
      <c r="C10" s="94" t="s">
        <v>294</v>
      </c>
      <c r="D10" s="97">
        <v>1.0</v>
      </c>
      <c r="E10" s="97" t="s">
        <v>146</v>
      </c>
      <c r="F10" s="97" t="s">
        <v>148</v>
      </c>
      <c r="G10" s="97" t="s">
        <v>149</v>
      </c>
      <c r="H10" s="97" t="s">
        <v>151</v>
      </c>
      <c r="I10" s="96"/>
      <c r="J10" s="100" t="s">
        <v>296</v>
      </c>
      <c r="K10" s="101" t="s">
        <v>297</v>
      </c>
      <c r="L10" s="140" t="s">
        <v>52</v>
      </c>
      <c r="M10" s="86" t="s">
        <v>164</v>
      </c>
      <c r="N10" s="43" t="s">
        <v>55</v>
      </c>
      <c r="O10" s="105" t="s">
        <v>68</v>
      </c>
      <c r="P10" s="101" t="s">
        <v>706</v>
      </c>
      <c r="Q10" s="107" t="s">
        <v>709</v>
      </c>
    </row>
    <row r="11" ht="30.0" customHeight="1">
      <c r="A11" s="73" t="s">
        <v>727</v>
      </c>
      <c r="B11" s="75" t="s">
        <v>60</v>
      </c>
      <c r="C11" s="73" t="s">
        <v>294</v>
      </c>
      <c r="D11" s="77">
        <v>1.0</v>
      </c>
      <c r="E11" s="77" t="s">
        <v>146</v>
      </c>
      <c r="F11" s="77" t="s">
        <v>148</v>
      </c>
      <c r="G11" s="77" t="s">
        <v>149</v>
      </c>
      <c r="H11" s="77" t="s">
        <v>151</v>
      </c>
      <c r="I11" s="75"/>
      <c r="J11" s="81" t="s">
        <v>296</v>
      </c>
      <c r="K11" s="45" t="s">
        <v>297</v>
      </c>
      <c r="L11" s="137" t="s">
        <v>164</v>
      </c>
      <c r="M11" s="50" t="s">
        <v>64</v>
      </c>
      <c r="N11" s="43" t="s">
        <v>55</v>
      </c>
      <c r="O11" s="115" t="s">
        <v>56</v>
      </c>
      <c r="P11" s="45" t="s">
        <v>730</v>
      </c>
      <c r="Q11" s="44" t="s">
        <v>733</v>
      </c>
    </row>
    <row r="12" ht="39.75" customHeight="1">
      <c r="A12" s="94" t="s">
        <v>734</v>
      </c>
      <c r="B12" s="96" t="s">
        <v>60</v>
      </c>
      <c r="C12" s="94" t="s">
        <v>294</v>
      </c>
      <c r="D12" s="97">
        <v>1.0</v>
      </c>
      <c r="E12" s="97" t="s">
        <v>146</v>
      </c>
      <c r="F12" s="97" t="s">
        <v>148</v>
      </c>
      <c r="G12" s="97" t="s">
        <v>149</v>
      </c>
      <c r="H12" s="97" t="s">
        <v>151</v>
      </c>
      <c r="I12" s="96"/>
      <c r="J12" s="100" t="s">
        <v>296</v>
      </c>
      <c r="K12" s="101" t="s">
        <v>297</v>
      </c>
      <c r="L12" s="88" t="s">
        <v>63</v>
      </c>
      <c r="M12" s="86" t="s">
        <v>164</v>
      </c>
      <c r="N12" s="43" t="s">
        <v>55</v>
      </c>
      <c r="O12" s="105" t="s">
        <v>68</v>
      </c>
      <c r="P12" s="101" t="s">
        <v>706</v>
      </c>
      <c r="Q12" s="107" t="s">
        <v>709</v>
      </c>
    </row>
    <row r="13" ht="30.0" customHeight="1">
      <c r="A13" s="73" t="s">
        <v>739</v>
      </c>
      <c r="B13" s="75" t="s">
        <v>60</v>
      </c>
      <c r="C13" s="73" t="s">
        <v>294</v>
      </c>
      <c r="D13" s="77">
        <v>1.0</v>
      </c>
      <c r="E13" s="77" t="s">
        <v>146</v>
      </c>
      <c r="F13" s="77" t="s">
        <v>148</v>
      </c>
      <c r="G13" s="77" t="s">
        <v>149</v>
      </c>
      <c r="H13" s="77" t="s">
        <v>151</v>
      </c>
      <c r="I13" s="75"/>
      <c r="J13" s="81" t="s">
        <v>296</v>
      </c>
      <c r="K13" s="45" t="s">
        <v>297</v>
      </c>
      <c r="L13" s="88" t="s">
        <v>63</v>
      </c>
      <c r="M13" s="138" t="s">
        <v>199</v>
      </c>
      <c r="N13" s="43" t="s">
        <v>55</v>
      </c>
      <c r="O13" s="115" t="s">
        <v>56</v>
      </c>
      <c r="P13" s="45" t="s">
        <v>745</v>
      </c>
      <c r="Q13" s="44" t="s">
        <v>269</v>
      </c>
    </row>
    <row r="14" ht="39.75" customHeight="1">
      <c r="A14" s="94" t="s">
        <v>748</v>
      </c>
      <c r="B14" s="96" t="s">
        <v>60</v>
      </c>
      <c r="C14" s="94" t="s">
        <v>294</v>
      </c>
      <c r="D14" s="97">
        <v>1.0</v>
      </c>
      <c r="E14" s="97" t="s">
        <v>146</v>
      </c>
      <c r="F14" s="97" t="s">
        <v>148</v>
      </c>
      <c r="G14" s="97" t="s">
        <v>149</v>
      </c>
      <c r="H14" s="97" t="s">
        <v>151</v>
      </c>
      <c r="I14" s="96"/>
      <c r="J14" s="100" t="s">
        <v>296</v>
      </c>
      <c r="K14" s="101" t="s">
        <v>297</v>
      </c>
      <c r="L14" s="125" t="s">
        <v>92</v>
      </c>
      <c r="M14" s="50" t="s">
        <v>64</v>
      </c>
      <c r="N14" s="43" t="s">
        <v>55</v>
      </c>
      <c r="O14" s="124" t="s">
        <v>56</v>
      </c>
      <c r="P14" s="101" t="s">
        <v>750</v>
      </c>
      <c r="Q14" s="107" t="s">
        <v>752</v>
      </c>
    </row>
    <row r="15" ht="30.0" customHeight="1">
      <c r="A15" s="73" t="s">
        <v>753</v>
      </c>
      <c r="B15" s="75" t="s">
        <v>60</v>
      </c>
      <c r="C15" s="73" t="s">
        <v>294</v>
      </c>
      <c r="D15" s="77">
        <v>1.0</v>
      </c>
      <c r="E15" s="77" t="s">
        <v>146</v>
      </c>
      <c r="F15" s="77" t="s">
        <v>148</v>
      </c>
      <c r="G15" s="77" t="s">
        <v>149</v>
      </c>
      <c r="H15" s="77" t="s">
        <v>151</v>
      </c>
      <c r="I15" s="75"/>
      <c r="J15" s="81" t="s">
        <v>296</v>
      </c>
      <c r="K15" s="45" t="s">
        <v>297</v>
      </c>
      <c r="L15" s="88" t="s">
        <v>63</v>
      </c>
      <c r="M15" s="50" t="s">
        <v>64</v>
      </c>
      <c r="N15" s="43" t="s">
        <v>55</v>
      </c>
      <c r="O15" s="115" t="s">
        <v>56</v>
      </c>
      <c r="P15" s="45" t="s">
        <v>760</v>
      </c>
      <c r="Q15" s="44"/>
    </row>
    <row r="16" ht="30.0" customHeight="1">
      <c r="A16" s="94" t="s">
        <v>763</v>
      </c>
      <c r="B16" s="96" t="s">
        <v>60</v>
      </c>
      <c r="C16" s="94" t="s">
        <v>294</v>
      </c>
      <c r="D16" s="97">
        <v>1.0</v>
      </c>
      <c r="E16" s="97" t="s">
        <v>146</v>
      </c>
      <c r="F16" s="97" t="s">
        <v>148</v>
      </c>
      <c r="G16" s="97" t="s">
        <v>149</v>
      </c>
      <c r="H16" s="97" t="s">
        <v>151</v>
      </c>
      <c r="I16" s="96"/>
      <c r="J16" s="100" t="s">
        <v>296</v>
      </c>
      <c r="K16" s="101" t="s">
        <v>297</v>
      </c>
      <c r="L16" s="88" t="s">
        <v>63</v>
      </c>
      <c r="M16" s="50" t="s">
        <v>64</v>
      </c>
      <c r="N16" s="43" t="s">
        <v>55</v>
      </c>
      <c r="O16" s="124" t="s">
        <v>56</v>
      </c>
      <c r="P16" s="101" t="s">
        <v>768</v>
      </c>
      <c r="Q16" s="107"/>
    </row>
    <row r="17" ht="39.75" customHeight="1">
      <c r="A17" s="73" t="s">
        <v>769</v>
      </c>
      <c r="B17" s="75" t="s">
        <v>60</v>
      </c>
      <c r="C17" s="73" t="s">
        <v>294</v>
      </c>
      <c r="D17" s="77">
        <v>1.0</v>
      </c>
      <c r="E17" s="77" t="s">
        <v>146</v>
      </c>
      <c r="F17" s="77" t="s">
        <v>148</v>
      </c>
      <c r="G17" s="77" t="s">
        <v>149</v>
      </c>
      <c r="H17" s="77" t="s">
        <v>151</v>
      </c>
      <c r="I17" s="75"/>
      <c r="J17" s="81" t="s">
        <v>296</v>
      </c>
      <c r="K17" s="45" t="s">
        <v>297</v>
      </c>
      <c r="L17" s="88" t="s">
        <v>63</v>
      </c>
      <c r="M17" s="50" t="s">
        <v>64</v>
      </c>
      <c r="N17" s="43" t="s">
        <v>55</v>
      </c>
      <c r="O17" s="59" t="s">
        <v>68</v>
      </c>
      <c r="P17" s="45" t="s">
        <v>706</v>
      </c>
      <c r="Q17" s="44" t="s">
        <v>775</v>
      </c>
    </row>
    <row r="18" ht="30.0" customHeight="1">
      <c r="A18" s="94" t="s">
        <v>776</v>
      </c>
      <c r="B18" s="96" t="s">
        <v>60</v>
      </c>
      <c r="C18" s="94" t="s">
        <v>294</v>
      </c>
      <c r="D18" s="97">
        <v>1.0</v>
      </c>
      <c r="E18" s="97" t="s">
        <v>146</v>
      </c>
      <c r="F18" s="97" t="s">
        <v>148</v>
      </c>
      <c r="G18" s="97" t="s">
        <v>149</v>
      </c>
      <c r="H18" s="97" t="s">
        <v>151</v>
      </c>
      <c r="I18" s="96"/>
      <c r="J18" s="100" t="s">
        <v>296</v>
      </c>
      <c r="K18" s="101" t="s">
        <v>297</v>
      </c>
      <c r="L18" s="125" t="s">
        <v>92</v>
      </c>
      <c r="M18" s="86" t="s">
        <v>164</v>
      </c>
      <c r="N18" s="43" t="s">
        <v>55</v>
      </c>
      <c r="O18" s="124" t="s">
        <v>56</v>
      </c>
      <c r="P18" s="101" t="s">
        <v>781</v>
      </c>
      <c r="Q18" s="107"/>
    </row>
    <row r="19" ht="39.75" customHeight="1">
      <c r="A19" s="73" t="s">
        <v>784</v>
      </c>
      <c r="B19" s="75" t="s">
        <v>60</v>
      </c>
      <c r="C19" s="73" t="s">
        <v>294</v>
      </c>
      <c r="D19" s="77">
        <v>1.0</v>
      </c>
      <c r="E19" s="77" t="s">
        <v>146</v>
      </c>
      <c r="F19" s="77" t="s">
        <v>148</v>
      </c>
      <c r="G19" s="77" t="s">
        <v>149</v>
      </c>
      <c r="H19" s="77" t="s">
        <v>151</v>
      </c>
      <c r="I19" s="75"/>
      <c r="J19" s="81" t="s">
        <v>296</v>
      </c>
      <c r="K19" s="45" t="s">
        <v>297</v>
      </c>
      <c r="L19" s="125" t="s">
        <v>92</v>
      </c>
      <c r="M19" s="50" t="s">
        <v>64</v>
      </c>
      <c r="N19" s="43" t="s">
        <v>55</v>
      </c>
      <c r="O19" s="59" t="s">
        <v>68</v>
      </c>
      <c r="P19" s="45" t="s">
        <v>706</v>
      </c>
      <c r="Q19" s="44" t="s">
        <v>709</v>
      </c>
    </row>
    <row r="20" ht="30.0" customHeight="1">
      <c r="A20" s="94" t="s">
        <v>788</v>
      </c>
      <c r="B20" s="96" t="s">
        <v>60</v>
      </c>
      <c r="C20" s="94" t="s">
        <v>294</v>
      </c>
      <c r="D20" s="97">
        <v>1.0</v>
      </c>
      <c r="E20" s="97" t="s">
        <v>146</v>
      </c>
      <c r="F20" s="97" t="s">
        <v>148</v>
      </c>
      <c r="G20" s="97" t="s">
        <v>149</v>
      </c>
      <c r="H20" s="97" t="s">
        <v>151</v>
      </c>
      <c r="I20" s="96"/>
      <c r="J20" s="100" t="s">
        <v>296</v>
      </c>
      <c r="K20" s="101" t="s">
        <v>297</v>
      </c>
      <c r="L20" s="137" t="s">
        <v>164</v>
      </c>
      <c r="M20" s="50" t="s">
        <v>64</v>
      </c>
      <c r="N20" s="43" t="s">
        <v>55</v>
      </c>
      <c r="O20" s="124" t="s">
        <v>56</v>
      </c>
      <c r="P20" s="101" t="s">
        <v>797</v>
      </c>
      <c r="Q20" s="107"/>
    </row>
    <row r="21" ht="30.0" customHeight="1">
      <c r="A21" s="73" t="s">
        <v>799</v>
      </c>
      <c r="B21" s="75" t="s">
        <v>60</v>
      </c>
      <c r="C21" s="73" t="s">
        <v>294</v>
      </c>
      <c r="D21" s="77">
        <v>1.0</v>
      </c>
      <c r="E21" s="77" t="s">
        <v>146</v>
      </c>
      <c r="F21" s="77" t="s">
        <v>148</v>
      </c>
      <c r="G21" s="77" t="s">
        <v>149</v>
      </c>
      <c r="H21" s="77" t="s">
        <v>151</v>
      </c>
      <c r="I21" s="75"/>
      <c r="J21" s="81" t="s">
        <v>296</v>
      </c>
      <c r="K21" s="45" t="s">
        <v>297</v>
      </c>
      <c r="L21" s="125" t="s">
        <v>92</v>
      </c>
      <c r="M21" s="50" t="s">
        <v>64</v>
      </c>
      <c r="N21" s="43" t="s">
        <v>55</v>
      </c>
      <c r="O21" s="115" t="s">
        <v>56</v>
      </c>
      <c r="P21" s="45" t="s">
        <v>801</v>
      </c>
      <c r="Q21" s="44"/>
    </row>
    <row r="22" ht="39.75" customHeight="1">
      <c r="A22" s="94" t="s">
        <v>803</v>
      </c>
      <c r="B22" s="96" t="s">
        <v>60</v>
      </c>
      <c r="C22" s="94" t="s">
        <v>294</v>
      </c>
      <c r="D22" s="97">
        <v>1.0</v>
      </c>
      <c r="E22" s="97" t="s">
        <v>146</v>
      </c>
      <c r="F22" s="97" t="s">
        <v>148</v>
      </c>
      <c r="G22" s="97" t="s">
        <v>149</v>
      </c>
      <c r="H22" s="97" t="s">
        <v>151</v>
      </c>
      <c r="I22" s="96"/>
      <c r="J22" s="100" t="s">
        <v>296</v>
      </c>
      <c r="K22" s="101" t="s">
        <v>297</v>
      </c>
      <c r="L22" s="88" t="s">
        <v>63</v>
      </c>
      <c r="M22" s="50" t="s">
        <v>64</v>
      </c>
      <c r="N22" s="43" t="s">
        <v>55</v>
      </c>
      <c r="O22" s="105" t="s">
        <v>68</v>
      </c>
      <c r="P22" s="101" t="s">
        <v>706</v>
      </c>
      <c r="Q22" s="107" t="s">
        <v>709</v>
      </c>
    </row>
    <row r="23" ht="39.75" customHeight="1">
      <c r="A23" s="73" t="s">
        <v>810</v>
      </c>
      <c r="B23" s="75" t="s">
        <v>60</v>
      </c>
      <c r="C23" s="73" t="s">
        <v>294</v>
      </c>
      <c r="D23" s="77">
        <v>1.0</v>
      </c>
      <c r="E23" s="77" t="s">
        <v>146</v>
      </c>
      <c r="F23" s="77" t="s">
        <v>148</v>
      </c>
      <c r="G23" s="77" t="s">
        <v>149</v>
      </c>
      <c r="H23" s="77" t="s">
        <v>151</v>
      </c>
      <c r="I23" s="75"/>
      <c r="J23" s="81" t="s">
        <v>296</v>
      </c>
      <c r="K23" s="45" t="s">
        <v>297</v>
      </c>
      <c r="L23" s="127" t="s">
        <v>64</v>
      </c>
      <c r="M23" s="49" t="s">
        <v>63</v>
      </c>
      <c r="N23" s="43" t="s">
        <v>55</v>
      </c>
      <c r="O23" s="59" t="s">
        <v>68</v>
      </c>
      <c r="P23" s="45" t="s">
        <v>706</v>
      </c>
      <c r="Q23" s="44" t="s">
        <v>709</v>
      </c>
    </row>
    <row r="24" ht="39.75" customHeight="1">
      <c r="A24" s="94" t="s">
        <v>814</v>
      </c>
      <c r="B24" s="96" t="s">
        <v>60</v>
      </c>
      <c r="C24" s="94" t="s">
        <v>294</v>
      </c>
      <c r="D24" s="97">
        <v>1.0</v>
      </c>
      <c r="E24" s="97" t="s">
        <v>146</v>
      </c>
      <c r="F24" s="97" t="s">
        <v>148</v>
      </c>
      <c r="G24" s="97" t="s">
        <v>149</v>
      </c>
      <c r="H24" s="97" t="s">
        <v>151</v>
      </c>
      <c r="I24" s="96"/>
      <c r="J24" s="100" t="s">
        <v>296</v>
      </c>
      <c r="K24" s="101" t="s">
        <v>297</v>
      </c>
      <c r="L24" s="148" t="s">
        <v>199</v>
      </c>
      <c r="M24" s="50" t="s">
        <v>64</v>
      </c>
      <c r="N24" s="43" t="s">
        <v>55</v>
      </c>
      <c r="O24" s="105" t="s">
        <v>68</v>
      </c>
      <c r="P24" s="101" t="s">
        <v>706</v>
      </c>
      <c r="Q24" s="107" t="s">
        <v>709</v>
      </c>
    </row>
    <row r="25" ht="30.0" customHeight="1">
      <c r="A25" s="73" t="s">
        <v>806</v>
      </c>
      <c r="B25" s="75" t="s">
        <v>60</v>
      </c>
      <c r="C25" s="73" t="s">
        <v>299</v>
      </c>
      <c r="D25" s="77">
        <v>2.0</v>
      </c>
      <c r="E25" s="77" t="s">
        <v>146</v>
      </c>
      <c r="F25" s="77" t="s">
        <v>148</v>
      </c>
      <c r="G25" s="77" t="s">
        <v>149</v>
      </c>
      <c r="H25" s="77" t="s">
        <v>151</v>
      </c>
      <c r="I25" s="75"/>
      <c r="J25" s="81" t="s">
        <v>300</v>
      </c>
      <c r="K25" s="45" t="s">
        <v>301</v>
      </c>
      <c r="L25" s="125" t="s">
        <v>92</v>
      </c>
      <c r="M25" s="49" t="s">
        <v>63</v>
      </c>
      <c r="N25" s="43" t="s">
        <v>55</v>
      </c>
      <c r="O25" s="115" t="s">
        <v>56</v>
      </c>
      <c r="P25" s="45" t="s">
        <v>808</v>
      </c>
      <c r="Q25" s="44" t="s">
        <v>269</v>
      </c>
    </row>
    <row r="26" ht="39.75" customHeight="1">
      <c r="A26" s="94" t="s">
        <v>809</v>
      </c>
      <c r="B26" s="96" t="s">
        <v>60</v>
      </c>
      <c r="C26" s="94" t="s">
        <v>299</v>
      </c>
      <c r="D26" s="97">
        <v>2.0</v>
      </c>
      <c r="E26" s="97" t="s">
        <v>146</v>
      </c>
      <c r="F26" s="97" t="s">
        <v>148</v>
      </c>
      <c r="G26" s="97" t="s">
        <v>149</v>
      </c>
      <c r="H26" s="97" t="s">
        <v>151</v>
      </c>
      <c r="I26" s="96"/>
      <c r="J26" s="100" t="s">
        <v>300</v>
      </c>
      <c r="K26" s="101" t="s">
        <v>301</v>
      </c>
      <c r="L26" s="88" t="s">
        <v>63</v>
      </c>
      <c r="M26" s="50" t="s">
        <v>64</v>
      </c>
      <c r="N26" s="43" t="s">
        <v>55</v>
      </c>
      <c r="O26" s="105" t="s">
        <v>68</v>
      </c>
      <c r="P26" s="101" t="s">
        <v>706</v>
      </c>
      <c r="Q26" s="107" t="s">
        <v>709</v>
      </c>
    </row>
    <row r="27" ht="39.75" customHeight="1">
      <c r="A27" s="73" t="s">
        <v>813</v>
      </c>
      <c r="B27" s="75" t="s">
        <v>60</v>
      </c>
      <c r="C27" s="73" t="s">
        <v>299</v>
      </c>
      <c r="D27" s="77">
        <v>2.0</v>
      </c>
      <c r="E27" s="77" t="s">
        <v>146</v>
      </c>
      <c r="F27" s="77" t="s">
        <v>148</v>
      </c>
      <c r="G27" s="77" t="s">
        <v>149</v>
      </c>
      <c r="H27" s="77" t="s">
        <v>151</v>
      </c>
      <c r="I27" s="75"/>
      <c r="J27" s="81" t="s">
        <v>300</v>
      </c>
      <c r="K27" s="45" t="s">
        <v>301</v>
      </c>
      <c r="L27" s="125" t="s">
        <v>92</v>
      </c>
      <c r="M27" s="50" t="s">
        <v>64</v>
      </c>
      <c r="N27" s="43" t="s">
        <v>55</v>
      </c>
      <c r="O27" s="59" t="s">
        <v>68</v>
      </c>
      <c r="P27" s="45" t="s">
        <v>706</v>
      </c>
      <c r="Q27" s="44" t="s">
        <v>709</v>
      </c>
    </row>
    <row r="28" ht="39.75" customHeight="1">
      <c r="A28" s="94" t="s">
        <v>815</v>
      </c>
      <c r="B28" s="96" t="s">
        <v>60</v>
      </c>
      <c r="C28" s="94" t="s">
        <v>299</v>
      </c>
      <c r="D28" s="97">
        <v>2.0</v>
      </c>
      <c r="E28" s="97" t="s">
        <v>146</v>
      </c>
      <c r="F28" s="97" t="s">
        <v>148</v>
      </c>
      <c r="G28" s="97" t="s">
        <v>149</v>
      </c>
      <c r="H28" s="97" t="s">
        <v>151</v>
      </c>
      <c r="I28" s="96"/>
      <c r="J28" s="100" t="s">
        <v>300</v>
      </c>
      <c r="K28" s="101" t="s">
        <v>301</v>
      </c>
      <c r="L28" s="88" t="s">
        <v>63</v>
      </c>
      <c r="M28" s="86" t="s">
        <v>164</v>
      </c>
      <c r="N28" s="43" t="s">
        <v>55</v>
      </c>
      <c r="O28" s="105" t="s">
        <v>68</v>
      </c>
      <c r="P28" s="101" t="s">
        <v>706</v>
      </c>
      <c r="Q28" s="107" t="s">
        <v>709</v>
      </c>
    </row>
    <row r="29" ht="39.75" customHeight="1">
      <c r="A29" s="73" t="s">
        <v>818</v>
      </c>
      <c r="B29" s="75" t="s">
        <v>60</v>
      </c>
      <c r="C29" s="73" t="s">
        <v>299</v>
      </c>
      <c r="D29" s="77">
        <v>2.0</v>
      </c>
      <c r="E29" s="77" t="s">
        <v>146</v>
      </c>
      <c r="F29" s="77" t="s">
        <v>148</v>
      </c>
      <c r="G29" s="77" t="s">
        <v>149</v>
      </c>
      <c r="H29" s="77" t="s">
        <v>151</v>
      </c>
      <c r="I29" s="75"/>
      <c r="J29" s="81" t="s">
        <v>300</v>
      </c>
      <c r="K29" s="45" t="s">
        <v>301</v>
      </c>
      <c r="L29" s="125" t="s">
        <v>92</v>
      </c>
      <c r="M29" s="50" t="s">
        <v>64</v>
      </c>
      <c r="N29" s="43" t="s">
        <v>55</v>
      </c>
      <c r="O29" s="59" t="s">
        <v>68</v>
      </c>
      <c r="P29" s="45" t="s">
        <v>706</v>
      </c>
      <c r="Q29" s="44" t="s">
        <v>775</v>
      </c>
    </row>
    <row r="30" ht="39.75" customHeight="1">
      <c r="A30" s="94" t="s">
        <v>820</v>
      </c>
      <c r="B30" s="96" t="s">
        <v>60</v>
      </c>
      <c r="C30" s="94" t="s">
        <v>299</v>
      </c>
      <c r="D30" s="97">
        <v>2.0</v>
      </c>
      <c r="E30" s="97" t="s">
        <v>146</v>
      </c>
      <c r="F30" s="97" t="s">
        <v>148</v>
      </c>
      <c r="G30" s="97" t="s">
        <v>149</v>
      </c>
      <c r="H30" s="97" t="s">
        <v>151</v>
      </c>
      <c r="I30" s="96"/>
      <c r="J30" s="100" t="s">
        <v>300</v>
      </c>
      <c r="K30" s="101" t="s">
        <v>301</v>
      </c>
      <c r="L30" s="125" t="s">
        <v>92</v>
      </c>
      <c r="M30" s="50" t="s">
        <v>64</v>
      </c>
      <c r="N30" s="43" t="s">
        <v>55</v>
      </c>
      <c r="O30" s="105" t="s">
        <v>68</v>
      </c>
      <c r="P30" s="101" t="s">
        <v>706</v>
      </c>
      <c r="Q30" s="107" t="s">
        <v>709</v>
      </c>
    </row>
    <row r="31" ht="39.75" customHeight="1">
      <c r="A31" s="73" t="s">
        <v>821</v>
      </c>
      <c r="B31" s="75" t="s">
        <v>60</v>
      </c>
      <c r="C31" s="73" t="s">
        <v>299</v>
      </c>
      <c r="D31" s="77">
        <v>2.0</v>
      </c>
      <c r="E31" s="77" t="s">
        <v>146</v>
      </c>
      <c r="F31" s="77" t="s">
        <v>148</v>
      </c>
      <c r="G31" s="77" t="s">
        <v>149</v>
      </c>
      <c r="H31" s="77" t="s">
        <v>151</v>
      </c>
      <c r="I31" s="75"/>
      <c r="J31" s="81" t="s">
        <v>300</v>
      </c>
      <c r="K31" s="45" t="s">
        <v>301</v>
      </c>
      <c r="L31" s="140" t="s">
        <v>52</v>
      </c>
      <c r="M31" s="86" t="s">
        <v>164</v>
      </c>
      <c r="N31" s="43" t="s">
        <v>55</v>
      </c>
      <c r="O31" s="59" t="s">
        <v>68</v>
      </c>
      <c r="P31" s="45" t="s">
        <v>706</v>
      </c>
      <c r="Q31" s="44" t="s">
        <v>709</v>
      </c>
    </row>
    <row r="32" ht="39.75" customHeight="1">
      <c r="A32" s="94" t="s">
        <v>822</v>
      </c>
      <c r="B32" s="96" t="s">
        <v>60</v>
      </c>
      <c r="C32" s="94" t="s">
        <v>299</v>
      </c>
      <c r="D32" s="97">
        <v>2.0</v>
      </c>
      <c r="E32" s="97" t="s">
        <v>146</v>
      </c>
      <c r="F32" s="97" t="s">
        <v>148</v>
      </c>
      <c r="G32" s="97" t="s">
        <v>149</v>
      </c>
      <c r="H32" s="97" t="s">
        <v>151</v>
      </c>
      <c r="I32" s="96"/>
      <c r="J32" s="100" t="s">
        <v>300</v>
      </c>
      <c r="K32" s="101" t="s">
        <v>301</v>
      </c>
      <c r="L32" s="140" t="s">
        <v>52</v>
      </c>
      <c r="M32" s="62" t="s">
        <v>92</v>
      </c>
      <c r="N32" s="43" t="s">
        <v>55</v>
      </c>
      <c r="O32" s="105" t="s">
        <v>68</v>
      </c>
      <c r="P32" s="101" t="s">
        <v>706</v>
      </c>
      <c r="Q32" s="107" t="s">
        <v>709</v>
      </c>
    </row>
    <row r="33" ht="30.0" customHeight="1">
      <c r="A33" s="73" t="s">
        <v>823</v>
      </c>
      <c r="B33" s="75" t="s">
        <v>60</v>
      </c>
      <c r="C33" s="73" t="s">
        <v>299</v>
      </c>
      <c r="D33" s="77">
        <v>2.0</v>
      </c>
      <c r="E33" s="77" t="s">
        <v>146</v>
      </c>
      <c r="F33" s="77" t="s">
        <v>148</v>
      </c>
      <c r="G33" s="77" t="s">
        <v>149</v>
      </c>
      <c r="H33" s="77" t="s">
        <v>151</v>
      </c>
      <c r="I33" s="75"/>
      <c r="J33" s="81" t="s">
        <v>300</v>
      </c>
      <c r="K33" s="45" t="s">
        <v>301</v>
      </c>
      <c r="L33" s="88" t="s">
        <v>63</v>
      </c>
      <c r="M33" s="50" t="s">
        <v>64</v>
      </c>
      <c r="N33" s="43" t="s">
        <v>55</v>
      </c>
      <c r="O33" s="115" t="s">
        <v>56</v>
      </c>
      <c r="P33" s="45" t="s">
        <v>825</v>
      </c>
      <c r="Q33" s="44"/>
    </row>
    <row r="34" ht="39.75" customHeight="1">
      <c r="A34" s="94" t="s">
        <v>830</v>
      </c>
      <c r="B34" s="96" t="s">
        <v>60</v>
      </c>
      <c r="C34" s="94" t="s">
        <v>299</v>
      </c>
      <c r="D34" s="97">
        <v>2.0</v>
      </c>
      <c r="E34" s="97" t="s">
        <v>146</v>
      </c>
      <c r="F34" s="97" t="s">
        <v>148</v>
      </c>
      <c r="G34" s="97" t="s">
        <v>149</v>
      </c>
      <c r="H34" s="97" t="s">
        <v>151</v>
      </c>
      <c r="I34" s="96"/>
      <c r="J34" s="100" t="s">
        <v>300</v>
      </c>
      <c r="K34" s="101" t="s">
        <v>301</v>
      </c>
      <c r="L34" s="171" t="s">
        <v>170</v>
      </c>
      <c r="M34" s="50" t="s">
        <v>64</v>
      </c>
      <c r="N34" s="43" t="s">
        <v>55</v>
      </c>
      <c r="O34" s="105" t="s">
        <v>68</v>
      </c>
      <c r="P34" s="101" t="s">
        <v>706</v>
      </c>
      <c r="Q34" s="107" t="s">
        <v>709</v>
      </c>
    </row>
    <row r="35" ht="39.75" customHeight="1">
      <c r="A35" s="73" t="s">
        <v>833</v>
      </c>
      <c r="B35" s="75" t="s">
        <v>60</v>
      </c>
      <c r="C35" s="73" t="s">
        <v>299</v>
      </c>
      <c r="D35" s="77">
        <v>2.0</v>
      </c>
      <c r="E35" s="77" t="s">
        <v>146</v>
      </c>
      <c r="F35" s="77" t="s">
        <v>148</v>
      </c>
      <c r="G35" s="77" t="s">
        <v>149</v>
      </c>
      <c r="H35" s="77" t="s">
        <v>151</v>
      </c>
      <c r="I35" s="75"/>
      <c r="J35" s="81" t="s">
        <v>300</v>
      </c>
      <c r="K35" s="45" t="s">
        <v>301</v>
      </c>
      <c r="L35" s="148" t="s">
        <v>199</v>
      </c>
      <c r="M35" s="50" t="s">
        <v>64</v>
      </c>
      <c r="N35" s="43" t="s">
        <v>55</v>
      </c>
      <c r="O35" s="59" t="s">
        <v>68</v>
      </c>
      <c r="P35" s="45" t="s">
        <v>706</v>
      </c>
      <c r="Q35" s="44" t="s">
        <v>709</v>
      </c>
    </row>
    <row r="36" ht="30.0" customHeight="1">
      <c r="A36" s="94" t="s">
        <v>835</v>
      </c>
      <c r="B36" s="96" t="s">
        <v>60</v>
      </c>
      <c r="C36" s="94" t="s">
        <v>299</v>
      </c>
      <c r="D36" s="97">
        <v>2.0</v>
      </c>
      <c r="E36" s="97" t="s">
        <v>146</v>
      </c>
      <c r="F36" s="97" t="s">
        <v>148</v>
      </c>
      <c r="G36" s="97" t="s">
        <v>149</v>
      </c>
      <c r="H36" s="97" t="s">
        <v>151</v>
      </c>
      <c r="I36" s="96"/>
      <c r="J36" s="100" t="s">
        <v>300</v>
      </c>
      <c r="K36" s="101" t="s">
        <v>301</v>
      </c>
      <c r="L36" s="137" t="s">
        <v>164</v>
      </c>
      <c r="M36" s="50" t="s">
        <v>64</v>
      </c>
      <c r="N36" s="43" t="s">
        <v>55</v>
      </c>
      <c r="O36" s="124" t="s">
        <v>56</v>
      </c>
      <c r="P36" s="101" t="s">
        <v>837</v>
      </c>
      <c r="Q36" s="107" t="s">
        <v>838</v>
      </c>
    </row>
    <row r="37" ht="39.75" customHeight="1">
      <c r="A37" s="73" t="s">
        <v>842</v>
      </c>
      <c r="B37" s="75" t="s">
        <v>60</v>
      </c>
      <c r="C37" s="73" t="s">
        <v>299</v>
      </c>
      <c r="D37" s="77">
        <v>2.0</v>
      </c>
      <c r="E37" s="77" t="s">
        <v>146</v>
      </c>
      <c r="F37" s="77" t="s">
        <v>148</v>
      </c>
      <c r="G37" s="77" t="s">
        <v>149</v>
      </c>
      <c r="H37" s="77" t="s">
        <v>151</v>
      </c>
      <c r="I37" s="75"/>
      <c r="J37" s="81" t="s">
        <v>300</v>
      </c>
      <c r="K37" s="45" t="s">
        <v>301</v>
      </c>
      <c r="L37" s="125" t="s">
        <v>92</v>
      </c>
      <c r="M37" s="50" t="s">
        <v>64</v>
      </c>
      <c r="N37" s="43" t="s">
        <v>55</v>
      </c>
      <c r="O37" s="59" t="s">
        <v>68</v>
      </c>
      <c r="P37" s="45" t="s">
        <v>706</v>
      </c>
      <c r="Q37" s="44" t="s">
        <v>709</v>
      </c>
    </row>
    <row r="38" ht="39.75" customHeight="1">
      <c r="A38" s="94" t="s">
        <v>843</v>
      </c>
      <c r="B38" s="96" t="s">
        <v>60</v>
      </c>
      <c r="C38" s="94" t="s">
        <v>299</v>
      </c>
      <c r="D38" s="97">
        <v>2.0</v>
      </c>
      <c r="E38" s="97" t="s">
        <v>146</v>
      </c>
      <c r="F38" s="97" t="s">
        <v>148</v>
      </c>
      <c r="G38" s="97" t="s">
        <v>149</v>
      </c>
      <c r="H38" s="97" t="s">
        <v>151</v>
      </c>
      <c r="I38" s="96"/>
      <c r="J38" s="100" t="s">
        <v>300</v>
      </c>
      <c r="K38" s="101" t="s">
        <v>301</v>
      </c>
      <c r="L38" s="125" t="s">
        <v>92</v>
      </c>
      <c r="M38" s="50" t="s">
        <v>64</v>
      </c>
      <c r="N38" s="43" t="s">
        <v>55</v>
      </c>
      <c r="O38" s="105" t="s">
        <v>68</v>
      </c>
      <c r="P38" s="101" t="s">
        <v>706</v>
      </c>
      <c r="Q38" s="107" t="s">
        <v>844</v>
      </c>
    </row>
    <row r="39" ht="39.75" customHeight="1">
      <c r="A39" s="73" t="s">
        <v>848</v>
      </c>
      <c r="B39" s="75" t="s">
        <v>60</v>
      </c>
      <c r="C39" s="73" t="s">
        <v>299</v>
      </c>
      <c r="D39" s="77">
        <v>2.0</v>
      </c>
      <c r="E39" s="77" t="s">
        <v>146</v>
      </c>
      <c r="F39" s="77" t="s">
        <v>148</v>
      </c>
      <c r="G39" s="77" t="s">
        <v>149</v>
      </c>
      <c r="H39" s="77" t="s">
        <v>151</v>
      </c>
      <c r="I39" s="75"/>
      <c r="J39" s="81" t="s">
        <v>300</v>
      </c>
      <c r="K39" s="45" t="s">
        <v>301</v>
      </c>
      <c r="L39" s="125" t="s">
        <v>92</v>
      </c>
      <c r="M39" s="50" t="s">
        <v>64</v>
      </c>
      <c r="N39" s="43" t="s">
        <v>55</v>
      </c>
      <c r="O39" s="59" t="s">
        <v>68</v>
      </c>
      <c r="P39" s="45" t="s">
        <v>706</v>
      </c>
      <c r="Q39" s="44" t="s">
        <v>709</v>
      </c>
    </row>
    <row r="40" ht="39.75" customHeight="1">
      <c r="A40" s="94" t="s">
        <v>853</v>
      </c>
      <c r="B40" s="96" t="s">
        <v>60</v>
      </c>
      <c r="C40" s="94" t="s">
        <v>299</v>
      </c>
      <c r="D40" s="97">
        <v>2.0</v>
      </c>
      <c r="E40" s="97" t="s">
        <v>146</v>
      </c>
      <c r="F40" s="97" t="s">
        <v>148</v>
      </c>
      <c r="G40" s="97" t="s">
        <v>149</v>
      </c>
      <c r="H40" s="97" t="s">
        <v>151</v>
      </c>
      <c r="I40" s="96"/>
      <c r="J40" s="100" t="s">
        <v>300</v>
      </c>
      <c r="K40" s="101" t="s">
        <v>301</v>
      </c>
      <c r="L40" s="125" t="s">
        <v>92</v>
      </c>
      <c r="M40" s="50" t="s">
        <v>64</v>
      </c>
      <c r="N40" s="43" t="s">
        <v>55</v>
      </c>
      <c r="O40" s="105" t="s">
        <v>68</v>
      </c>
      <c r="P40" s="101" t="s">
        <v>706</v>
      </c>
      <c r="Q40" s="107" t="s">
        <v>709</v>
      </c>
    </row>
    <row r="41" ht="39.75" customHeight="1">
      <c r="A41" s="73" t="s">
        <v>855</v>
      </c>
      <c r="B41" s="75" t="s">
        <v>60</v>
      </c>
      <c r="C41" s="73" t="s">
        <v>299</v>
      </c>
      <c r="D41" s="77">
        <v>2.0</v>
      </c>
      <c r="E41" s="77" t="s">
        <v>146</v>
      </c>
      <c r="F41" s="77" t="s">
        <v>148</v>
      </c>
      <c r="G41" s="77" t="s">
        <v>149</v>
      </c>
      <c r="H41" s="77" t="s">
        <v>151</v>
      </c>
      <c r="I41" s="75"/>
      <c r="J41" s="81" t="s">
        <v>300</v>
      </c>
      <c r="K41" s="45" t="s">
        <v>301</v>
      </c>
      <c r="L41" s="156" t="s">
        <v>218</v>
      </c>
      <c r="M41" s="50" t="s">
        <v>64</v>
      </c>
      <c r="N41" s="43" t="s">
        <v>55</v>
      </c>
      <c r="O41" s="59" t="s">
        <v>68</v>
      </c>
      <c r="P41" s="45" t="s">
        <v>706</v>
      </c>
      <c r="Q41" s="44" t="s">
        <v>709</v>
      </c>
    </row>
    <row r="42" ht="39.75" customHeight="1">
      <c r="A42" s="94" t="s">
        <v>857</v>
      </c>
      <c r="B42" s="96" t="s">
        <v>60</v>
      </c>
      <c r="C42" s="94" t="s">
        <v>299</v>
      </c>
      <c r="D42" s="97">
        <v>2.0</v>
      </c>
      <c r="E42" s="97" t="s">
        <v>146</v>
      </c>
      <c r="F42" s="97" t="s">
        <v>148</v>
      </c>
      <c r="G42" s="97" t="s">
        <v>149</v>
      </c>
      <c r="H42" s="97" t="s">
        <v>151</v>
      </c>
      <c r="I42" s="96"/>
      <c r="J42" s="100" t="s">
        <v>300</v>
      </c>
      <c r="K42" s="101" t="s">
        <v>301</v>
      </c>
      <c r="L42" s="148" t="s">
        <v>199</v>
      </c>
      <c r="M42" s="50" t="s">
        <v>64</v>
      </c>
      <c r="N42" s="43" t="s">
        <v>55</v>
      </c>
      <c r="O42" s="105" t="s">
        <v>68</v>
      </c>
      <c r="P42" s="101" t="s">
        <v>706</v>
      </c>
      <c r="Q42" s="107" t="s">
        <v>709</v>
      </c>
    </row>
    <row r="43" ht="39.75" customHeight="1">
      <c r="A43" s="73" t="s">
        <v>816</v>
      </c>
      <c r="B43" s="75" t="s">
        <v>60</v>
      </c>
      <c r="C43" s="73" t="s">
        <v>302</v>
      </c>
      <c r="D43" s="77">
        <v>3.0</v>
      </c>
      <c r="E43" s="77" t="s">
        <v>146</v>
      </c>
      <c r="F43" s="77" t="s">
        <v>148</v>
      </c>
      <c r="G43" s="77" t="s">
        <v>149</v>
      </c>
      <c r="H43" s="77" t="s">
        <v>151</v>
      </c>
      <c r="I43" s="75"/>
      <c r="J43" s="81" t="s">
        <v>306</v>
      </c>
      <c r="K43" s="45" t="s">
        <v>307</v>
      </c>
      <c r="L43" s="125" t="s">
        <v>92</v>
      </c>
      <c r="M43" s="86" t="s">
        <v>164</v>
      </c>
      <c r="N43" s="43" t="s">
        <v>55</v>
      </c>
      <c r="O43" s="59" t="s">
        <v>68</v>
      </c>
      <c r="P43" s="45" t="s">
        <v>706</v>
      </c>
      <c r="Q43" s="44" t="s">
        <v>709</v>
      </c>
    </row>
    <row r="44" ht="39.75" customHeight="1">
      <c r="A44" s="94" t="s">
        <v>817</v>
      </c>
      <c r="B44" s="96" t="s">
        <v>60</v>
      </c>
      <c r="C44" s="94" t="s">
        <v>302</v>
      </c>
      <c r="D44" s="97">
        <v>3.0</v>
      </c>
      <c r="E44" s="97" t="s">
        <v>146</v>
      </c>
      <c r="F44" s="97" t="s">
        <v>148</v>
      </c>
      <c r="G44" s="97" t="s">
        <v>149</v>
      </c>
      <c r="H44" s="97" t="s">
        <v>151</v>
      </c>
      <c r="I44" s="96"/>
      <c r="J44" s="100" t="s">
        <v>306</v>
      </c>
      <c r="K44" s="101" t="s">
        <v>307</v>
      </c>
      <c r="L44" s="140" t="s">
        <v>52</v>
      </c>
      <c r="M44" s="86" t="s">
        <v>164</v>
      </c>
      <c r="N44" s="43" t="s">
        <v>55</v>
      </c>
      <c r="O44" s="105" t="s">
        <v>68</v>
      </c>
      <c r="P44" s="101" t="s">
        <v>706</v>
      </c>
      <c r="Q44" s="107" t="s">
        <v>709</v>
      </c>
    </row>
    <row r="45" ht="30.0" customHeight="1">
      <c r="A45" s="73" t="s">
        <v>827</v>
      </c>
      <c r="B45" s="75" t="s">
        <v>60</v>
      </c>
      <c r="C45" s="73" t="s">
        <v>302</v>
      </c>
      <c r="D45" s="77">
        <v>3.0</v>
      </c>
      <c r="E45" s="77" t="s">
        <v>146</v>
      </c>
      <c r="F45" s="77" t="s">
        <v>148</v>
      </c>
      <c r="G45" s="77" t="s">
        <v>149</v>
      </c>
      <c r="H45" s="77" t="s">
        <v>151</v>
      </c>
      <c r="I45" s="75"/>
      <c r="J45" s="81" t="s">
        <v>306</v>
      </c>
      <c r="K45" s="45" t="s">
        <v>307</v>
      </c>
      <c r="L45" s="137" t="s">
        <v>164</v>
      </c>
      <c r="M45" s="49" t="s">
        <v>63</v>
      </c>
      <c r="N45" s="43" t="s">
        <v>55</v>
      </c>
      <c r="O45" s="115" t="s">
        <v>56</v>
      </c>
      <c r="P45" s="45" t="s">
        <v>829</v>
      </c>
      <c r="Q45" s="44" t="s">
        <v>269</v>
      </c>
    </row>
    <row r="46" ht="39.75" customHeight="1">
      <c r="A46" s="94" t="s">
        <v>831</v>
      </c>
      <c r="B46" s="96" t="s">
        <v>60</v>
      </c>
      <c r="C46" s="94" t="s">
        <v>302</v>
      </c>
      <c r="D46" s="97">
        <v>3.0</v>
      </c>
      <c r="E46" s="97" t="s">
        <v>146</v>
      </c>
      <c r="F46" s="97" t="s">
        <v>148</v>
      </c>
      <c r="G46" s="97" t="s">
        <v>149</v>
      </c>
      <c r="H46" s="97" t="s">
        <v>151</v>
      </c>
      <c r="I46" s="96"/>
      <c r="J46" s="100" t="s">
        <v>306</v>
      </c>
      <c r="K46" s="101" t="s">
        <v>307</v>
      </c>
      <c r="L46" s="88" t="s">
        <v>63</v>
      </c>
      <c r="M46" s="50" t="s">
        <v>64</v>
      </c>
      <c r="N46" s="43" t="s">
        <v>55</v>
      </c>
      <c r="O46" s="105" t="s">
        <v>68</v>
      </c>
      <c r="P46" s="101" t="s">
        <v>706</v>
      </c>
      <c r="Q46" s="107" t="s">
        <v>709</v>
      </c>
    </row>
    <row r="47" ht="39.75" customHeight="1">
      <c r="A47" s="73" t="s">
        <v>832</v>
      </c>
      <c r="B47" s="75" t="s">
        <v>60</v>
      </c>
      <c r="C47" s="73" t="s">
        <v>302</v>
      </c>
      <c r="D47" s="77">
        <v>3.0</v>
      </c>
      <c r="E47" s="77" t="s">
        <v>146</v>
      </c>
      <c r="F47" s="77" t="s">
        <v>148</v>
      </c>
      <c r="G47" s="77" t="s">
        <v>149</v>
      </c>
      <c r="H47" s="77" t="s">
        <v>151</v>
      </c>
      <c r="I47" s="75"/>
      <c r="J47" s="81" t="s">
        <v>306</v>
      </c>
      <c r="K47" s="45" t="s">
        <v>307</v>
      </c>
      <c r="L47" s="88" t="s">
        <v>63</v>
      </c>
      <c r="M47" s="50" t="s">
        <v>64</v>
      </c>
      <c r="N47" s="43" t="s">
        <v>55</v>
      </c>
      <c r="O47" s="59" t="s">
        <v>68</v>
      </c>
      <c r="P47" s="45" t="s">
        <v>706</v>
      </c>
      <c r="Q47" s="44" t="s">
        <v>709</v>
      </c>
    </row>
    <row r="48" ht="30.0" customHeight="1">
      <c r="A48" s="94" t="s">
        <v>839</v>
      </c>
      <c r="B48" s="96" t="s">
        <v>60</v>
      </c>
      <c r="C48" s="94" t="s">
        <v>302</v>
      </c>
      <c r="D48" s="97">
        <v>3.0</v>
      </c>
      <c r="E48" s="97" t="s">
        <v>146</v>
      </c>
      <c r="F48" s="97" t="s">
        <v>148</v>
      </c>
      <c r="G48" s="97" t="s">
        <v>149</v>
      </c>
      <c r="H48" s="97" t="s">
        <v>151</v>
      </c>
      <c r="I48" s="96"/>
      <c r="J48" s="100" t="s">
        <v>306</v>
      </c>
      <c r="K48" s="101" t="s">
        <v>307</v>
      </c>
      <c r="L48" s="127" t="s">
        <v>64</v>
      </c>
      <c r="M48" s="62" t="s">
        <v>92</v>
      </c>
      <c r="N48" s="43" t="s">
        <v>55</v>
      </c>
      <c r="O48" s="124" t="s">
        <v>56</v>
      </c>
      <c r="P48" s="101" t="s">
        <v>841</v>
      </c>
      <c r="Q48" s="107"/>
    </row>
    <row r="49" ht="30.0" customHeight="1">
      <c r="A49" s="73" t="s">
        <v>845</v>
      </c>
      <c r="B49" s="75" t="s">
        <v>60</v>
      </c>
      <c r="C49" s="73" t="s">
        <v>302</v>
      </c>
      <c r="D49" s="77">
        <v>3.0</v>
      </c>
      <c r="E49" s="77" t="s">
        <v>146</v>
      </c>
      <c r="F49" s="77" t="s">
        <v>148</v>
      </c>
      <c r="G49" s="77" t="s">
        <v>149</v>
      </c>
      <c r="H49" s="77" t="s">
        <v>151</v>
      </c>
      <c r="I49" s="75"/>
      <c r="J49" s="81" t="s">
        <v>306</v>
      </c>
      <c r="K49" s="45" t="s">
        <v>307</v>
      </c>
      <c r="L49" s="127" t="s">
        <v>64</v>
      </c>
      <c r="M49" s="49" t="s">
        <v>63</v>
      </c>
      <c r="N49" s="43" t="s">
        <v>55</v>
      </c>
      <c r="O49" s="115" t="s">
        <v>56</v>
      </c>
      <c r="P49" s="45" t="s">
        <v>847</v>
      </c>
      <c r="Q49" s="44"/>
    </row>
    <row r="50" ht="39.75" customHeight="1">
      <c r="A50" s="94" t="s">
        <v>850</v>
      </c>
      <c r="B50" s="96" t="s">
        <v>60</v>
      </c>
      <c r="C50" s="94" t="s">
        <v>302</v>
      </c>
      <c r="D50" s="97">
        <v>3.0</v>
      </c>
      <c r="E50" s="97" t="s">
        <v>146</v>
      </c>
      <c r="F50" s="97" t="s">
        <v>148</v>
      </c>
      <c r="G50" s="97" t="s">
        <v>149</v>
      </c>
      <c r="H50" s="97" t="s">
        <v>151</v>
      </c>
      <c r="I50" s="96"/>
      <c r="J50" s="100" t="s">
        <v>306</v>
      </c>
      <c r="K50" s="101" t="s">
        <v>307</v>
      </c>
      <c r="L50" s="125" t="s">
        <v>92</v>
      </c>
      <c r="M50" s="50" t="s">
        <v>64</v>
      </c>
      <c r="N50" s="43" t="s">
        <v>55</v>
      </c>
      <c r="O50" s="105" t="s">
        <v>68</v>
      </c>
      <c r="P50" s="101" t="s">
        <v>706</v>
      </c>
      <c r="Q50" s="107" t="s">
        <v>709</v>
      </c>
    </row>
    <row r="51" ht="30.0" customHeight="1">
      <c r="A51" s="73" t="s">
        <v>851</v>
      </c>
      <c r="B51" s="75" t="s">
        <v>60</v>
      </c>
      <c r="C51" s="73" t="s">
        <v>302</v>
      </c>
      <c r="D51" s="77">
        <v>3.0</v>
      </c>
      <c r="E51" s="77" t="s">
        <v>146</v>
      </c>
      <c r="F51" s="77" t="s">
        <v>148</v>
      </c>
      <c r="G51" s="77" t="s">
        <v>149</v>
      </c>
      <c r="H51" s="77" t="s">
        <v>151</v>
      </c>
      <c r="I51" s="75"/>
      <c r="J51" s="81" t="s">
        <v>306</v>
      </c>
      <c r="K51" s="45" t="s">
        <v>307</v>
      </c>
      <c r="L51" s="137" t="s">
        <v>164</v>
      </c>
      <c r="M51" s="50" t="s">
        <v>64</v>
      </c>
      <c r="N51" s="43" t="s">
        <v>55</v>
      </c>
      <c r="O51" s="115" t="s">
        <v>56</v>
      </c>
      <c r="P51" s="45" t="s">
        <v>854</v>
      </c>
      <c r="Q51" s="44" t="s">
        <v>733</v>
      </c>
    </row>
    <row r="52" ht="39.75" customHeight="1">
      <c r="A52" s="94" t="s">
        <v>858</v>
      </c>
      <c r="B52" s="96" t="s">
        <v>60</v>
      </c>
      <c r="C52" s="94" t="s">
        <v>302</v>
      </c>
      <c r="D52" s="97">
        <v>3.0</v>
      </c>
      <c r="E52" s="97" t="s">
        <v>146</v>
      </c>
      <c r="F52" s="97" t="s">
        <v>148</v>
      </c>
      <c r="G52" s="97" t="s">
        <v>149</v>
      </c>
      <c r="H52" s="97" t="s">
        <v>151</v>
      </c>
      <c r="I52" s="96"/>
      <c r="J52" s="100" t="s">
        <v>306</v>
      </c>
      <c r="K52" s="101" t="s">
        <v>307</v>
      </c>
      <c r="L52" s="88" t="s">
        <v>63</v>
      </c>
      <c r="M52" s="50" t="s">
        <v>64</v>
      </c>
      <c r="N52" s="43" t="s">
        <v>55</v>
      </c>
      <c r="O52" s="105" t="s">
        <v>68</v>
      </c>
      <c r="P52" s="101" t="s">
        <v>706</v>
      </c>
      <c r="Q52" s="107" t="s">
        <v>709</v>
      </c>
    </row>
    <row r="53" ht="39.75" customHeight="1">
      <c r="A53" s="73" t="s">
        <v>860</v>
      </c>
      <c r="B53" s="75" t="s">
        <v>60</v>
      </c>
      <c r="C53" s="73" t="s">
        <v>302</v>
      </c>
      <c r="D53" s="77">
        <v>3.0</v>
      </c>
      <c r="E53" s="77" t="s">
        <v>146</v>
      </c>
      <c r="F53" s="77" t="s">
        <v>148</v>
      </c>
      <c r="G53" s="77" t="s">
        <v>149</v>
      </c>
      <c r="H53" s="77" t="s">
        <v>151</v>
      </c>
      <c r="I53" s="75"/>
      <c r="J53" s="81" t="s">
        <v>306</v>
      </c>
      <c r="K53" s="45" t="s">
        <v>307</v>
      </c>
      <c r="L53" s="137" t="s">
        <v>164</v>
      </c>
      <c r="M53" s="50" t="s">
        <v>64</v>
      </c>
      <c r="N53" s="43" t="s">
        <v>55</v>
      </c>
      <c r="O53" s="59" t="s">
        <v>68</v>
      </c>
      <c r="P53" s="45" t="s">
        <v>706</v>
      </c>
      <c r="Q53" s="44" t="s">
        <v>709</v>
      </c>
    </row>
    <row r="54" ht="30.0" customHeight="1">
      <c r="A54" s="94" t="s">
        <v>861</v>
      </c>
      <c r="B54" s="96" t="s">
        <v>60</v>
      </c>
      <c r="C54" s="94" t="s">
        <v>302</v>
      </c>
      <c r="D54" s="97">
        <v>3.0</v>
      </c>
      <c r="E54" s="97" t="s">
        <v>146</v>
      </c>
      <c r="F54" s="97" t="s">
        <v>148</v>
      </c>
      <c r="G54" s="97" t="s">
        <v>149</v>
      </c>
      <c r="H54" s="97" t="s">
        <v>151</v>
      </c>
      <c r="I54" s="96"/>
      <c r="J54" s="100" t="s">
        <v>306</v>
      </c>
      <c r="K54" s="101" t="s">
        <v>307</v>
      </c>
      <c r="L54" s="88" t="s">
        <v>63</v>
      </c>
      <c r="M54" s="86" t="s">
        <v>164</v>
      </c>
      <c r="N54" s="43" t="s">
        <v>55</v>
      </c>
      <c r="O54" s="124" t="s">
        <v>56</v>
      </c>
      <c r="P54" s="101" t="s">
        <v>863</v>
      </c>
      <c r="Q54" s="107"/>
    </row>
    <row r="55" ht="39.75" customHeight="1">
      <c r="A55" s="73" t="s">
        <v>865</v>
      </c>
      <c r="B55" s="75" t="s">
        <v>60</v>
      </c>
      <c r="C55" s="73" t="s">
        <v>302</v>
      </c>
      <c r="D55" s="77">
        <v>3.0</v>
      </c>
      <c r="E55" s="77" t="s">
        <v>146</v>
      </c>
      <c r="F55" s="77" t="s">
        <v>148</v>
      </c>
      <c r="G55" s="77" t="s">
        <v>149</v>
      </c>
      <c r="H55" s="77" t="s">
        <v>151</v>
      </c>
      <c r="I55" s="75"/>
      <c r="J55" s="81" t="s">
        <v>306</v>
      </c>
      <c r="K55" s="45" t="s">
        <v>307</v>
      </c>
      <c r="L55" s="125" t="s">
        <v>92</v>
      </c>
      <c r="M55" s="50" t="s">
        <v>64</v>
      </c>
      <c r="N55" s="43" t="s">
        <v>55</v>
      </c>
      <c r="O55" s="59" t="s">
        <v>68</v>
      </c>
      <c r="P55" s="45" t="s">
        <v>706</v>
      </c>
      <c r="Q55" s="44" t="s">
        <v>709</v>
      </c>
    </row>
    <row r="56" ht="30.0" customHeight="1">
      <c r="A56" s="94" t="s">
        <v>867</v>
      </c>
      <c r="B56" s="96" t="s">
        <v>60</v>
      </c>
      <c r="C56" s="94" t="s">
        <v>302</v>
      </c>
      <c r="D56" s="97">
        <v>3.0</v>
      </c>
      <c r="E56" s="97" t="s">
        <v>146</v>
      </c>
      <c r="F56" s="97" t="s">
        <v>148</v>
      </c>
      <c r="G56" s="97" t="s">
        <v>149</v>
      </c>
      <c r="H56" s="97" t="s">
        <v>151</v>
      </c>
      <c r="I56" s="96"/>
      <c r="J56" s="100" t="s">
        <v>306</v>
      </c>
      <c r="K56" s="101" t="s">
        <v>307</v>
      </c>
      <c r="L56" s="88" t="s">
        <v>63</v>
      </c>
      <c r="M56" s="86" t="s">
        <v>164</v>
      </c>
      <c r="N56" s="43" t="s">
        <v>55</v>
      </c>
      <c r="O56" s="124" t="s">
        <v>56</v>
      </c>
      <c r="P56" s="101" t="s">
        <v>869</v>
      </c>
      <c r="Q56" s="107"/>
    </row>
    <row r="57" ht="39.75" customHeight="1">
      <c r="A57" s="73" t="s">
        <v>871</v>
      </c>
      <c r="B57" s="75" t="s">
        <v>60</v>
      </c>
      <c r="C57" s="73" t="s">
        <v>302</v>
      </c>
      <c r="D57" s="77">
        <v>3.0</v>
      </c>
      <c r="E57" s="77" t="s">
        <v>146</v>
      </c>
      <c r="F57" s="77" t="s">
        <v>148</v>
      </c>
      <c r="G57" s="77" t="s">
        <v>149</v>
      </c>
      <c r="H57" s="158" t="s">
        <v>466</v>
      </c>
      <c r="I57" s="75"/>
      <c r="J57" s="81" t="s">
        <v>306</v>
      </c>
      <c r="K57" s="45" t="s">
        <v>307</v>
      </c>
      <c r="L57" s="125" t="s">
        <v>92</v>
      </c>
      <c r="M57" s="50" t="s">
        <v>64</v>
      </c>
      <c r="N57" s="43" t="s">
        <v>55</v>
      </c>
      <c r="O57" s="59" t="s">
        <v>187</v>
      </c>
      <c r="P57" s="45" t="s">
        <v>801</v>
      </c>
      <c r="Q57" s="44" t="s">
        <v>872</v>
      </c>
    </row>
    <row r="58" ht="30.0" customHeight="1">
      <c r="A58" s="94" t="s">
        <v>873</v>
      </c>
      <c r="B58" s="96" t="s">
        <v>60</v>
      </c>
      <c r="C58" s="94" t="s">
        <v>302</v>
      </c>
      <c r="D58" s="97">
        <v>3.0</v>
      </c>
      <c r="E58" s="97" t="s">
        <v>146</v>
      </c>
      <c r="F58" s="97" t="s">
        <v>148</v>
      </c>
      <c r="G58" s="97" t="s">
        <v>149</v>
      </c>
      <c r="H58" s="97" t="s">
        <v>151</v>
      </c>
      <c r="I58" s="96"/>
      <c r="J58" s="100" t="s">
        <v>306</v>
      </c>
      <c r="K58" s="101" t="s">
        <v>307</v>
      </c>
      <c r="L58" s="88" t="s">
        <v>63</v>
      </c>
      <c r="M58" s="50" t="s">
        <v>64</v>
      </c>
      <c r="N58" s="43" t="s">
        <v>55</v>
      </c>
      <c r="O58" s="124" t="s">
        <v>56</v>
      </c>
      <c r="P58" s="101" t="s">
        <v>875</v>
      </c>
      <c r="Q58" s="107"/>
    </row>
    <row r="59" ht="39.75" customHeight="1">
      <c r="A59" s="73" t="s">
        <v>876</v>
      </c>
      <c r="B59" s="75" t="s">
        <v>60</v>
      </c>
      <c r="C59" s="73" t="s">
        <v>302</v>
      </c>
      <c r="D59" s="77">
        <v>3.0</v>
      </c>
      <c r="E59" s="77" t="s">
        <v>146</v>
      </c>
      <c r="F59" s="77" t="s">
        <v>148</v>
      </c>
      <c r="G59" s="77" t="s">
        <v>149</v>
      </c>
      <c r="H59" s="158" t="s">
        <v>466</v>
      </c>
      <c r="I59" s="75"/>
      <c r="J59" s="81" t="s">
        <v>306</v>
      </c>
      <c r="K59" s="45" t="s">
        <v>307</v>
      </c>
      <c r="L59" s="127" t="s">
        <v>64</v>
      </c>
      <c r="M59" s="49" t="s">
        <v>63</v>
      </c>
      <c r="N59" s="43" t="s">
        <v>55</v>
      </c>
      <c r="O59" s="59" t="s">
        <v>187</v>
      </c>
      <c r="P59" s="45" t="s">
        <v>706</v>
      </c>
      <c r="Q59" s="44" t="s">
        <v>877</v>
      </c>
    </row>
    <row r="60" ht="30.0" customHeight="1">
      <c r="A60" s="94" t="s">
        <v>878</v>
      </c>
      <c r="B60" s="96" t="s">
        <v>60</v>
      </c>
      <c r="C60" s="94" t="s">
        <v>302</v>
      </c>
      <c r="D60" s="97">
        <v>3.0</v>
      </c>
      <c r="E60" s="97" t="s">
        <v>146</v>
      </c>
      <c r="F60" s="97" t="s">
        <v>148</v>
      </c>
      <c r="G60" s="97" t="s">
        <v>149</v>
      </c>
      <c r="H60" s="97" t="s">
        <v>151</v>
      </c>
      <c r="I60" s="96"/>
      <c r="J60" s="100" t="s">
        <v>306</v>
      </c>
      <c r="K60" s="101" t="s">
        <v>307</v>
      </c>
      <c r="L60" s="137" t="s">
        <v>164</v>
      </c>
      <c r="M60" s="50" t="s">
        <v>64</v>
      </c>
      <c r="N60" s="43" t="s">
        <v>55</v>
      </c>
      <c r="O60" s="124" t="s">
        <v>56</v>
      </c>
      <c r="P60" s="101" t="s">
        <v>880</v>
      </c>
      <c r="Q60" s="107" t="s">
        <v>881</v>
      </c>
    </row>
    <row r="61" ht="39.75" customHeight="1">
      <c r="A61" s="73" t="s">
        <v>882</v>
      </c>
      <c r="B61" s="75" t="s">
        <v>60</v>
      </c>
      <c r="C61" s="73" t="s">
        <v>302</v>
      </c>
      <c r="D61" s="77">
        <v>3.0</v>
      </c>
      <c r="E61" s="77" t="s">
        <v>146</v>
      </c>
      <c r="F61" s="77" t="s">
        <v>148</v>
      </c>
      <c r="G61" s="77" t="s">
        <v>149</v>
      </c>
      <c r="H61" s="77" t="s">
        <v>151</v>
      </c>
      <c r="I61" s="75"/>
      <c r="J61" s="81" t="s">
        <v>306</v>
      </c>
      <c r="K61" s="45" t="s">
        <v>307</v>
      </c>
      <c r="L61" s="125" t="s">
        <v>92</v>
      </c>
      <c r="M61" s="86" t="s">
        <v>164</v>
      </c>
      <c r="N61" s="43" t="s">
        <v>55</v>
      </c>
      <c r="O61" s="59" t="s">
        <v>68</v>
      </c>
      <c r="P61" s="45" t="s">
        <v>706</v>
      </c>
      <c r="Q61" s="44" t="s">
        <v>709</v>
      </c>
    </row>
    <row r="62" ht="30.0" customHeight="1">
      <c r="A62" s="94" t="s">
        <v>883</v>
      </c>
      <c r="B62" s="96" t="s">
        <v>60</v>
      </c>
      <c r="C62" s="94" t="s">
        <v>302</v>
      </c>
      <c r="D62" s="97">
        <v>3.0</v>
      </c>
      <c r="E62" s="97" t="s">
        <v>146</v>
      </c>
      <c r="F62" s="97" t="s">
        <v>148</v>
      </c>
      <c r="G62" s="97" t="s">
        <v>149</v>
      </c>
      <c r="H62" s="97" t="s">
        <v>151</v>
      </c>
      <c r="I62" s="96"/>
      <c r="J62" s="100" t="s">
        <v>306</v>
      </c>
      <c r="K62" s="101" t="s">
        <v>307</v>
      </c>
      <c r="L62" s="127" t="s">
        <v>64</v>
      </c>
      <c r="M62" s="49" t="s">
        <v>63</v>
      </c>
      <c r="N62" s="43" t="s">
        <v>55</v>
      </c>
      <c r="O62" s="124" t="s">
        <v>56</v>
      </c>
      <c r="P62" s="101" t="s">
        <v>885</v>
      </c>
      <c r="Q62" s="107"/>
    </row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AD0CE2C5-50CF-4A56-AB4F-E539F3D82A50}" filter="1" showAutoFilter="1">
      <autoFilter ref="$A$6:$Q$62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15" ref="J7"/>
    <hyperlink r:id="rId5" ref="K7"/>
    <hyperlink r:id="rId6" location="'Club Colours'!A259" ref="L7"/>
    <hyperlink r:id="rId7" ref="P7"/>
    <hyperlink r:id="rId8" location="'Sources'!A15" ref="J8"/>
    <hyperlink r:id="rId9" ref="K8"/>
    <hyperlink r:id="rId10" location="'Club Colours'!A265" ref="L8"/>
    <hyperlink r:id="rId11" ref="P8"/>
    <hyperlink r:id="rId12" location="'Sources'!A15" ref="J9"/>
    <hyperlink r:id="rId13" ref="K9"/>
    <hyperlink r:id="rId14" location="'Club Colours'!A266" ref="L9"/>
    <hyperlink r:id="rId15" ref="P9"/>
    <hyperlink r:id="rId16" location="'Sources'!A15" ref="J10"/>
    <hyperlink r:id="rId17" ref="K10"/>
    <hyperlink r:id="rId18" location="'Club Colours'!A267" ref="L10"/>
    <hyperlink r:id="rId19" ref="P10"/>
    <hyperlink r:id="rId20" location="'Sources'!A15" ref="J11"/>
    <hyperlink r:id="rId21" ref="K11"/>
    <hyperlink r:id="rId22" location="'Club Colours'!A268" ref="L11"/>
    <hyperlink r:id="rId23" ref="P11"/>
    <hyperlink r:id="rId24" location="'Sources'!A15" ref="J12"/>
    <hyperlink r:id="rId25" ref="K12"/>
    <hyperlink r:id="rId26" location="'Club Colours'!A272" ref="L12"/>
    <hyperlink r:id="rId27" ref="P12"/>
    <hyperlink r:id="rId28" location="'Sources'!A15" ref="J13"/>
    <hyperlink r:id="rId29" ref="K13"/>
    <hyperlink r:id="rId30" location="'Club Colours'!A274" ref="L13"/>
    <hyperlink r:id="rId31" ref="P13"/>
    <hyperlink r:id="rId32" location="'Sources'!A15" ref="J14"/>
    <hyperlink r:id="rId33" ref="K14"/>
    <hyperlink r:id="rId34" location="'Club Colours'!A280" ref="L14"/>
    <hyperlink r:id="rId35" ref="P14"/>
    <hyperlink r:id="rId36" location="'Sources'!A15" ref="J15"/>
    <hyperlink r:id="rId37" ref="K15"/>
    <hyperlink r:id="rId38" location="'Club Colours'!A287" ref="L15"/>
    <hyperlink r:id="rId39" ref="P15"/>
    <hyperlink r:id="rId40" location="'Sources'!A15" ref="J16"/>
    <hyperlink r:id="rId41" ref="K16"/>
    <hyperlink r:id="rId42" location="'Club Colours'!A290" ref="L16"/>
    <hyperlink r:id="rId43" ref="P16"/>
    <hyperlink r:id="rId44" location="'Sources'!A15" ref="J17"/>
    <hyperlink r:id="rId45" ref="K17"/>
    <hyperlink r:id="rId46" location="'Club Colours'!A292" ref="L17"/>
    <hyperlink r:id="rId47" ref="P17"/>
    <hyperlink r:id="rId48" location="'Sources'!A15" ref="J18"/>
    <hyperlink r:id="rId49" ref="K18"/>
    <hyperlink r:id="rId50" location="'Club Colours'!A293" ref="L18"/>
    <hyperlink r:id="rId51" ref="P18"/>
    <hyperlink r:id="rId52" location="'Sources'!A15" ref="J19"/>
    <hyperlink r:id="rId53" ref="K19"/>
    <hyperlink r:id="rId54" location="'Club Colours'!A295" ref="L19"/>
    <hyperlink r:id="rId55" ref="P19"/>
    <hyperlink r:id="rId56" location="'Sources'!A15" ref="J20"/>
    <hyperlink r:id="rId57" ref="K20"/>
    <hyperlink r:id="rId58" location="'Club Colours'!A297" ref="L20"/>
    <hyperlink r:id="rId59" ref="P20"/>
    <hyperlink r:id="rId60" location="'Sources'!A15" ref="J21"/>
    <hyperlink r:id="rId61" ref="K21"/>
    <hyperlink r:id="rId62" location="'Club Colours'!A300" ref="L21"/>
    <hyperlink r:id="rId63" ref="P21"/>
    <hyperlink r:id="rId64" location="'Sources'!A15" ref="J22"/>
    <hyperlink r:id="rId65" ref="K22"/>
    <hyperlink r:id="rId66" location="'Club Colours'!A303" ref="L22"/>
    <hyperlink r:id="rId67" ref="P22"/>
    <hyperlink r:id="rId68" location="'Sources'!A15" ref="J23"/>
    <hyperlink r:id="rId69" ref="K23"/>
    <hyperlink r:id="rId70" location="'Club Colours'!A304" ref="L23"/>
    <hyperlink r:id="rId71" ref="P23"/>
    <hyperlink r:id="rId72" location="'Sources'!A15" ref="J24"/>
    <hyperlink r:id="rId73" ref="K24"/>
    <hyperlink r:id="rId74" location="'Club Colours'!A311" ref="L24"/>
    <hyperlink r:id="rId75" ref="P24"/>
    <hyperlink r:id="rId76" location="'Sources'!A16" ref="J25"/>
    <hyperlink r:id="rId77" ref="K25"/>
    <hyperlink r:id="rId78" location="'Club Colours'!A257" ref="L25"/>
    <hyperlink r:id="rId79" ref="P25"/>
    <hyperlink r:id="rId80" location="'Sources'!A16" ref="J26"/>
    <hyperlink r:id="rId81" ref="K26"/>
    <hyperlink r:id="rId82" location="'Club Colours'!A258" ref="L26"/>
    <hyperlink r:id="rId83" ref="P26"/>
    <hyperlink r:id="rId84" location="'Sources'!A16" ref="J27"/>
    <hyperlink r:id="rId85" ref="K27"/>
    <hyperlink r:id="rId86" location="'Club Colours'!A260" ref="L27"/>
    <hyperlink r:id="rId87" ref="P27"/>
    <hyperlink r:id="rId88" location="'Sources'!A16" ref="J28"/>
    <hyperlink r:id="rId89" ref="K28"/>
    <hyperlink r:id="rId90" location="'Club Colours'!A261" ref="L28"/>
    <hyperlink r:id="rId91" ref="P28"/>
    <hyperlink r:id="rId92" location="'Sources'!A16" ref="J29"/>
    <hyperlink r:id="rId93" ref="K29"/>
    <hyperlink r:id="rId94" location="'Club Colours'!A264" ref="L29"/>
    <hyperlink r:id="rId95" ref="P29"/>
    <hyperlink r:id="rId96" location="'Sources'!A16" ref="J30"/>
    <hyperlink r:id="rId97" ref="K30"/>
    <hyperlink r:id="rId98" location="'Club Colours'!A269" ref="L30"/>
    <hyperlink r:id="rId99" ref="P30"/>
    <hyperlink r:id="rId100" location="'Sources'!A16" ref="J31"/>
    <hyperlink r:id="rId101" ref="K31"/>
    <hyperlink r:id="rId102" location="'Club Colours'!A270" ref="L31"/>
    <hyperlink r:id="rId103" ref="P31"/>
    <hyperlink r:id="rId104" location="'Sources'!A16" ref="J32"/>
    <hyperlink r:id="rId105" ref="K32"/>
    <hyperlink r:id="rId106" location="'Club Colours'!A271" ref="L32"/>
    <hyperlink r:id="rId107" ref="P32"/>
    <hyperlink r:id="rId108" location="'Sources'!A16" ref="J33"/>
    <hyperlink r:id="rId109" ref="K33"/>
    <hyperlink r:id="rId110" location="'Club Colours'!A273" ref="L33"/>
    <hyperlink r:id="rId111" ref="P33"/>
    <hyperlink r:id="rId112" location="'Sources'!A16" ref="J34"/>
    <hyperlink r:id="rId113" ref="K34"/>
    <hyperlink r:id="rId114" location="'Club Colours'!A276" ref="L34"/>
    <hyperlink r:id="rId115" ref="P34"/>
    <hyperlink r:id="rId116" location="'Sources'!A16" ref="J35"/>
    <hyperlink r:id="rId117" ref="K35"/>
    <hyperlink r:id="rId118" location="'Club Colours'!A279" ref="L35"/>
    <hyperlink r:id="rId119" ref="P35"/>
    <hyperlink r:id="rId120" location="'Sources'!A16" ref="J36"/>
    <hyperlink r:id="rId121" ref="K36"/>
    <hyperlink r:id="rId122" location="'Club Colours'!A281" ref="L36"/>
    <hyperlink r:id="rId123" ref="P36"/>
    <hyperlink r:id="rId124" location="'Sources'!A16" ref="J37"/>
    <hyperlink r:id="rId125" ref="K37"/>
    <hyperlink r:id="rId126" location="'Club Colours'!A283" ref="L37"/>
    <hyperlink r:id="rId127" ref="P37"/>
    <hyperlink r:id="rId128" location="'Sources'!A16" ref="J38"/>
    <hyperlink r:id="rId129" ref="K38"/>
    <hyperlink r:id="rId130" location="'Club Colours'!A284" ref="L38"/>
    <hyperlink r:id="rId131" ref="P38"/>
    <hyperlink r:id="rId132" location="'Sources'!A16" ref="J39"/>
    <hyperlink r:id="rId133" ref="K39"/>
    <hyperlink r:id="rId134" location="'Club Colours'!A286" ref="L39"/>
    <hyperlink r:id="rId135" ref="P39"/>
    <hyperlink r:id="rId136" location="'Sources'!A16" ref="J40"/>
    <hyperlink r:id="rId137" ref="K40"/>
    <hyperlink r:id="rId138" location="'Club Colours'!A306" ref="L40"/>
    <hyperlink r:id="rId139" ref="P40"/>
    <hyperlink r:id="rId140" location="'Sources'!A16" ref="J41"/>
    <hyperlink r:id="rId141" ref="K41"/>
    <hyperlink r:id="rId142" location="'Club Colours'!A307" ref="L41"/>
    <hyperlink r:id="rId143" ref="P41"/>
    <hyperlink r:id="rId144" location="'Sources'!A16" ref="J42"/>
    <hyperlink r:id="rId145" ref="K42"/>
    <hyperlink r:id="rId146" location="'Club Colours'!A308" ref="L42"/>
    <hyperlink r:id="rId147" ref="P42"/>
    <hyperlink r:id="rId148" location="'Sources'!A17" ref="J43"/>
    <hyperlink r:id="rId149" ref="K43"/>
    <hyperlink r:id="rId150" location="'Club Colours'!A262" ref="L43"/>
    <hyperlink r:id="rId151" ref="P43"/>
    <hyperlink r:id="rId152" location="'Sources'!A17" ref="J44"/>
    <hyperlink r:id="rId153" ref="K44"/>
    <hyperlink r:id="rId154" location="'Club Colours'!A263" ref="L44"/>
    <hyperlink r:id="rId155" ref="P44"/>
    <hyperlink r:id="rId156" location="'Sources'!A17" ref="J45"/>
    <hyperlink r:id="rId157" ref="K45"/>
    <hyperlink r:id="rId158" location="'Club Colours'!A275" ref="L45"/>
    <hyperlink r:id="rId159" ref="P45"/>
    <hyperlink r:id="rId160" location="'Sources'!A17" ref="J46"/>
    <hyperlink r:id="rId161" ref="K46"/>
    <hyperlink r:id="rId162" location="'Club Colours'!A277" ref="L46"/>
    <hyperlink r:id="rId163" ref="P46"/>
    <hyperlink r:id="rId164" location="'Sources'!A17" ref="J47"/>
    <hyperlink r:id="rId165" ref="K47"/>
    <hyperlink r:id="rId166" location="'Club Colours'!A278" ref="L47"/>
    <hyperlink r:id="rId167" ref="P47"/>
    <hyperlink r:id="rId168" location="'Sources'!A17" ref="J48"/>
    <hyperlink r:id="rId169" ref="K48"/>
    <hyperlink r:id="rId170" location="'Club Colours'!A282" ref="L48"/>
    <hyperlink r:id="rId171" ref="P48"/>
    <hyperlink r:id="rId172" location="'Sources'!A17" ref="J49"/>
    <hyperlink r:id="rId173" ref="K49"/>
    <hyperlink r:id="rId174" location="'Club Colours'!A285" ref="L49"/>
    <hyperlink r:id="rId175" ref="P49"/>
    <hyperlink r:id="rId176" location="'Sources'!A17" ref="J50"/>
    <hyperlink r:id="rId177" ref="K50"/>
    <hyperlink r:id="rId178" location="'Club Colours'!A288" ref="L50"/>
    <hyperlink r:id="rId179" ref="P50"/>
    <hyperlink r:id="rId180" location="'Sources'!A17" ref="J51"/>
    <hyperlink r:id="rId181" ref="K51"/>
    <hyperlink r:id="rId182" location="'Club Colours'!A289" ref="L51"/>
    <hyperlink r:id="rId183" ref="P51"/>
    <hyperlink r:id="rId184" location="'Sources'!A17" ref="J52"/>
    <hyperlink r:id="rId185" ref="K52"/>
    <hyperlink r:id="rId186" location="'Club Colours'!A291" ref="L52"/>
    <hyperlink r:id="rId187" ref="P52"/>
    <hyperlink r:id="rId188" location="'Sources'!A17" ref="J53"/>
    <hyperlink r:id="rId189" ref="K53"/>
    <hyperlink r:id="rId190" location="'Club Colours'!A294" ref="L53"/>
    <hyperlink r:id="rId191" ref="P53"/>
    <hyperlink r:id="rId192" location="'Sources'!A17" ref="J54"/>
    <hyperlink r:id="rId193" ref="K54"/>
    <hyperlink r:id="rId194" location="'Club Colours'!A296" ref="L54"/>
    <hyperlink r:id="rId195" ref="P54"/>
    <hyperlink r:id="rId196" location="'Sources'!A17" ref="J55"/>
    <hyperlink r:id="rId197" ref="K55"/>
    <hyperlink r:id="rId198" location="'Club Colours'!A298" ref="L55"/>
    <hyperlink r:id="rId199" ref="P55"/>
    <hyperlink r:id="rId200" location="'Sources'!A17" ref="J56"/>
    <hyperlink r:id="rId201" ref="K56"/>
    <hyperlink r:id="rId202" location="'Club Colours'!A299" ref="L56"/>
    <hyperlink r:id="rId203" ref="P56"/>
    <hyperlink r:id="rId204" location="'Sources'!A17" ref="J57"/>
    <hyperlink r:id="rId205" ref="K57"/>
    <hyperlink r:id="rId206" location="'Club Colours'!A301" ref="L57"/>
    <hyperlink r:id="rId207" ref="P57"/>
    <hyperlink r:id="rId208" location="'Sources'!A17" ref="J58"/>
    <hyperlink r:id="rId209" ref="K58"/>
    <hyperlink r:id="rId210" location="'Club Colours'!A302" ref="L58"/>
    <hyperlink r:id="rId211" ref="P58"/>
    <hyperlink r:id="rId212" location="'Sources'!A17" ref="J59"/>
    <hyperlink r:id="rId213" ref="K59"/>
    <hyperlink r:id="rId214" location="'Club Colours'!A305" ref="L59"/>
    <hyperlink r:id="rId215" ref="P59"/>
    <hyperlink r:id="rId216" location="'Sources'!A17" ref="J60"/>
    <hyperlink r:id="rId217" ref="K60"/>
    <hyperlink r:id="rId218" location="'Club Colours'!A309" ref="L60"/>
    <hyperlink r:id="rId219" ref="P60"/>
    <hyperlink r:id="rId220" location="'Sources'!A17" ref="J61"/>
    <hyperlink r:id="rId221" ref="K61"/>
    <hyperlink r:id="rId222" location="'Club Colours'!A310" ref="L61"/>
    <hyperlink r:id="rId223" ref="P61"/>
    <hyperlink r:id="rId224" location="'Sources'!A17" ref="J62"/>
    <hyperlink r:id="rId225" ref="K62"/>
    <hyperlink r:id="rId226" location="'Club Colours'!A312" ref="L62"/>
    <hyperlink r:id="rId227" ref="P62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228"/>
  <legacyDrawing r:id="rId229"/>
  <tableParts count="1">
    <tablePart r:id="rId23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959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276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9.75" customHeight="1">
      <c r="A7" s="73" t="s">
        <v>889</v>
      </c>
      <c r="B7" s="75" t="s">
        <v>66</v>
      </c>
      <c r="C7" s="73" t="s">
        <v>309</v>
      </c>
      <c r="D7" s="77">
        <v>1.0</v>
      </c>
      <c r="E7" s="77" t="s">
        <v>146</v>
      </c>
      <c r="F7" s="77" t="s">
        <v>148</v>
      </c>
      <c r="G7" s="77" t="s">
        <v>149</v>
      </c>
      <c r="H7" s="77" t="s">
        <v>151</v>
      </c>
      <c r="I7" s="75"/>
      <c r="J7" s="81" t="s">
        <v>313</v>
      </c>
      <c r="K7" s="45" t="s">
        <v>314</v>
      </c>
      <c r="L7" s="127" t="s">
        <v>64</v>
      </c>
      <c r="M7" s="86" t="s">
        <v>164</v>
      </c>
      <c r="N7" s="43" t="s">
        <v>55</v>
      </c>
      <c r="O7" s="59" t="s">
        <v>68</v>
      </c>
      <c r="P7" s="45" t="s">
        <v>891</v>
      </c>
      <c r="Q7" s="44" t="s">
        <v>893</v>
      </c>
    </row>
    <row r="8" ht="39.75" customHeight="1">
      <c r="A8" s="94" t="s">
        <v>898</v>
      </c>
      <c r="B8" s="96" t="s">
        <v>66</v>
      </c>
      <c r="C8" s="94" t="s">
        <v>309</v>
      </c>
      <c r="D8" s="97">
        <v>1.0</v>
      </c>
      <c r="E8" s="97" t="s">
        <v>146</v>
      </c>
      <c r="F8" s="97" t="s">
        <v>148</v>
      </c>
      <c r="G8" s="97" t="s">
        <v>149</v>
      </c>
      <c r="H8" s="97" t="s">
        <v>151</v>
      </c>
      <c r="I8" s="96"/>
      <c r="J8" s="100" t="s">
        <v>313</v>
      </c>
      <c r="K8" s="101" t="s">
        <v>314</v>
      </c>
      <c r="L8" s="127" t="s">
        <v>64</v>
      </c>
      <c r="M8" s="62" t="s">
        <v>92</v>
      </c>
      <c r="N8" s="43" t="s">
        <v>55</v>
      </c>
      <c r="O8" s="105" t="s">
        <v>68</v>
      </c>
      <c r="P8" s="101" t="s">
        <v>891</v>
      </c>
      <c r="Q8" s="107" t="s">
        <v>893</v>
      </c>
    </row>
    <row r="9" ht="39.75" customHeight="1">
      <c r="A9" s="73" t="s">
        <v>906</v>
      </c>
      <c r="B9" s="75" t="s">
        <v>66</v>
      </c>
      <c r="C9" s="73" t="s">
        <v>309</v>
      </c>
      <c r="D9" s="77">
        <v>1.0</v>
      </c>
      <c r="E9" s="77" t="s">
        <v>146</v>
      </c>
      <c r="F9" s="77" t="s">
        <v>148</v>
      </c>
      <c r="G9" s="77" t="s">
        <v>149</v>
      </c>
      <c r="H9" s="77" t="s">
        <v>151</v>
      </c>
      <c r="I9" s="75"/>
      <c r="J9" s="81" t="s">
        <v>313</v>
      </c>
      <c r="K9" s="45" t="s">
        <v>314</v>
      </c>
      <c r="L9" s="88" t="s">
        <v>63</v>
      </c>
      <c r="M9" s="50" t="s">
        <v>64</v>
      </c>
      <c r="N9" s="43" t="s">
        <v>55</v>
      </c>
      <c r="O9" s="59" t="s">
        <v>68</v>
      </c>
      <c r="P9" s="45" t="s">
        <v>891</v>
      </c>
      <c r="Q9" s="44" t="s">
        <v>893</v>
      </c>
    </row>
    <row r="10" ht="39.75" customHeight="1">
      <c r="A10" s="94" t="s">
        <v>934</v>
      </c>
      <c r="B10" s="96" t="s">
        <v>66</v>
      </c>
      <c r="C10" s="94" t="s">
        <v>309</v>
      </c>
      <c r="D10" s="97">
        <v>1.0</v>
      </c>
      <c r="E10" s="97" t="s">
        <v>146</v>
      </c>
      <c r="F10" s="97" t="s">
        <v>148</v>
      </c>
      <c r="G10" s="97" t="s">
        <v>149</v>
      </c>
      <c r="H10" s="97" t="s">
        <v>151</v>
      </c>
      <c r="I10" s="96"/>
      <c r="J10" s="100" t="s">
        <v>313</v>
      </c>
      <c r="K10" s="101" t="s">
        <v>314</v>
      </c>
      <c r="L10" s="126" t="s">
        <v>78</v>
      </c>
      <c r="M10" s="79" t="s">
        <v>150</v>
      </c>
      <c r="N10" s="43" t="s">
        <v>55</v>
      </c>
      <c r="O10" s="105" t="s">
        <v>68</v>
      </c>
      <c r="P10" s="101" t="s">
        <v>891</v>
      </c>
      <c r="Q10" s="107" t="s">
        <v>893</v>
      </c>
    </row>
    <row r="11" ht="39.75" customHeight="1">
      <c r="A11" s="73" t="s">
        <v>935</v>
      </c>
      <c r="B11" s="75" t="s">
        <v>66</v>
      </c>
      <c r="C11" s="73" t="s">
        <v>309</v>
      </c>
      <c r="D11" s="77">
        <v>1.0</v>
      </c>
      <c r="E11" s="77" t="s">
        <v>146</v>
      </c>
      <c r="F11" s="77" t="s">
        <v>148</v>
      </c>
      <c r="G11" s="77" t="s">
        <v>149</v>
      </c>
      <c r="H11" s="77" t="s">
        <v>151</v>
      </c>
      <c r="I11" s="75"/>
      <c r="J11" s="81" t="s">
        <v>313</v>
      </c>
      <c r="K11" s="45" t="s">
        <v>314</v>
      </c>
      <c r="L11" s="140" t="s">
        <v>52</v>
      </c>
      <c r="M11" s="49" t="s">
        <v>63</v>
      </c>
      <c r="N11" s="43" t="s">
        <v>55</v>
      </c>
      <c r="O11" s="59" t="s">
        <v>68</v>
      </c>
      <c r="P11" s="45" t="s">
        <v>891</v>
      </c>
      <c r="Q11" s="44" t="s">
        <v>893</v>
      </c>
    </row>
    <row r="12" ht="39.75" customHeight="1">
      <c r="A12" s="94" t="s">
        <v>940</v>
      </c>
      <c r="B12" s="96" t="s">
        <v>66</v>
      </c>
      <c r="C12" s="94" t="s">
        <v>309</v>
      </c>
      <c r="D12" s="97">
        <v>1.0</v>
      </c>
      <c r="E12" s="97" t="s">
        <v>146</v>
      </c>
      <c r="F12" s="97" t="s">
        <v>148</v>
      </c>
      <c r="G12" s="97" t="s">
        <v>149</v>
      </c>
      <c r="H12" s="97" t="s">
        <v>151</v>
      </c>
      <c r="I12" s="96"/>
      <c r="J12" s="100" t="s">
        <v>313</v>
      </c>
      <c r="K12" s="101" t="s">
        <v>314</v>
      </c>
      <c r="L12" s="88" t="s">
        <v>63</v>
      </c>
      <c r="M12" s="41" t="s">
        <v>52</v>
      </c>
      <c r="N12" s="43" t="s">
        <v>55</v>
      </c>
      <c r="O12" s="105" t="s">
        <v>68</v>
      </c>
      <c r="P12" s="101" t="s">
        <v>891</v>
      </c>
      <c r="Q12" s="107" t="s">
        <v>893</v>
      </c>
    </row>
    <row r="13" ht="39.75" customHeight="1">
      <c r="A13" s="73" t="s">
        <v>941</v>
      </c>
      <c r="B13" s="75" t="s">
        <v>66</v>
      </c>
      <c r="C13" s="73" t="s">
        <v>309</v>
      </c>
      <c r="D13" s="77">
        <v>1.0</v>
      </c>
      <c r="E13" s="77" t="s">
        <v>146</v>
      </c>
      <c r="F13" s="77" t="s">
        <v>148</v>
      </c>
      <c r="G13" s="77" t="s">
        <v>149</v>
      </c>
      <c r="H13" s="77" t="s">
        <v>151</v>
      </c>
      <c r="I13" s="75"/>
      <c r="J13" s="81" t="s">
        <v>313</v>
      </c>
      <c r="K13" s="45" t="s">
        <v>314</v>
      </c>
      <c r="L13" s="88" t="s">
        <v>63</v>
      </c>
      <c r="M13" s="50" t="s">
        <v>64</v>
      </c>
      <c r="N13" s="43" t="s">
        <v>55</v>
      </c>
      <c r="O13" s="59" t="s">
        <v>68</v>
      </c>
      <c r="P13" s="45" t="s">
        <v>891</v>
      </c>
      <c r="Q13" s="44" t="s">
        <v>893</v>
      </c>
    </row>
    <row r="14" ht="30.0" customHeight="1">
      <c r="A14" s="94" t="s">
        <v>942</v>
      </c>
      <c r="B14" s="96" t="s">
        <v>66</v>
      </c>
      <c r="C14" s="94" t="s">
        <v>309</v>
      </c>
      <c r="D14" s="97">
        <v>1.0</v>
      </c>
      <c r="E14" s="97" t="s">
        <v>146</v>
      </c>
      <c r="F14" s="97" t="s">
        <v>148</v>
      </c>
      <c r="G14" s="97" t="s">
        <v>149</v>
      </c>
      <c r="H14" s="97" t="s">
        <v>151</v>
      </c>
      <c r="I14" s="96"/>
      <c r="J14" s="100" t="s">
        <v>313</v>
      </c>
      <c r="K14" s="101" t="s">
        <v>314</v>
      </c>
      <c r="L14" s="153" t="s">
        <v>210</v>
      </c>
      <c r="M14" s="86" t="s">
        <v>164</v>
      </c>
      <c r="N14" s="43" t="s">
        <v>55</v>
      </c>
      <c r="O14" s="124" t="s">
        <v>56</v>
      </c>
      <c r="P14" s="101" t="s">
        <v>944</v>
      </c>
      <c r="Q14" s="107"/>
    </row>
    <row r="15" ht="39.75" customHeight="1">
      <c r="A15" s="73" t="s">
        <v>945</v>
      </c>
      <c r="B15" s="75" t="s">
        <v>66</v>
      </c>
      <c r="C15" s="73" t="s">
        <v>309</v>
      </c>
      <c r="D15" s="77">
        <v>1.0</v>
      </c>
      <c r="E15" s="77" t="s">
        <v>146</v>
      </c>
      <c r="F15" s="77" t="s">
        <v>148</v>
      </c>
      <c r="G15" s="77" t="s">
        <v>149</v>
      </c>
      <c r="H15" s="77" t="s">
        <v>151</v>
      </c>
      <c r="I15" s="75"/>
      <c r="J15" s="81" t="s">
        <v>313</v>
      </c>
      <c r="K15" s="45" t="s">
        <v>314</v>
      </c>
      <c r="L15" s="127" t="s">
        <v>64</v>
      </c>
      <c r="M15" s="62" t="s">
        <v>92</v>
      </c>
      <c r="N15" s="43" t="s">
        <v>55</v>
      </c>
      <c r="O15" s="59" t="s">
        <v>68</v>
      </c>
      <c r="P15" s="45" t="s">
        <v>891</v>
      </c>
      <c r="Q15" s="44" t="s">
        <v>946</v>
      </c>
    </row>
    <row r="16" ht="39.75" customHeight="1">
      <c r="A16" s="94" t="s">
        <v>947</v>
      </c>
      <c r="B16" s="96" t="s">
        <v>66</v>
      </c>
      <c r="C16" s="94" t="s">
        <v>309</v>
      </c>
      <c r="D16" s="97">
        <v>1.0</v>
      </c>
      <c r="E16" s="97" t="s">
        <v>146</v>
      </c>
      <c r="F16" s="97" t="s">
        <v>148</v>
      </c>
      <c r="G16" s="97" t="s">
        <v>149</v>
      </c>
      <c r="H16" s="97" t="s">
        <v>151</v>
      </c>
      <c r="I16" s="96"/>
      <c r="J16" s="100" t="s">
        <v>313</v>
      </c>
      <c r="K16" s="101" t="s">
        <v>314</v>
      </c>
      <c r="L16" s="127" t="s">
        <v>64</v>
      </c>
      <c r="M16" s="57" t="s">
        <v>78</v>
      </c>
      <c r="N16" s="43" t="s">
        <v>55</v>
      </c>
      <c r="O16" s="105" t="s">
        <v>68</v>
      </c>
      <c r="P16" s="101" t="s">
        <v>891</v>
      </c>
      <c r="Q16" s="107" t="s">
        <v>893</v>
      </c>
    </row>
    <row r="17" ht="39.75" customHeight="1">
      <c r="A17" s="73" t="s">
        <v>949</v>
      </c>
      <c r="B17" s="75" t="s">
        <v>66</v>
      </c>
      <c r="C17" s="73" t="s">
        <v>309</v>
      </c>
      <c r="D17" s="77">
        <v>1.0</v>
      </c>
      <c r="E17" s="77" t="s">
        <v>146</v>
      </c>
      <c r="F17" s="77" t="s">
        <v>148</v>
      </c>
      <c r="G17" s="77" t="s">
        <v>149</v>
      </c>
      <c r="H17" s="77" t="s">
        <v>151</v>
      </c>
      <c r="I17" s="142" t="s">
        <v>1006</v>
      </c>
      <c r="J17" s="81" t="s">
        <v>313</v>
      </c>
      <c r="K17" s="45" t="s">
        <v>314</v>
      </c>
      <c r="L17" s="88" t="s">
        <v>63</v>
      </c>
      <c r="M17" s="50" t="s">
        <v>64</v>
      </c>
      <c r="N17" s="43" t="s">
        <v>55</v>
      </c>
      <c r="O17" s="59" t="s">
        <v>68</v>
      </c>
      <c r="P17" s="45" t="s">
        <v>891</v>
      </c>
      <c r="Q17" s="44" t="s">
        <v>893</v>
      </c>
    </row>
    <row r="18" ht="30.0" customHeight="1">
      <c r="A18" s="94" t="s">
        <v>953</v>
      </c>
      <c r="B18" s="96" t="s">
        <v>66</v>
      </c>
      <c r="C18" s="94" t="s">
        <v>309</v>
      </c>
      <c r="D18" s="97">
        <v>1.0</v>
      </c>
      <c r="E18" s="97" t="s">
        <v>146</v>
      </c>
      <c r="F18" s="97" t="s">
        <v>148</v>
      </c>
      <c r="G18" s="97" t="s">
        <v>149</v>
      </c>
      <c r="H18" s="97" t="s">
        <v>151</v>
      </c>
      <c r="I18" s="96"/>
      <c r="J18" s="100" t="s">
        <v>313</v>
      </c>
      <c r="K18" s="101" t="s">
        <v>314</v>
      </c>
      <c r="L18" s="88" t="s">
        <v>63</v>
      </c>
      <c r="M18" s="86" t="s">
        <v>164</v>
      </c>
      <c r="N18" s="43" t="s">
        <v>55</v>
      </c>
      <c r="O18" s="124" t="s">
        <v>173</v>
      </c>
      <c r="P18" s="101" t="s">
        <v>955</v>
      </c>
      <c r="Q18" s="107"/>
    </row>
    <row r="19" ht="30.0" customHeight="1">
      <c r="A19" s="73" t="s">
        <v>962</v>
      </c>
      <c r="B19" s="75" t="s">
        <v>66</v>
      </c>
      <c r="C19" s="73" t="s">
        <v>309</v>
      </c>
      <c r="D19" s="77">
        <v>1.0</v>
      </c>
      <c r="E19" s="77" t="s">
        <v>146</v>
      </c>
      <c r="F19" s="77" t="s">
        <v>148</v>
      </c>
      <c r="G19" s="77" t="s">
        <v>149</v>
      </c>
      <c r="H19" s="77" t="s">
        <v>151</v>
      </c>
      <c r="I19" s="75"/>
      <c r="J19" s="81" t="s">
        <v>313</v>
      </c>
      <c r="K19" s="45" t="s">
        <v>314</v>
      </c>
      <c r="L19" s="143" t="s">
        <v>150</v>
      </c>
      <c r="M19" s="57" t="s">
        <v>78</v>
      </c>
      <c r="N19" s="43" t="s">
        <v>55</v>
      </c>
      <c r="O19" s="115" t="s">
        <v>56</v>
      </c>
      <c r="P19" s="45" t="s">
        <v>964</v>
      </c>
      <c r="Q19" s="44" t="s">
        <v>965</v>
      </c>
    </row>
    <row r="20" ht="39.75" customHeight="1">
      <c r="A20" s="94" t="s">
        <v>966</v>
      </c>
      <c r="B20" s="96" t="s">
        <v>66</v>
      </c>
      <c r="C20" s="94" t="s">
        <v>309</v>
      </c>
      <c r="D20" s="97">
        <v>1.0</v>
      </c>
      <c r="E20" s="97" t="s">
        <v>146</v>
      </c>
      <c r="F20" s="97" t="s">
        <v>148</v>
      </c>
      <c r="G20" s="97" t="s">
        <v>149</v>
      </c>
      <c r="H20" s="97" t="s">
        <v>151</v>
      </c>
      <c r="I20" s="96"/>
      <c r="J20" s="100" t="s">
        <v>313</v>
      </c>
      <c r="K20" s="101" t="s">
        <v>314</v>
      </c>
      <c r="L20" s="125" t="s">
        <v>92</v>
      </c>
      <c r="M20" s="49" t="s">
        <v>63</v>
      </c>
      <c r="N20" s="43" t="s">
        <v>55</v>
      </c>
      <c r="O20" s="105" t="s">
        <v>68</v>
      </c>
      <c r="P20" s="101" t="s">
        <v>891</v>
      </c>
      <c r="Q20" s="107" t="s">
        <v>967</v>
      </c>
    </row>
    <row r="21" ht="30.0" customHeight="1">
      <c r="A21" s="73" t="s">
        <v>976</v>
      </c>
      <c r="B21" s="75" t="s">
        <v>66</v>
      </c>
      <c r="C21" s="73" t="s">
        <v>309</v>
      </c>
      <c r="D21" s="77">
        <v>1.0</v>
      </c>
      <c r="E21" s="77" t="s">
        <v>146</v>
      </c>
      <c r="F21" s="77" t="s">
        <v>148</v>
      </c>
      <c r="G21" s="77" t="s">
        <v>149</v>
      </c>
      <c r="H21" s="77" t="s">
        <v>151</v>
      </c>
      <c r="I21" s="75"/>
      <c r="J21" s="81" t="s">
        <v>313</v>
      </c>
      <c r="K21" s="45" t="s">
        <v>314</v>
      </c>
      <c r="L21" s="88" t="s">
        <v>63</v>
      </c>
      <c r="M21" s="86" t="s">
        <v>164</v>
      </c>
      <c r="N21" s="43" t="s">
        <v>55</v>
      </c>
      <c r="O21" s="115" t="s">
        <v>56</v>
      </c>
      <c r="P21" s="45" t="s">
        <v>978</v>
      </c>
      <c r="Q21" s="44"/>
    </row>
    <row r="22" ht="39.75" customHeight="1">
      <c r="A22" s="94" t="s">
        <v>983</v>
      </c>
      <c r="B22" s="96" t="s">
        <v>66</v>
      </c>
      <c r="C22" s="94" t="s">
        <v>309</v>
      </c>
      <c r="D22" s="97">
        <v>1.0</v>
      </c>
      <c r="E22" s="97" t="s">
        <v>146</v>
      </c>
      <c r="F22" s="97" t="s">
        <v>148</v>
      </c>
      <c r="G22" s="97" t="s">
        <v>149</v>
      </c>
      <c r="H22" s="97" t="s">
        <v>151</v>
      </c>
      <c r="I22" s="96"/>
      <c r="J22" s="100" t="s">
        <v>313</v>
      </c>
      <c r="K22" s="101" t="s">
        <v>314</v>
      </c>
      <c r="L22" s="125" t="s">
        <v>92</v>
      </c>
      <c r="M22" s="50" t="s">
        <v>64</v>
      </c>
      <c r="N22" s="43" t="s">
        <v>55</v>
      </c>
      <c r="O22" s="105" t="s">
        <v>68</v>
      </c>
      <c r="P22" s="101" t="s">
        <v>891</v>
      </c>
      <c r="Q22" s="107" t="s">
        <v>893</v>
      </c>
    </row>
    <row r="23" ht="39.75" customHeight="1">
      <c r="A23" s="73" t="s">
        <v>988</v>
      </c>
      <c r="B23" s="75" t="s">
        <v>66</v>
      </c>
      <c r="C23" s="73" t="s">
        <v>309</v>
      </c>
      <c r="D23" s="77">
        <v>1.0</v>
      </c>
      <c r="E23" s="77" t="s">
        <v>146</v>
      </c>
      <c r="F23" s="77" t="s">
        <v>148</v>
      </c>
      <c r="G23" s="77" t="s">
        <v>149</v>
      </c>
      <c r="H23" s="77" t="s">
        <v>151</v>
      </c>
      <c r="I23" s="75"/>
      <c r="J23" s="81" t="s">
        <v>313</v>
      </c>
      <c r="K23" s="45" t="s">
        <v>314</v>
      </c>
      <c r="L23" s="156" t="s">
        <v>218</v>
      </c>
      <c r="M23" s="50" t="s">
        <v>64</v>
      </c>
      <c r="N23" s="43" t="s">
        <v>55</v>
      </c>
      <c r="O23" s="59" t="s">
        <v>68</v>
      </c>
      <c r="P23" s="45" t="s">
        <v>891</v>
      </c>
      <c r="Q23" s="44" t="s">
        <v>893</v>
      </c>
    </row>
    <row r="24" ht="39.75" customHeight="1">
      <c r="A24" s="94" t="s">
        <v>989</v>
      </c>
      <c r="B24" s="96" t="s">
        <v>66</v>
      </c>
      <c r="C24" s="94" t="s">
        <v>309</v>
      </c>
      <c r="D24" s="97">
        <v>1.0</v>
      </c>
      <c r="E24" s="97" t="s">
        <v>146</v>
      </c>
      <c r="F24" s="97" t="s">
        <v>148</v>
      </c>
      <c r="G24" s="97" t="s">
        <v>149</v>
      </c>
      <c r="H24" s="97" t="s">
        <v>151</v>
      </c>
      <c r="I24" s="96"/>
      <c r="J24" s="100" t="s">
        <v>313</v>
      </c>
      <c r="K24" s="101" t="s">
        <v>314</v>
      </c>
      <c r="L24" s="125" t="s">
        <v>92</v>
      </c>
      <c r="M24" s="50" t="s">
        <v>64</v>
      </c>
      <c r="N24" s="43" t="s">
        <v>55</v>
      </c>
      <c r="O24" s="105" t="s">
        <v>68</v>
      </c>
      <c r="P24" s="101" t="s">
        <v>891</v>
      </c>
      <c r="Q24" s="107" t="s">
        <v>893</v>
      </c>
    </row>
    <row r="25" ht="39.75" customHeight="1">
      <c r="A25" s="73" t="s">
        <v>894</v>
      </c>
      <c r="B25" s="75" t="s">
        <v>66</v>
      </c>
      <c r="C25" s="73" t="s">
        <v>316</v>
      </c>
      <c r="D25" s="77">
        <v>2.0</v>
      </c>
      <c r="E25" s="77" t="s">
        <v>146</v>
      </c>
      <c r="F25" s="77" t="s">
        <v>148</v>
      </c>
      <c r="G25" s="77" t="s">
        <v>149</v>
      </c>
      <c r="H25" s="77" t="s">
        <v>151</v>
      </c>
      <c r="I25" s="75"/>
      <c r="J25" s="81" t="s">
        <v>318</v>
      </c>
      <c r="K25" s="45" t="s">
        <v>319</v>
      </c>
      <c r="L25" s="88" t="s">
        <v>63</v>
      </c>
      <c r="M25" s="50" t="s">
        <v>64</v>
      </c>
      <c r="N25" s="43" t="s">
        <v>55</v>
      </c>
      <c r="O25" s="59" t="s">
        <v>68</v>
      </c>
      <c r="P25" s="45" t="s">
        <v>891</v>
      </c>
      <c r="Q25" s="44" t="s">
        <v>893</v>
      </c>
    </row>
    <row r="26" ht="30.0" customHeight="1">
      <c r="A26" s="94" t="s">
        <v>900</v>
      </c>
      <c r="B26" s="96" t="s">
        <v>66</v>
      </c>
      <c r="C26" s="94" t="s">
        <v>316</v>
      </c>
      <c r="D26" s="97">
        <v>2.0</v>
      </c>
      <c r="E26" s="97" t="s">
        <v>146</v>
      </c>
      <c r="F26" s="97" t="s">
        <v>148</v>
      </c>
      <c r="G26" s="97" t="s">
        <v>149</v>
      </c>
      <c r="H26" s="97" t="s">
        <v>151</v>
      </c>
      <c r="I26" s="96"/>
      <c r="J26" s="100" t="s">
        <v>318</v>
      </c>
      <c r="K26" s="101" t="s">
        <v>319</v>
      </c>
      <c r="L26" s="88" t="s">
        <v>63</v>
      </c>
      <c r="M26" s="86" t="s">
        <v>164</v>
      </c>
      <c r="N26" s="43" t="s">
        <v>55</v>
      </c>
      <c r="O26" s="124" t="s">
        <v>56</v>
      </c>
      <c r="P26" s="101" t="s">
        <v>902</v>
      </c>
      <c r="Q26" s="107"/>
    </row>
    <row r="27" ht="30.0" customHeight="1">
      <c r="A27" s="73" t="s">
        <v>911</v>
      </c>
      <c r="B27" s="75" t="s">
        <v>66</v>
      </c>
      <c r="C27" s="73" t="s">
        <v>316</v>
      </c>
      <c r="D27" s="77">
        <v>2.0</v>
      </c>
      <c r="E27" s="77" t="s">
        <v>146</v>
      </c>
      <c r="F27" s="77" t="s">
        <v>148</v>
      </c>
      <c r="G27" s="77" t="s">
        <v>149</v>
      </c>
      <c r="H27" s="77" t="s">
        <v>151</v>
      </c>
      <c r="I27" s="75"/>
      <c r="J27" s="81" t="s">
        <v>318</v>
      </c>
      <c r="K27" s="45" t="s">
        <v>319</v>
      </c>
      <c r="L27" s="88" t="s">
        <v>63</v>
      </c>
      <c r="M27" s="62" t="s">
        <v>92</v>
      </c>
      <c r="N27" s="43" t="s">
        <v>55</v>
      </c>
      <c r="O27" s="115" t="s">
        <v>56</v>
      </c>
      <c r="P27" s="45" t="s">
        <v>913</v>
      </c>
      <c r="Q27" s="44"/>
    </row>
    <row r="28" ht="30.0" customHeight="1">
      <c r="A28" s="94" t="s">
        <v>917</v>
      </c>
      <c r="B28" s="96" t="s">
        <v>66</v>
      </c>
      <c r="C28" s="94" t="s">
        <v>316</v>
      </c>
      <c r="D28" s="97">
        <v>2.0</v>
      </c>
      <c r="E28" s="97" t="s">
        <v>146</v>
      </c>
      <c r="F28" s="97" t="s">
        <v>148</v>
      </c>
      <c r="G28" s="97" t="s">
        <v>149</v>
      </c>
      <c r="H28" s="97" t="s">
        <v>151</v>
      </c>
      <c r="I28" s="96"/>
      <c r="J28" s="100" t="s">
        <v>318</v>
      </c>
      <c r="K28" s="101" t="s">
        <v>319</v>
      </c>
      <c r="L28" s="88" t="s">
        <v>63</v>
      </c>
      <c r="M28" s="86" t="s">
        <v>164</v>
      </c>
      <c r="N28" s="43" t="s">
        <v>55</v>
      </c>
      <c r="O28" s="124" t="s">
        <v>56</v>
      </c>
      <c r="P28" s="101" t="s">
        <v>919</v>
      </c>
      <c r="Q28" s="107" t="s">
        <v>920</v>
      </c>
    </row>
    <row r="29" ht="39.75" customHeight="1">
      <c r="A29" s="73" t="s">
        <v>921</v>
      </c>
      <c r="B29" s="75" t="s">
        <v>66</v>
      </c>
      <c r="C29" s="73" t="s">
        <v>316</v>
      </c>
      <c r="D29" s="77">
        <v>2.0</v>
      </c>
      <c r="E29" s="77" t="s">
        <v>146</v>
      </c>
      <c r="F29" s="77" t="s">
        <v>148</v>
      </c>
      <c r="G29" s="77" t="s">
        <v>149</v>
      </c>
      <c r="H29" s="77" t="s">
        <v>151</v>
      </c>
      <c r="I29" s="75"/>
      <c r="J29" s="81" t="s">
        <v>318</v>
      </c>
      <c r="K29" s="45" t="s">
        <v>319</v>
      </c>
      <c r="L29" s="125" t="s">
        <v>92</v>
      </c>
      <c r="M29" s="50" t="s">
        <v>64</v>
      </c>
      <c r="N29" s="43" t="s">
        <v>55</v>
      </c>
      <c r="O29" s="59" t="s">
        <v>68</v>
      </c>
      <c r="P29" s="45" t="s">
        <v>891</v>
      </c>
      <c r="Q29" s="44" t="s">
        <v>893</v>
      </c>
    </row>
    <row r="30" ht="30.0" customHeight="1">
      <c r="A30" s="94" t="s">
        <v>925</v>
      </c>
      <c r="B30" s="96" t="s">
        <v>66</v>
      </c>
      <c r="C30" s="94" t="s">
        <v>316</v>
      </c>
      <c r="D30" s="97">
        <v>2.0</v>
      </c>
      <c r="E30" s="97" t="s">
        <v>146</v>
      </c>
      <c r="F30" s="97" t="s">
        <v>148</v>
      </c>
      <c r="G30" s="97" t="s">
        <v>149</v>
      </c>
      <c r="H30" s="97" t="s">
        <v>151</v>
      </c>
      <c r="I30" s="96"/>
      <c r="J30" s="100" t="s">
        <v>318</v>
      </c>
      <c r="K30" s="101" t="s">
        <v>319</v>
      </c>
      <c r="L30" s="125" t="s">
        <v>92</v>
      </c>
      <c r="M30" s="50" t="s">
        <v>64</v>
      </c>
      <c r="N30" s="43" t="s">
        <v>55</v>
      </c>
      <c r="O30" s="124" t="s">
        <v>56</v>
      </c>
      <c r="P30" s="101" t="s">
        <v>927</v>
      </c>
      <c r="Q30" s="107"/>
    </row>
    <row r="31" ht="39.75" customHeight="1">
      <c r="A31" s="73" t="s">
        <v>928</v>
      </c>
      <c r="B31" s="75" t="s">
        <v>66</v>
      </c>
      <c r="C31" s="73" t="s">
        <v>316</v>
      </c>
      <c r="D31" s="77">
        <v>2.0</v>
      </c>
      <c r="E31" s="77" t="s">
        <v>146</v>
      </c>
      <c r="F31" s="77" t="s">
        <v>148</v>
      </c>
      <c r="G31" s="77" t="s">
        <v>149</v>
      </c>
      <c r="H31" s="77" t="s">
        <v>151</v>
      </c>
      <c r="I31" s="75"/>
      <c r="J31" s="81" t="s">
        <v>318</v>
      </c>
      <c r="K31" s="45" t="s">
        <v>319</v>
      </c>
      <c r="L31" s="88" t="s">
        <v>63</v>
      </c>
      <c r="M31" s="86" t="s">
        <v>164</v>
      </c>
      <c r="N31" s="43" t="s">
        <v>55</v>
      </c>
      <c r="O31" s="59" t="s">
        <v>68</v>
      </c>
      <c r="P31" s="45" t="s">
        <v>891</v>
      </c>
      <c r="Q31" s="44" t="s">
        <v>893</v>
      </c>
    </row>
    <row r="32" ht="39.75" customHeight="1">
      <c r="A32" s="94" t="s">
        <v>933</v>
      </c>
      <c r="B32" s="96" t="s">
        <v>66</v>
      </c>
      <c r="C32" s="94" t="s">
        <v>316</v>
      </c>
      <c r="D32" s="97">
        <v>2.0</v>
      </c>
      <c r="E32" s="97" t="s">
        <v>146</v>
      </c>
      <c r="F32" s="97" t="s">
        <v>148</v>
      </c>
      <c r="G32" s="97" t="s">
        <v>149</v>
      </c>
      <c r="H32" s="97" t="s">
        <v>151</v>
      </c>
      <c r="I32" s="96"/>
      <c r="J32" s="100" t="s">
        <v>318</v>
      </c>
      <c r="K32" s="101" t="s">
        <v>319</v>
      </c>
      <c r="L32" s="153" t="s">
        <v>210</v>
      </c>
      <c r="M32" s="86" t="s">
        <v>164</v>
      </c>
      <c r="N32" s="43" t="s">
        <v>55</v>
      </c>
      <c r="O32" s="105" t="s">
        <v>68</v>
      </c>
      <c r="P32" s="101" t="s">
        <v>891</v>
      </c>
      <c r="Q32" s="107" t="s">
        <v>893</v>
      </c>
    </row>
    <row r="33" ht="39.75" customHeight="1">
      <c r="A33" s="73" t="s">
        <v>948</v>
      </c>
      <c r="B33" s="75" t="s">
        <v>66</v>
      </c>
      <c r="C33" s="73" t="s">
        <v>316</v>
      </c>
      <c r="D33" s="77">
        <v>2.0</v>
      </c>
      <c r="E33" s="77" t="s">
        <v>146</v>
      </c>
      <c r="F33" s="77" t="s">
        <v>148</v>
      </c>
      <c r="G33" s="77" t="s">
        <v>149</v>
      </c>
      <c r="H33" s="77" t="s">
        <v>151</v>
      </c>
      <c r="I33" s="75"/>
      <c r="J33" s="81" t="s">
        <v>318</v>
      </c>
      <c r="K33" s="45" t="s">
        <v>319</v>
      </c>
      <c r="L33" s="103" t="s">
        <v>76</v>
      </c>
      <c r="M33" s="50" t="s">
        <v>64</v>
      </c>
      <c r="N33" s="43" t="s">
        <v>55</v>
      </c>
      <c r="O33" s="59" t="s">
        <v>68</v>
      </c>
      <c r="P33" s="45" t="s">
        <v>891</v>
      </c>
      <c r="Q33" s="44" t="s">
        <v>893</v>
      </c>
    </row>
    <row r="34" ht="39.75" customHeight="1">
      <c r="A34" s="94" t="s">
        <v>950</v>
      </c>
      <c r="B34" s="96" t="s">
        <v>66</v>
      </c>
      <c r="C34" s="94" t="s">
        <v>316</v>
      </c>
      <c r="D34" s="97">
        <v>2.0</v>
      </c>
      <c r="E34" s="97" t="s">
        <v>146</v>
      </c>
      <c r="F34" s="97" t="s">
        <v>148</v>
      </c>
      <c r="G34" s="97" t="s">
        <v>149</v>
      </c>
      <c r="H34" s="97" t="s">
        <v>151</v>
      </c>
      <c r="I34" s="96"/>
      <c r="J34" s="100" t="s">
        <v>318</v>
      </c>
      <c r="K34" s="101" t="s">
        <v>319</v>
      </c>
      <c r="L34" s="125" t="s">
        <v>92</v>
      </c>
      <c r="M34" s="136" t="s">
        <v>210</v>
      </c>
      <c r="N34" s="43" t="s">
        <v>55</v>
      </c>
      <c r="O34" s="105" t="s">
        <v>68</v>
      </c>
      <c r="P34" s="101" t="s">
        <v>891</v>
      </c>
      <c r="Q34" s="107" t="s">
        <v>893</v>
      </c>
    </row>
    <row r="35" ht="39.75" customHeight="1">
      <c r="A35" s="73" t="s">
        <v>951</v>
      </c>
      <c r="B35" s="75" t="s">
        <v>66</v>
      </c>
      <c r="C35" s="73" t="s">
        <v>316</v>
      </c>
      <c r="D35" s="77">
        <v>2.0</v>
      </c>
      <c r="E35" s="77" t="s">
        <v>146</v>
      </c>
      <c r="F35" s="77" t="s">
        <v>148</v>
      </c>
      <c r="G35" s="77" t="s">
        <v>149</v>
      </c>
      <c r="H35" s="77" t="s">
        <v>151</v>
      </c>
      <c r="I35" s="75"/>
      <c r="J35" s="81" t="s">
        <v>318</v>
      </c>
      <c r="K35" s="45" t="s">
        <v>319</v>
      </c>
      <c r="L35" s="88" t="s">
        <v>63</v>
      </c>
      <c r="M35" s="50" t="s">
        <v>64</v>
      </c>
      <c r="N35" s="43" t="s">
        <v>55</v>
      </c>
      <c r="O35" s="59" t="s">
        <v>68</v>
      </c>
      <c r="P35" s="45" t="s">
        <v>891</v>
      </c>
      <c r="Q35" s="44" t="s">
        <v>893</v>
      </c>
    </row>
    <row r="36" ht="39.75" customHeight="1">
      <c r="A36" s="94" t="s">
        <v>952</v>
      </c>
      <c r="B36" s="96" t="s">
        <v>66</v>
      </c>
      <c r="C36" s="94" t="s">
        <v>316</v>
      </c>
      <c r="D36" s="97">
        <v>2.0</v>
      </c>
      <c r="E36" s="97" t="s">
        <v>146</v>
      </c>
      <c r="F36" s="97" t="s">
        <v>148</v>
      </c>
      <c r="G36" s="97" t="s">
        <v>149</v>
      </c>
      <c r="H36" s="97" t="s">
        <v>151</v>
      </c>
      <c r="I36" s="96"/>
      <c r="J36" s="100" t="s">
        <v>318</v>
      </c>
      <c r="K36" s="101" t="s">
        <v>319</v>
      </c>
      <c r="L36" s="140" t="s">
        <v>52</v>
      </c>
      <c r="M36" s="138" t="s">
        <v>199</v>
      </c>
      <c r="N36" s="43" t="s">
        <v>55</v>
      </c>
      <c r="O36" s="105" t="s">
        <v>68</v>
      </c>
      <c r="P36" s="101" t="s">
        <v>891</v>
      </c>
      <c r="Q36" s="107" t="s">
        <v>893</v>
      </c>
    </row>
    <row r="37" ht="30.0" customHeight="1">
      <c r="A37" s="73" t="s">
        <v>968</v>
      </c>
      <c r="B37" s="75" t="s">
        <v>66</v>
      </c>
      <c r="C37" s="73" t="s">
        <v>316</v>
      </c>
      <c r="D37" s="77">
        <v>2.0</v>
      </c>
      <c r="E37" s="77" t="s">
        <v>146</v>
      </c>
      <c r="F37" s="77" t="s">
        <v>148</v>
      </c>
      <c r="G37" s="77" t="s">
        <v>149</v>
      </c>
      <c r="H37" s="77" t="s">
        <v>151</v>
      </c>
      <c r="I37" s="75"/>
      <c r="J37" s="81" t="s">
        <v>318</v>
      </c>
      <c r="K37" s="45" t="s">
        <v>319</v>
      </c>
      <c r="L37" s="140" t="s">
        <v>52</v>
      </c>
      <c r="M37" s="62" t="s">
        <v>92</v>
      </c>
      <c r="N37" s="43" t="s">
        <v>55</v>
      </c>
      <c r="O37" s="115" t="s">
        <v>56</v>
      </c>
      <c r="P37" s="45" t="s">
        <v>970</v>
      </c>
      <c r="Q37" s="44"/>
    </row>
    <row r="38" ht="39.75" customHeight="1">
      <c r="A38" s="94" t="s">
        <v>974</v>
      </c>
      <c r="B38" s="96" t="s">
        <v>66</v>
      </c>
      <c r="C38" s="94" t="s">
        <v>316</v>
      </c>
      <c r="D38" s="97">
        <v>2.0</v>
      </c>
      <c r="E38" s="97" t="s">
        <v>146</v>
      </c>
      <c r="F38" s="97" t="s">
        <v>148</v>
      </c>
      <c r="G38" s="97" t="s">
        <v>149</v>
      </c>
      <c r="H38" s="97" t="s">
        <v>151</v>
      </c>
      <c r="I38" s="96"/>
      <c r="J38" s="100" t="s">
        <v>318</v>
      </c>
      <c r="K38" s="101" t="s">
        <v>319</v>
      </c>
      <c r="L38" s="148" t="s">
        <v>199</v>
      </c>
      <c r="M38" s="50" t="s">
        <v>64</v>
      </c>
      <c r="N38" s="43" t="s">
        <v>55</v>
      </c>
      <c r="O38" s="105" t="s">
        <v>68</v>
      </c>
      <c r="P38" s="101" t="s">
        <v>891</v>
      </c>
      <c r="Q38" s="107" t="s">
        <v>893</v>
      </c>
    </row>
    <row r="39" ht="39.75" customHeight="1">
      <c r="A39" s="73" t="s">
        <v>975</v>
      </c>
      <c r="B39" s="75" t="s">
        <v>66</v>
      </c>
      <c r="C39" s="73" t="s">
        <v>316</v>
      </c>
      <c r="D39" s="77">
        <v>2.0</v>
      </c>
      <c r="E39" s="77" t="s">
        <v>146</v>
      </c>
      <c r="F39" s="77" t="s">
        <v>148</v>
      </c>
      <c r="G39" s="77" t="s">
        <v>149</v>
      </c>
      <c r="H39" s="77" t="s">
        <v>151</v>
      </c>
      <c r="I39" s="75"/>
      <c r="J39" s="81" t="s">
        <v>318</v>
      </c>
      <c r="K39" s="45" t="s">
        <v>319</v>
      </c>
      <c r="L39" s="88" t="s">
        <v>63</v>
      </c>
      <c r="M39" s="50" t="s">
        <v>64</v>
      </c>
      <c r="N39" s="43" t="s">
        <v>55</v>
      </c>
      <c r="O39" s="59" t="s">
        <v>68</v>
      </c>
      <c r="P39" s="45" t="s">
        <v>891</v>
      </c>
      <c r="Q39" s="44" t="s">
        <v>893</v>
      </c>
    </row>
    <row r="40" ht="39.75" customHeight="1">
      <c r="A40" s="94" t="s">
        <v>979</v>
      </c>
      <c r="B40" s="96" t="s">
        <v>66</v>
      </c>
      <c r="C40" s="94" t="s">
        <v>316</v>
      </c>
      <c r="D40" s="97">
        <v>2.0</v>
      </c>
      <c r="E40" s="97" t="s">
        <v>146</v>
      </c>
      <c r="F40" s="97" t="s">
        <v>148</v>
      </c>
      <c r="G40" s="97" t="s">
        <v>149</v>
      </c>
      <c r="H40" s="97" t="s">
        <v>151</v>
      </c>
      <c r="I40" s="96"/>
      <c r="J40" s="100" t="s">
        <v>318</v>
      </c>
      <c r="K40" s="101" t="s">
        <v>319</v>
      </c>
      <c r="L40" s="88" t="s">
        <v>63</v>
      </c>
      <c r="M40" s="41" t="s">
        <v>52</v>
      </c>
      <c r="N40" s="43" t="s">
        <v>55</v>
      </c>
      <c r="O40" s="105" t="s">
        <v>68</v>
      </c>
      <c r="P40" s="101" t="s">
        <v>891</v>
      </c>
      <c r="Q40" s="107" t="s">
        <v>893</v>
      </c>
    </row>
    <row r="41" ht="39.75" customHeight="1">
      <c r="A41" s="73" t="s">
        <v>981</v>
      </c>
      <c r="B41" s="75" t="s">
        <v>66</v>
      </c>
      <c r="C41" s="73" t="s">
        <v>316</v>
      </c>
      <c r="D41" s="77">
        <v>2.0</v>
      </c>
      <c r="E41" s="77" t="s">
        <v>146</v>
      </c>
      <c r="F41" s="77" t="s">
        <v>148</v>
      </c>
      <c r="G41" s="77" t="s">
        <v>149</v>
      </c>
      <c r="H41" s="77" t="s">
        <v>151</v>
      </c>
      <c r="I41" s="75"/>
      <c r="J41" s="81" t="s">
        <v>318</v>
      </c>
      <c r="K41" s="45" t="s">
        <v>319</v>
      </c>
      <c r="L41" s="148" t="s">
        <v>199</v>
      </c>
      <c r="M41" s="50" t="s">
        <v>64</v>
      </c>
      <c r="N41" s="43" t="s">
        <v>55</v>
      </c>
      <c r="O41" s="59" t="s">
        <v>68</v>
      </c>
      <c r="P41" s="45" t="s">
        <v>891</v>
      </c>
      <c r="Q41" s="44" t="s">
        <v>893</v>
      </c>
    </row>
    <row r="42" ht="39.75" customHeight="1">
      <c r="A42" s="94" t="s">
        <v>982</v>
      </c>
      <c r="B42" s="96" t="s">
        <v>66</v>
      </c>
      <c r="C42" s="94" t="s">
        <v>316</v>
      </c>
      <c r="D42" s="97">
        <v>2.0</v>
      </c>
      <c r="E42" s="97" t="s">
        <v>146</v>
      </c>
      <c r="F42" s="97" t="s">
        <v>148</v>
      </c>
      <c r="G42" s="97" t="s">
        <v>149</v>
      </c>
      <c r="H42" s="97" t="s">
        <v>151</v>
      </c>
      <c r="I42" s="96"/>
      <c r="J42" s="100" t="s">
        <v>318</v>
      </c>
      <c r="K42" s="101" t="s">
        <v>319</v>
      </c>
      <c r="L42" s="140" t="s">
        <v>52</v>
      </c>
      <c r="M42" s="62" t="s">
        <v>92</v>
      </c>
      <c r="N42" s="43" t="s">
        <v>55</v>
      </c>
      <c r="O42" s="105" t="s">
        <v>68</v>
      </c>
      <c r="P42" s="101" t="s">
        <v>891</v>
      </c>
      <c r="Q42" s="107" t="s">
        <v>893</v>
      </c>
    </row>
    <row r="43" ht="30.0" customHeight="1">
      <c r="A43" s="73" t="s">
        <v>886</v>
      </c>
      <c r="B43" s="75" t="s">
        <v>66</v>
      </c>
      <c r="C43" s="73" t="s">
        <v>320</v>
      </c>
      <c r="D43" s="77">
        <v>3.0</v>
      </c>
      <c r="E43" s="77" t="s">
        <v>146</v>
      </c>
      <c r="F43" s="77" t="s">
        <v>148</v>
      </c>
      <c r="G43" s="77" t="s">
        <v>149</v>
      </c>
      <c r="H43" s="77" t="s">
        <v>151</v>
      </c>
      <c r="I43" s="75"/>
      <c r="J43" s="81" t="s">
        <v>323</v>
      </c>
      <c r="K43" s="45" t="s">
        <v>324</v>
      </c>
      <c r="L43" s="127" t="s">
        <v>64</v>
      </c>
      <c r="M43" s="86" t="s">
        <v>164</v>
      </c>
      <c r="N43" s="43" t="s">
        <v>55</v>
      </c>
      <c r="O43" s="115" t="s">
        <v>56</v>
      </c>
      <c r="P43" s="45" t="s">
        <v>888</v>
      </c>
      <c r="Q43" s="44"/>
    </row>
    <row r="44" ht="30.0" customHeight="1">
      <c r="A44" s="94" t="s">
        <v>895</v>
      </c>
      <c r="B44" s="96" t="s">
        <v>66</v>
      </c>
      <c r="C44" s="94" t="s">
        <v>320</v>
      </c>
      <c r="D44" s="97">
        <v>3.0</v>
      </c>
      <c r="E44" s="97" t="s">
        <v>146</v>
      </c>
      <c r="F44" s="97" t="s">
        <v>148</v>
      </c>
      <c r="G44" s="97" t="s">
        <v>149</v>
      </c>
      <c r="H44" s="97" t="s">
        <v>151</v>
      </c>
      <c r="I44" s="96"/>
      <c r="J44" s="100" t="s">
        <v>323</v>
      </c>
      <c r="K44" s="101" t="s">
        <v>324</v>
      </c>
      <c r="L44" s="143" t="s">
        <v>150</v>
      </c>
      <c r="M44" s="41" t="s">
        <v>52</v>
      </c>
      <c r="N44" s="43" t="s">
        <v>55</v>
      </c>
      <c r="O44" s="124" t="s">
        <v>56</v>
      </c>
      <c r="P44" s="101" t="s">
        <v>897</v>
      </c>
      <c r="Q44" s="107"/>
    </row>
    <row r="45" ht="39.75" customHeight="1">
      <c r="A45" s="73" t="s">
        <v>899</v>
      </c>
      <c r="B45" s="75" t="s">
        <v>66</v>
      </c>
      <c r="C45" s="73" t="s">
        <v>320</v>
      </c>
      <c r="D45" s="77">
        <v>3.0</v>
      </c>
      <c r="E45" s="77" t="s">
        <v>146</v>
      </c>
      <c r="F45" s="77" t="s">
        <v>148</v>
      </c>
      <c r="G45" s="77" t="s">
        <v>149</v>
      </c>
      <c r="H45" s="77" t="s">
        <v>151</v>
      </c>
      <c r="I45" s="75"/>
      <c r="J45" s="81" t="s">
        <v>323</v>
      </c>
      <c r="K45" s="45" t="s">
        <v>324</v>
      </c>
      <c r="L45" s="125" t="s">
        <v>92</v>
      </c>
      <c r="M45" s="50" t="s">
        <v>64</v>
      </c>
      <c r="N45" s="43" t="s">
        <v>55</v>
      </c>
      <c r="O45" s="59" t="s">
        <v>68</v>
      </c>
      <c r="P45" s="45" t="s">
        <v>891</v>
      </c>
      <c r="Q45" s="44" t="s">
        <v>893</v>
      </c>
    </row>
    <row r="46" ht="30.0" customHeight="1">
      <c r="A46" s="94" t="s">
        <v>903</v>
      </c>
      <c r="B46" s="96" t="s">
        <v>66</v>
      </c>
      <c r="C46" s="94" t="s">
        <v>320</v>
      </c>
      <c r="D46" s="97">
        <v>3.0</v>
      </c>
      <c r="E46" s="97" t="s">
        <v>146</v>
      </c>
      <c r="F46" s="97" t="s">
        <v>148</v>
      </c>
      <c r="G46" s="97" t="s">
        <v>149</v>
      </c>
      <c r="H46" s="97" t="s">
        <v>151</v>
      </c>
      <c r="I46" s="96"/>
      <c r="J46" s="100" t="s">
        <v>323</v>
      </c>
      <c r="K46" s="101" t="s">
        <v>324</v>
      </c>
      <c r="L46" s="125" t="s">
        <v>92</v>
      </c>
      <c r="M46" s="50" t="s">
        <v>64</v>
      </c>
      <c r="N46" s="43" t="s">
        <v>55</v>
      </c>
      <c r="O46" s="124" t="s">
        <v>56</v>
      </c>
      <c r="P46" s="101" t="s">
        <v>905</v>
      </c>
      <c r="Q46" s="107"/>
    </row>
    <row r="47" ht="39.75" customHeight="1">
      <c r="A47" s="73" t="s">
        <v>907</v>
      </c>
      <c r="B47" s="75" t="s">
        <v>66</v>
      </c>
      <c r="C47" s="73" t="s">
        <v>320</v>
      </c>
      <c r="D47" s="77">
        <v>3.0</v>
      </c>
      <c r="E47" s="77" t="s">
        <v>146</v>
      </c>
      <c r="F47" s="77" t="s">
        <v>148</v>
      </c>
      <c r="G47" s="77" t="s">
        <v>149</v>
      </c>
      <c r="H47" s="77" t="s">
        <v>151</v>
      </c>
      <c r="I47" s="75"/>
      <c r="J47" s="81" t="s">
        <v>323</v>
      </c>
      <c r="K47" s="45" t="s">
        <v>324</v>
      </c>
      <c r="L47" s="125" t="s">
        <v>92</v>
      </c>
      <c r="M47" s="49" t="s">
        <v>63</v>
      </c>
      <c r="N47" s="43" t="s">
        <v>55</v>
      </c>
      <c r="O47" s="59" t="s">
        <v>68</v>
      </c>
      <c r="P47" s="45" t="s">
        <v>891</v>
      </c>
      <c r="Q47" s="44" t="s">
        <v>893</v>
      </c>
    </row>
    <row r="48" ht="30.0" customHeight="1">
      <c r="A48" s="94" t="s">
        <v>908</v>
      </c>
      <c r="B48" s="96" t="s">
        <v>66</v>
      </c>
      <c r="C48" s="94" t="s">
        <v>320</v>
      </c>
      <c r="D48" s="97">
        <v>3.0</v>
      </c>
      <c r="E48" s="97" t="s">
        <v>146</v>
      </c>
      <c r="F48" s="97" t="s">
        <v>148</v>
      </c>
      <c r="G48" s="97" t="s">
        <v>149</v>
      </c>
      <c r="H48" s="97" t="s">
        <v>151</v>
      </c>
      <c r="I48" s="96"/>
      <c r="J48" s="100" t="s">
        <v>323</v>
      </c>
      <c r="K48" s="101" t="s">
        <v>324</v>
      </c>
      <c r="L48" s="88" t="s">
        <v>63</v>
      </c>
      <c r="M48" s="50" t="s">
        <v>64</v>
      </c>
      <c r="N48" s="43" t="s">
        <v>55</v>
      </c>
      <c r="O48" s="124" t="s">
        <v>56</v>
      </c>
      <c r="P48" s="101" t="s">
        <v>910</v>
      </c>
      <c r="Q48" s="107"/>
    </row>
    <row r="49" ht="30.0" customHeight="1">
      <c r="A49" s="73" t="s">
        <v>914</v>
      </c>
      <c r="B49" s="75" t="s">
        <v>66</v>
      </c>
      <c r="C49" s="73" t="s">
        <v>320</v>
      </c>
      <c r="D49" s="77">
        <v>3.0</v>
      </c>
      <c r="E49" s="77" t="s">
        <v>146</v>
      </c>
      <c r="F49" s="77" t="s">
        <v>148</v>
      </c>
      <c r="G49" s="77" t="s">
        <v>149</v>
      </c>
      <c r="H49" s="77" t="s">
        <v>151</v>
      </c>
      <c r="I49" s="75"/>
      <c r="J49" s="81" t="s">
        <v>323</v>
      </c>
      <c r="K49" s="45" t="s">
        <v>324</v>
      </c>
      <c r="L49" s="125" t="s">
        <v>92</v>
      </c>
      <c r="M49" s="50" t="s">
        <v>64</v>
      </c>
      <c r="N49" s="43" t="s">
        <v>55</v>
      </c>
      <c r="O49" s="115" t="s">
        <v>56</v>
      </c>
      <c r="P49" s="45" t="s">
        <v>916</v>
      </c>
      <c r="Q49" s="44" t="s">
        <v>881</v>
      </c>
    </row>
    <row r="50" ht="30.0" customHeight="1">
      <c r="A50" s="94" t="s">
        <v>922</v>
      </c>
      <c r="B50" s="96" t="s">
        <v>66</v>
      </c>
      <c r="C50" s="94" t="s">
        <v>320</v>
      </c>
      <c r="D50" s="97">
        <v>3.0</v>
      </c>
      <c r="E50" s="97" t="s">
        <v>146</v>
      </c>
      <c r="F50" s="97" t="s">
        <v>148</v>
      </c>
      <c r="G50" s="97" t="s">
        <v>149</v>
      </c>
      <c r="H50" s="97" t="s">
        <v>151</v>
      </c>
      <c r="I50" s="96"/>
      <c r="J50" s="100" t="s">
        <v>323</v>
      </c>
      <c r="K50" s="101" t="s">
        <v>324</v>
      </c>
      <c r="L50" s="88" t="s">
        <v>63</v>
      </c>
      <c r="M50" s="86" t="s">
        <v>164</v>
      </c>
      <c r="N50" s="43" t="s">
        <v>55</v>
      </c>
      <c r="O50" s="124" t="s">
        <v>56</v>
      </c>
      <c r="P50" s="101" t="s">
        <v>924</v>
      </c>
      <c r="Q50" s="107" t="s">
        <v>269</v>
      </c>
    </row>
    <row r="51" ht="30.0" customHeight="1">
      <c r="A51" s="73" t="s">
        <v>929</v>
      </c>
      <c r="B51" s="75" t="s">
        <v>66</v>
      </c>
      <c r="C51" s="73" t="s">
        <v>320</v>
      </c>
      <c r="D51" s="77">
        <v>3.0</v>
      </c>
      <c r="E51" s="77" t="s">
        <v>146</v>
      </c>
      <c r="F51" s="77" t="s">
        <v>148</v>
      </c>
      <c r="G51" s="77" t="s">
        <v>149</v>
      </c>
      <c r="H51" s="77" t="s">
        <v>151</v>
      </c>
      <c r="I51" s="75"/>
      <c r="J51" s="81" t="s">
        <v>323</v>
      </c>
      <c r="K51" s="45" t="s">
        <v>324</v>
      </c>
      <c r="L51" s="88" t="s">
        <v>63</v>
      </c>
      <c r="M51" s="50" t="s">
        <v>64</v>
      </c>
      <c r="N51" s="43" t="s">
        <v>55</v>
      </c>
      <c r="O51" s="115" t="s">
        <v>56</v>
      </c>
      <c r="P51" s="45" t="s">
        <v>931</v>
      </c>
      <c r="Q51" s="44" t="s">
        <v>932</v>
      </c>
    </row>
    <row r="52" ht="30.0" customHeight="1">
      <c r="A52" s="94" t="s">
        <v>936</v>
      </c>
      <c r="B52" s="96" t="s">
        <v>66</v>
      </c>
      <c r="C52" s="94" t="s">
        <v>320</v>
      </c>
      <c r="D52" s="97">
        <v>3.0</v>
      </c>
      <c r="E52" s="97" t="s">
        <v>146</v>
      </c>
      <c r="F52" s="97" t="s">
        <v>148</v>
      </c>
      <c r="G52" s="97" t="s">
        <v>149</v>
      </c>
      <c r="H52" s="97" t="s">
        <v>151</v>
      </c>
      <c r="I52" s="96"/>
      <c r="J52" s="100" t="s">
        <v>323</v>
      </c>
      <c r="K52" s="101" t="s">
        <v>324</v>
      </c>
      <c r="L52" s="126" t="s">
        <v>78</v>
      </c>
      <c r="M52" s="50" t="s">
        <v>64</v>
      </c>
      <c r="N52" s="43" t="s">
        <v>55</v>
      </c>
      <c r="O52" s="124" t="s">
        <v>56</v>
      </c>
      <c r="P52" s="101" t="s">
        <v>938</v>
      </c>
      <c r="Q52" s="107"/>
    </row>
    <row r="53" ht="39.75" customHeight="1">
      <c r="A53" s="73" t="s">
        <v>957</v>
      </c>
      <c r="B53" s="75" t="s">
        <v>66</v>
      </c>
      <c r="C53" s="73" t="s">
        <v>320</v>
      </c>
      <c r="D53" s="77">
        <v>3.0</v>
      </c>
      <c r="E53" s="77" t="s">
        <v>146</v>
      </c>
      <c r="F53" s="77" t="s">
        <v>148</v>
      </c>
      <c r="G53" s="77" t="s">
        <v>149</v>
      </c>
      <c r="H53" s="77" t="s">
        <v>151</v>
      </c>
      <c r="I53" s="75"/>
      <c r="J53" s="81" t="s">
        <v>323</v>
      </c>
      <c r="K53" s="45" t="s">
        <v>324</v>
      </c>
      <c r="L53" s="140" t="s">
        <v>52</v>
      </c>
      <c r="M53" s="49" t="s">
        <v>63</v>
      </c>
      <c r="N53" s="43" t="s">
        <v>55</v>
      </c>
      <c r="O53" s="59" t="s">
        <v>68</v>
      </c>
      <c r="P53" s="45" t="s">
        <v>891</v>
      </c>
      <c r="Q53" s="44" t="s">
        <v>893</v>
      </c>
    </row>
    <row r="54" ht="30.0" customHeight="1">
      <c r="A54" s="94" t="s">
        <v>958</v>
      </c>
      <c r="B54" s="96" t="s">
        <v>66</v>
      </c>
      <c r="C54" s="94" t="s">
        <v>320</v>
      </c>
      <c r="D54" s="97">
        <v>3.0</v>
      </c>
      <c r="E54" s="97" t="s">
        <v>146</v>
      </c>
      <c r="F54" s="97" t="s">
        <v>148</v>
      </c>
      <c r="G54" s="97" t="s">
        <v>149</v>
      </c>
      <c r="H54" s="97" t="s">
        <v>151</v>
      </c>
      <c r="I54" s="96"/>
      <c r="J54" s="100" t="s">
        <v>323</v>
      </c>
      <c r="K54" s="101" t="s">
        <v>324</v>
      </c>
      <c r="L54" s="148" t="s">
        <v>199</v>
      </c>
      <c r="M54" s="86" t="s">
        <v>164</v>
      </c>
      <c r="N54" s="43" t="s">
        <v>55</v>
      </c>
      <c r="O54" s="124" t="s">
        <v>56</v>
      </c>
      <c r="P54" s="101" t="s">
        <v>961</v>
      </c>
      <c r="Q54" s="107"/>
    </row>
    <row r="55" ht="30.0" customHeight="1">
      <c r="A55" s="73" t="s">
        <v>971</v>
      </c>
      <c r="B55" s="75" t="s">
        <v>66</v>
      </c>
      <c r="C55" s="73" t="s">
        <v>320</v>
      </c>
      <c r="D55" s="77">
        <v>3.0</v>
      </c>
      <c r="E55" s="77" t="s">
        <v>146</v>
      </c>
      <c r="F55" s="77" t="s">
        <v>148</v>
      </c>
      <c r="G55" s="77" t="s">
        <v>149</v>
      </c>
      <c r="H55" s="77" t="s">
        <v>151</v>
      </c>
      <c r="I55" s="75"/>
      <c r="J55" s="81" t="s">
        <v>323</v>
      </c>
      <c r="K55" s="45" t="s">
        <v>324</v>
      </c>
      <c r="L55" s="140" t="s">
        <v>52</v>
      </c>
      <c r="M55" s="49" t="s">
        <v>63</v>
      </c>
      <c r="N55" s="43" t="s">
        <v>55</v>
      </c>
      <c r="O55" s="115" t="s">
        <v>56</v>
      </c>
      <c r="P55" s="45" t="s">
        <v>973</v>
      </c>
      <c r="Q55" s="44"/>
    </row>
    <row r="56" ht="39.75" customHeight="1">
      <c r="A56" s="94" t="s">
        <v>980</v>
      </c>
      <c r="B56" s="96" t="s">
        <v>66</v>
      </c>
      <c r="C56" s="94" t="s">
        <v>320</v>
      </c>
      <c r="D56" s="97">
        <v>3.0</v>
      </c>
      <c r="E56" s="97" t="s">
        <v>146</v>
      </c>
      <c r="F56" s="97" t="s">
        <v>148</v>
      </c>
      <c r="G56" s="97" t="s">
        <v>149</v>
      </c>
      <c r="H56" s="97" t="s">
        <v>151</v>
      </c>
      <c r="I56" s="96"/>
      <c r="J56" s="100" t="s">
        <v>323</v>
      </c>
      <c r="K56" s="101" t="s">
        <v>324</v>
      </c>
      <c r="L56" s="88" t="s">
        <v>63</v>
      </c>
      <c r="M56" s="50" t="s">
        <v>64</v>
      </c>
      <c r="N56" s="43" t="s">
        <v>55</v>
      </c>
      <c r="O56" s="105" t="s">
        <v>68</v>
      </c>
      <c r="P56" s="101" t="s">
        <v>891</v>
      </c>
      <c r="Q56" s="107" t="s">
        <v>893</v>
      </c>
    </row>
    <row r="57" ht="30.0" customHeight="1">
      <c r="A57" s="73" t="s">
        <v>984</v>
      </c>
      <c r="B57" s="75" t="s">
        <v>66</v>
      </c>
      <c r="C57" s="73" t="s">
        <v>320</v>
      </c>
      <c r="D57" s="77">
        <v>3.0</v>
      </c>
      <c r="E57" s="77" t="s">
        <v>146</v>
      </c>
      <c r="F57" s="77" t="s">
        <v>148</v>
      </c>
      <c r="G57" s="77" t="s">
        <v>149</v>
      </c>
      <c r="H57" s="77" t="s">
        <v>151</v>
      </c>
      <c r="I57" s="75"/>
      <c r="J57" s="81" t="s">
        <v>323</v>
      </c>
      <c r="K57" s="45" t="s">
        <v>324</v>
      </c>
      <c r="L57" s="167" t="s">
        <v>201</v>
      </c>
      <c r="M57" s="57" t="s">
        <v>78</v>
      </c>
      <c r="N57" s="43" t="s">
        <v>55</v>
      </c>
      <c r="O57" s="115" t="s">
        <v>56</v>
      </c>
      <c r="P57" s="45" t="s">
        <v>986</v>
      </c>
      <c r="Q57" s="44" t="s">
        <v>987</v>
      </c>
    </row>
    <row r="58" ht="39.75" customHeight="1">
      <c r="A58" s="94" t="s">
        <v>990</v>
      </c>
      <c r="B58" s="96" t="s">
        <v>66</v>
      </c>
      <c r="C58" s="94" t="s">
        <v>320</v>
      </c>
      <c r="D58" s="97">
        <v>3.0</v>
      </c>
      <c r="E58" s="97" t="s">
        <v>146</v>
      </c>
      <c r="F58" s="97" t="s">
        <v>148</v>
      </c>
      <c r="G58" s="97" t="s">
        <v>149</v>
      </c>
      <c r="H58" s="97" t="s">
        <v>151</v>
      </c>
      <c r="I58" s="96"/>
      <c r="J58" s="100" t="s">
        <v>323</v>
      </c>
      <c r="K58" s="101" t="s">
        <v>324</v>
      </c>
      <c r="L58" s="88" t="s">
        <v>63</v>
      </c>
      <c r="M58" s="50" t="s">
        <v>64</v>
      </c>
      <c r="N58" s="43" t="s">
        <v>55</v>
      </c>
      <c r="O58" s="105" t="s">
        <v>68</v>
      </c>
      <c r="P58" s="101" t="s">
        <v>891</v>
      </c>
      <c r="Q58" s="107" t="s">
        <v>893</v>
      </c>
    </row>
    <row r="59" ht="30.0" customHeight="1">
      <c r="A59" s="73" t="s">
        <v>991</v>
      </c>
      <c r="B59" s="75" t="s">
        <v>66</v>
      </c>
      <c r="C59" s="73" t="s">
        <v>320</v>
      </c>
      <c r="D59" s="77">
        <v>3.0</v>
      </c>
      <c r="E59" s="77" t="s">
        <v>146</v>
      </c>
      <c r="F59" s="77" t="s">
        <v>148</v>
      </c>
      <c r="G59" s="77" t="s">
        <v>149</v>
      </c>
      <c r="H59" s="77" t="s">
        <v>151</v>
      </c>
      <c r="I59" s="75"/>
      <c r="J59" s="81" t="s">
        <v>323</v>
      </c>
      <c r="K59" s="45" t="s">
        <v>324</v>
      </c>
      <c r="L59" s="146" t="s">
        <v>50</v>
      </c>
      <c r="M59" s="50" t="s">
        <v>64</v>
      </c>
      <c r="N59" s="43" t="s">
        <v>55</v>
      </c>
      <c r="O59" s="115" t="s">
        <v>56</v>
      </c>
      <c r="P59" s="45" t="s">
        <v>993</v>
      </c>
      <c r="Q59" s="44"/>
    </row>
    <row r="60" ht="30.0" customHeight="1">
      <c r="A60" s="94" t="s">
        <v>994</v>
      </c>
      <c r="B60" s="96" t="s">
        <v>66</v>
      </c>
      <c r="C60" s="94" t="s">
        <v>320</v>
      </c>
      <c r="D60" s="97">
        <v>3.0</v>
      </c>
      <c r="E60" s="97" t="s">
        <v>146</v>
      </c>
      <c r="F60" s="97" t="s">
        <v>148</v>
      </c>
      <c r="G60" s="97" t="s">
        <v>149</v>
      </c>
      <c r="H60" s="97" t="s">
        <v>151</v>
      </c>
      <c r="I60" s="96"/>
      <c r="J60" s="100" t="s">
        <v>323</v>
      </c>
      <c r="K60" s="101" t="s">
        <v>324</v>
      </c>
      <c r="L60" s="143" t="s">
        <v>150</v>
      </c>
      <c r="M60" s="149" t="s">
        <v>503</v>
      </c>
      <c r="N60" s="150" t="s">
        <v>35</v>
      </c>
      <c r="O60" s="124" t="s">
        <v>56</v>
      </c>
      <c r="P60" s="101" t="s">
        <v>996</v>
      </c>
      <c r="Q60" s="107" t="s">
        <v>997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C43C50D-BB3D-422B-B59C-3D3896AB57C1}" filter="1" showAutoFilter="1">
      <autoFilter ref="$A$6:$Q$60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18" ref="J7"/>
    <hyperlink r:id="rId5" ref="K7"/>
    <hyperlink r:id="rId6" location="'Club Colours'!A314" ref="L7"/>
    <hyperlink r:id="rId7" ref="P7"/>
    <hyperlink r:id="rId8" location="'Sources'!A18" ref="J8"/>
    <hyperlink r:id="rId9" ref="K8"/>
    <hyperlink r:id="rId10" location="'Club Colours'!A317" ref="L8"/>
    <hyperlink r:id="rId11" ref="P8"/>
    <hyperlink r:id="rId12" location="'Sources'!A18" ref="J9"/>
    <hyperlink r:id="rId13" ref="K9"/>
    <hyperlink r:id="rId14" location="'Club Colours'!A321" ref="L9"/>
    <hyperlink r:id="rId15" ref="P9"/>
    <hyperlink r:id="rId16" location="'Sources'!A18" ref="J10"/>
    <hyperlink r:id="rId17" ref="K10"/>
    <hyperlink r:id="rId18" location="'Club Colours'!A333" ref="L10"/>
    <hyperlink r:id="rId19" ref="P10"/>
    <hyperlink r:id="rId20" location="'Sources'!A18" ref="J11"/>
    <hyperlink r:id="rId21" ref="K11"/>
    <hyperlink r:id="rId22" location="'Club Colours'!A334" ref="L11"/>
    <hyperlink r:id="rId23" ref="P11"/>
    <hyperlink r:id="rId24" location="'Sources'!A18" ref="J12"/>
    <hyperlink r:id="rId25" ref="K12"/>
    <hyperlink r:id="rId26" location="'Club Colours'!A336" ref="L12"/>
    <hyperlink r:id="rId27" ref="P12"/>
    <hyperlink r:id="rId28" location="'Sources'!A18" ref="J13"/>
    <hyperlink r:id="rId29" ref="K13"/>
    <hyperlink r:id="rId30" location="'Club Colours'!A337" ref="L13"/>
    <hyperlink r:id="rId31" ref="P13"/>
    <hyperlink r:id="rId32" location="'Sources'!A18" ref="J14"/>
    <hyperlink r:id="rId33" ref="K14"/>
    <hyperlink r:id="rId34" location="'Club Colours'!A338" ref="L14"/>
    <hyperlink r:id="rId35" ref="P14"/>
    <hyperlink r:id="rId36" location="'Sources'!A18" ref="J15"/>
    <hyperlink r:id="rId37" ref="K15"/>
    <hyperlink r:id="rId38" location="'Club Colours'!A339" ref="L15"/>
    <hyperlink r:id="rId39" ref="P15"/>
    <hyperlink r:id="rId40" location="'Sources'!A18" ref="J16"/>
    <hyperlink r:id="rId41" ref="K16"/>
    <hyperlink r:id="rId42" location="'Club Colours'!A340" ref="L16"/>
    <hyperlink r:id="rId43" ref="P16"/>
    <hyperlink r:id="rId44" location="'Sources'!A18" ref="J17"/>
    <hyperlink r:id="rId45" ref="K17"/>
    <hyperlink r:id="rId46" location="'Club Colours'!A342" ref="L17"/>
    <hyperlink r:id="rId47" ref="P17"/>
    <hyperlink r:id="rId48" location="'Sources'!A18" ref="J18"/>
    <hyperlink r:id="rId49" ref="K18"/>
    <hyperlink r:id="rId50" location="'Club Colours'!A346" ref="L18"/>
    <hyperlink r:id="rId51" ref="P18"/>
    <hyperlink r:id="rId52" location="'Sources'!A18" ref="J19"/>
    <hyperlink r:id="rId53" ref="K19"/>
    <hyperlink r:id="rId54" location="'Club Colours'!A349" ref="L19"/>
    <hyperlink r:id="rId55" ref="P19"/>
    <hyperlink r:id="rId56" location="'Sources'!A18" ref="J20"/>
    <hyperlink r:id="rId57" ref="K20"/>
    <hyperlink r:id="rId58" location="'Club Colours'!A350" ref="L20"/>
    <hyperlink r:id="rId59" ref="P20"/>
    <hyperlink r:id="rId60" location="'Sources'!A18" ref="J21"/>
    <hyperlink r:id="rId61" ref="K21"/>
    <hyperlink r:id="rId62" location="'Club Colours'!A355" ref="L21"/>
    <hyperlink r:id="rId63" ref="P21"/>
    <hyperlink r:id="rId64" location="'Sources'!A18" ref="J22"/>
    <hyperlink r:id="rId65" ref="K22"/>
    <hyperlink r:id="rId66" location="'Club Colours'!A360" ref="L22"/>
    <hyperlink r:id="rId67" ref="P22"/>
    <hyperlink r:id="rId68" location="'Sources'!A18" ref="J23"/>
    <hyperlink r:id="rId69" ref="K23"/>
    <hyperlink r:id="rId70" location="'Club Colours'!A362" ref="L23"/>
    <hyperlink r:id="rId71" ref="P23"/>
    <hyperlink r:id="rId72" location="'Sources'!A18" ref="J24"/>
    <hyperlink r:id="rId73" ref="K24"/>
    <hyperlink r:id="rId74" location="'Club Colours'!A363" ref="L24"/>
    <hyperlink r:id="rId75" ref="P24"/>
    <hyperlink r:id="rId76" location="'Sources'!A19" ref="J25"/>
    <hyperlink r:id="rId77" ref="K25"/>
    <hyperlink r:id="rId78" location="'Club Colours'!A315" ref="L25"/>
    <hyperlink r:id="rId79" ref="P25"/>
    <hyperlink r:id="rId80" location="'Sources'!A19" ref="J26"/>
    <hyperlink r:id="rId81" ref="K26"/>
    <hyperlink r:id="rId82" location="'Club Colours'!A319" ref="L26"/>
    <hyperlink r:id="rId83" ref="P26"/>
    <hyperlink r:id="rId84" location="'Sources'!A19" ref="J27"/>
    <hyperlink r:id="rId85" ref="K27"/>
    <hyperlink r:id="rId86" location="'Club Colours'!A324" ref="L27"/>
    <hyperlink r:id="rId87" ref="P27"/>
    <hyperlink r:id="rId88" location="'Sources'!A19" ref="J28"/>
    <hyperlink r:id="rId89" ref="K28"/>
    <hyperlink r:id="rId90" location="'Club Colours'!A326" ref="L28"/>
    <hyperlink r:id="rId91" ref="P28"/>
    <hyperlink r:id="rId92" location="'Sources'!A19" ref="J29"/>
    <hyperlink r:id="rId93" ref="K29"/>
    <hyperlink r:id="rId94" location="'Club Colours'!A327" ref="L29"/>
    <hyperlink r:id="rId95" ref="P29"/>
    <hyperlink r:id="rId96" location="'Sources'!A19" ref="J30"/>
    <hyperlink r:id="rId97" ref="K30"/>
    <hyperlink r:id="rId98" location="'Club Colours'!A329" ref="L30"/>
    <hyperlink r:id="rId99" ref="P30"/>
    <hyperlink r:id="rId100" location="'Sources'!A19" ref="J31"/>
    <hyperlink r:id="rId101" ref="K31"/>
    <hyperlink r:id="rId102" location="'Club Colours'!A330" ref="L31"/>
    <hyperlink r:id="rId103" ref="P31"/>
    <hyperlink r:id="rId104" location="'Sources'!A19" ref="J32"/>
    <hyperlink r:id="rId105" ref="K32"/>
    <hyperlink r:id="rId106" location="'Club Colours'!A332" ref="L32"/>
    <hyperlink r:id="rId107" ref="P32"/>
    <hyperlink r:id="rId108" location="'Sources'!A19" ref="J33"/>
    <hyperlink r:id="rId109" ref="K33"/>
    <hyperlink r:id="rId110" location="'Club Colours'!A341" ref="L33"/>
    <hyperlink r:id="rId111" ref="P33"/>
    <hyperlink r:id="rId112" location="'Sources'!A19" ref="J34"/>
    <hyperlink r:id="rId113" ref="K34"/>
    <hyperlink r:id="rId114" location="'Club Colours'!A343" ref="L34"/>
    <hyperlink r:id="rId115" ref="P34"/>
    <hyperlink r:id="rId116" location="'Sources'!A19" ref="J35"/>
    <hyperlink r:id="rId117" ref="K35"/>
    <hyperlink r:id="rId118" location="'Club Colours'!A344" ref="L35"/>
    <hyperlink r:id="rId119" ref="P35"/>
    <hyperlink r:id="rId120" location="'Sources'!A19" ref="J36"/>
    <hyperlink r:id="rId121" ref="K36"/>
    <hyperlink r:id="rId122" location="'Club Colours'!A345" ref="L36"/>
    <hyperlink r:id="rId123" ref="P36"/>
    <hyperlink r:id="rId124" location="'Sources'!A19" ref="J37"/>
    <hyperlink r:id="rId125" ref="K37"/>
    <hyperlink r:id="rId126" location="'Club Colours'!A351" ref="L37"/>
    <hyperlink r:id="rId127" ref="P37"/>
    <hyperlink r:id="rId128" location="'Sources'!A19" ref="J38"/>
    <hyperlink r:id="rId129" ref="K38"/>
    <hyperlink r:id="rId130" location="'Club Colours'!A353" ref="L38"/>
    <hyperlink r:id="rId131" ref="P38"/>
    <hyperlink r:id="rId132" location="'Sources'!A19" ref="J39"/>
    <hyperlink r:id="rId133" ref="K39"/>
    <hyperlink r:id="rId134" location="'Club Colours'!A354" ref="L39"/>
    <hyperlink r:id="rId135" ref="P39"/>
    <hyperlink r:id="rId136" location="'Sources'!A19" ref="J40"/>
    <hyperlink r:id="rId137" ref="K40"/>
    <hyperlink r:id="rId138" location="'Club Colours'!A356" ref="L40"/>
    <hyperlink r:id="rId139" ref="P40"/>
    <hyperlink r:id="rId140" location="'Sources'!A19" ref="J41"/>
    <hyperlink r:id="rId141" ref="K41"/>
    <hyperlink r:id="rId142" location="'Club Colours'!A358" ref="L41"/>
    <hyperlink r:id="rId143" ref="P41"/>
    <hyperlink r:id="rId144" location="'Sources'!A19" ref="J42"/>
    <hyperlink r:id="rId145" ref="K42"/>
    <hyperlink r:id="rId146" location="'Club Colours'!A359" ref="L42"/>
    <hyperlink r:id="rId147" ref="P42"/>
    <hyperlink r:id="rId148" location="'Sources'!A20" ref="J43"/>
    <hyperlink r:id="rId149" ref="K43"/>
    <hyperlink r:id="rId150" location="'Club Colours'!A313" ref="L43"/>
    <hyperlink r:id="rId151" ref="P43"/>
    <hyperlink r:id="rId152" location="'Sources'!A20" ref="J44"/>
    <hyperlink r:id="rId153" ref="K44"/>
    <hyperlink r:id="rId154" location="'Club Colours'!A316" ref="L44"/>
    <hyperlink r:id="rId155" ref="P44"/>
    <hyperlink r:id="rId156" location="'Sources'!A20" ref="J45"/>
    <hyperlink r:id="rId157" ref="K45"/>
    <hyperlink r:id="rId158" location="'Club Colours'!A318" ref="L45"/>
    <hyperlink r:id="rId159" ref="P45"/>
    <hyperlink r:id="rId160" location="'Sources'!A20" ref="J46"/>
    <hyperlink r:id="rId161" ref="K46"/>
    <hyperlink r:id="rId162" location="'Club Colours'!A320" ref="L46"/>
    <hyperlink r:id="rId163" ref="P46"/>
    <hyperlink r:id="rId164" location="'Sources'!A20" ref="J47"/>
    <hyperlink r:id="rId165" ref="K47"/>
    <hyperlink r:id="rId166" location="'Club Colours'!A322" ref="L47"/>
    <hyperlink r:id="rId167" ref="P47"/>
    <hyperlink r:id="rId168" location="'Sources'!A20" ref="J48"/>
    <hyperlink r:id="rId169" ref="K48"/>
    <hyperlink r:id="rId170" location="'Club Colours'!A323" ref="L48"/>
    <hyperlink r:id="rId171" ref="P48"/>
    <hyperlink r:id="rId172" location="'Sources'!A20" ref="J49"/>
    <hyperlink r:id="rId173" ref="K49"/>
    <hyperlink r:id="rId174" location="'Club Colours'!A325" ref="L49"/>
    <hyperlink r:id="rId175" ref="P49"/>
    <hyperlink r:id="rId176" location="'Sources'!A20" ref="J50"/>
    <hyperlink r:id="rId177" ref="K50"/>
    <hyperlink r:id="rId178" location="'Club Colours'!A328" ref="L50"/>
    <hyperlink r:id="rId179" ref="P50"/>
    <hyperlink r:id="rId180" location="'Sources'!A20" ref="J51"/>
    <hyperlink r:id="rId181" ref="K51"/>
    <hyperlink r:id="rId182" location="'Club Colours'!A331" ref="L51"/>
    <hyperlink r:id="rId183" ref="P51"/>
    <hyperlink r:id="rId184" location="'Sources'!A20" ref="J52"/>
    <hyperlink r:id="rId185" ref="K52"/>
    <hyperlink r:id="rId186" location="'Club Colours'!A335" ref="L52"/>
    <hyperlink r:id="rId187" ref="P52"/>
    <hyperlink r:id="rId188" location="'Sources'!A20" ref="J53"/>
    <hyperlink r:id="rId189" ref="K53"/>
    <hyperlink r:id="rId190" location="'Club Colours'!A347" ref="L53"/>
    <hyperlink r:id="rId191" ref="P53"/>
    <hyperlink r:id="rId192" location="'Sources'!A20" ref="J54"/>
    <hyperlink r:id="rId193" ref="K54"/>
    <hyperlink r:id="rId194" location="'Club Colours'!A348" ref="L54"/>
    <hyperlink r:id="rId195" ref="P54"/>
    <hyperlink r:id="rId196" location="'Sources'!A20" ref="J55"/>
    <hyperlink r:id="rId197" ref="K55"/>
    <hyperlink r:id="rId198" location="'Club Colours'!A352" ref="L55"/>
    <hyperlink r:id="rId199" ref="P55"/>
    <hyperlink r:id="rId200" location="'Sources'!A20" ref="J56"/>
    <hyperlink r:id="rId201" ref="K56"/>
    <hyperlink r:id="rId202" location="'Club Colours'!A357" ref="L56"/>
    <hyperlink r:id="rId203" ref="P56"/>
    <hyperlink r:id="rId204" location="'Sources'!A20" ref="J57"/>
    <hyperlink r:id="rId205" ref="K57"/>
    <hyperlink r:id="rId206" location="'Club Colours'!A361" ref="L57"/>
    <hyperlink r:id="rId207" ref="P57"/>
    <hyperlink r:id="rId208" location="'Sources'!A20" ref="J58"/>
    <hyperlink r:id="rId209" ref="K58"/>
    <hyperlink r:id="rId210" location="'Club Colours'!A364" ref="L58"/>
    <hyperlink r:id="rId211" ref="P58"/>
    <hyperlink r:id="rId212" location="'Sources'!A20" ref="J59"/>
    <hyperlink r:id="rId213" ref="K59"/>
    <hyperlink r:id="rId214" location="'Club Colours'!A365" ref="L59"/>
    <hyperlink r:id="rId215" ref="P59"/>
    <hyperlink r:id="rId216" location="'Sources'!A20" ref="J60"/>
    <hyperlink r:id="rId217" ref="K60"/>
    <hyperlink r:id="rId218" location="'Club Colours'!A366" ref="L60"/>
    <hyperlink r:id="rId219" ref="P60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220"/>
  <legacyDrawing r:id="rId221"/>
  <tableParts count="1">
    <tablePart r:id="rId22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1085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276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0.0" customHeight="1">
      <c r="A7" s="73" t="s">
        <v>1025</v>
      </c>
      <c r="B7" s="75" t="s">
        <v>71</v>
      </c>
      <c r="C7" s="73" t="s">
        <v>327</v>
      </c>
      <c r="D7" s="77">
        <v>1.0</v>
      </c>
      <c r="E7" s="77" t="s">
        <v>146</v>
      </c>
      <c r="F7" s="77" t="s">
        <v>148</v>
      </c>
      <c r="G7" s="77" t="s">
        <v>149</v>
      </c>
      <c r="H7" s="77" t="s">
        <v>151</v>
      </c>
      <c r="I7" s="75"/>
      <c r="J7" s="81" t="s">
        <v>328</v>
      </c>
      <c r="K7" s="45" t="s">
        <v>329</v>
      </c>
      <c r="L7" s="163" t="s">
        <v>176</v>
      </c>
      <c r="M7" s="50" t="s">
        <v>64</v>
      </c>
      <c r="N7" s="43" t="s">
        <v>55</v>
      </c>
      <c r="O7" s="115" t="s">
        <v>163</v>
      </c>
      <c r="P7" s="45" t="s">
        <v>1027</v>
      </c>
      <c r="Q7" s="44"/>
    </row>
    <row r="8" ht="30.0" customHeight="1">
      <c r="A8" s="94" t="s">
        <v>1037</v>
      </c>
      <c r="B8" s="96" t="s">
        <v>71</v>
      </c>
      <c r="C8" s="94" t="s">
        <v>327</v>
      </c>
      <c r="D8" s="97">
        <v>1.0</v>
      </c>
      <c r="E8" s="97" t="s">
        <v>146</v>
      </c>
      <c r="F8" s="97" t="s">
        <v>148</v>
      </c>
      <c r="G8" s="97" t="s">
        <v>149</v>
      </c>
      <c r="H8" s="97" t="s">
        <v>151</v>
      </c>
      <c r="I8" s="96"/>
      <c r="J8" s="100" t="s">
        <v>328</v>
      </c>
      <c r="K8" s="101" t="s">
        <v>329</v>
      </c>
      <c r="L8" s="127" t="s">
        <v>64</v>
      </c>
      <c r="M8" s="62" t="s">
        <v>92</v>
      </c>
      <c r="N8" s="43" t="s">
        <v>55</v>
      </c>
      <c r="O8" s="124" t="s">
        <v>163</v>
      </c>
      <c r="P8" s="101" t="s">
        <v>1039</v>
      </c>
      <c r="Q8" s="107"/>
    </row>
    <row r="9" ht="30.0" customHeight="1">
      <c r="A9" s="73" t="s">
        <v>1061</v>
      </c>
      <c r="B9" s="75" t="s">
        <v>71</v>
      </c>
      <c r="C9" s="73" t="s">
        <v>327</v>
      </c>
      <c r="D9" s="77">
        <v>1.0</v>
      </c>
      <c r="E9" s="77" t="s">
        <v>146</v>
      </c>
      <c r="F9" s="77" t="s">
        <v>148</v>
      </c>
      <c r="G9" s="77" t="s">
        <v>149</v>
      </c>
      <c r="H9" s="77" t="s">
        <v>151</v>
      </c>
      <c r="I9" s="75"/>
      <c r="J9" s="81" t="s">
        <v>328</v>
      </c>
      <c r="K9" s="45" t="s">
        <v>329</v>
      </c>
      <c r="L9" s="88" t="s">
        <v>63</v>
      </c>
      <c r="M9" s="86" t="s">
        <v>164</v>
      </c>
      <c r="N9" s="43" t="s">
        <v>55</v>
      </c>
      <c r="O9" s="115" t="s">
        <v>163</v>
      </c>
      <c r="P9" s="45" t="s">
        <v>1063</v>
      </c>
      <c r="Q9" s="44"/>
    </row>
    <row r="10" ht="30.0" customHeight="1">
      <c r="A10" s="94" t="s">
        <v>1086</v>
      </c>
      <c r="B10" s="96" t="s">
        <v>71</v>
      </c>
      <c r="C10" s="94" t="s">
        <v>327</v>
      </c>
      <c r="D10" s="97">
        <v>1.0</v>
      </c>
      <c r="E10" s="97" t="s">
        <v>146</v>
      </c>
      <c r="F10" s="97" t="s">
        <v>148</v>
      </c>
      <c r="G10" s="97" t="s">
        <v>149</v>
      </c>
      <c r="H10" s="97" t="s">
        <v>151</v>
      </c>
      <c r="I10" s="96"/>
      <c r="J10" s="100" t="s">
        <v>328</v>
      </c>
      <c r="K10" s="101" t="s">
        <v>329</v>
      </c>
      <c r="L10" s="127" t="s">
        <v>64</v>
      </c>
      <c r="M10" s="49" t="s">
        <v>63</v>
      </c>
      <c r="N10" s="43" t="s">
        <v>55</v>
      </c>
      <c r="O10" s="124" t="s">
        <v>56</v>
      </c>
      <c r="P10" s="101" t="s">
        <v>1088</v>
      </c>
      <c r="Q10" s="107"/>
    </row>
    <row r="11" ht="30.0" customHeight="1">
      <c r="A11" s="73" t="s">
        <v>1095</v>
      </c>
      <c r="B11" s="75" t="s">
        <v>71</v>
      </c>
      <c r="C11" s="73" t="s">
        <v>327</v>
      </c>
      <c r="D11" s="77">
        <v>1.0</v>
      </c>
      <c r="E11" s="77" t="s">
        <v>146</v>
      </c>
      <c r="F11" s="77" t="s">
        <v>148</v>
      </c>
      <c r="G11" s="77" t="s">
        <v>149</v>
      </c>
      <c r="H11" s="77" t="s">
        <v>151</v>
      </c>
      <c r="I11" s="75"/>
      <c r="J11" s="81" t="s">
        <v>328</v>
      </c>
      <c r="K11" s="45" t="s">
        <v>329</v>
      </c>
      <c r="L11" s="127" t="s">
        <v>64</v>
      </c>
      <c r="M11" s="62" t="s">
        <v>92</v>
      </c>
      <c r="N11" s="43" t="s">
        <v>55</v>
      </c>
      <c r="O11" s="115" t="s">
        <v>163</v>
      </c>
      <c r="P11" s="45" t="s">
        <v>1097</v>
      </c>
      <c r="Q11" s="44"/>
    </row>
    <row r="12" ht="30.0" customHeight="1">
      <c r="A12" s="94" t="s">
        <v>1098</v>
      </c>
      <c r="B12" s="96" t="s">
        <v>71</v>
      </c>
      <c r="C12" s="94" t="s">
        <v>327</v>
      </c>
      <c r="D12" s="97">
        <v>1.0</v>
      </c>
      <c r="E12" s="97" t="s">
        <v>146</v>
      </c>
      <c r="F12" s="97" t="s">
        <v>148</v>
      </c>
      <c r="G12" s="97" t="s">
        <v>149</v>
      </c>
      <c r="H12" s="97" t="s">
        <v>151</v>
      </c>
      <c r="I12" s="96"/>
      <c r="J12" s="100" t="s">
        <v>328</v>
      </c>
      <c r="K12" s="101" t="s">
        <v>329</v>
      </c>
      <c r="L12" s="127" t="s">
        <v>64</v>
      </c>
      <c r="M12" s="152" t="s">
        <v>218</v>
      </c>
      <c r="N12" s="43" t="s">
        <v>55</v>
      </c>
      <c r="O12" s="124" t="s">
        <v>56</v>
      </c>
      <c r="P12" s="101" t="s">
        <v>1100</v>
      </c>
      <c r="Q12" s="107"/>
    </row>
    <row r="13" ht="30.0" customHeight="1">
      <c r="A13" s="73" t="s">
        <v>1106</v>
      </c>
      <c r="B13" s="75" t="s">
        <v>71</v>
      </c>
      <c r="C13" s="73" t="s">
        <v>327</v>
      </c>
      <c r="D13" s="77">
        <v>1.0</v>
      </c>
      <c r="E13" s="77" t="s">
        <v>146</v>
      </c>
      <c r="F13" s="77" t="s">
        <v>148</v>
      </c>
      <c r="G13" s="77" t="s">
        <v>149</v>
      </c>
      <c r="H13" s="77" t="s">
        <v>151</v>
      </c>
      <c r="I13" s="75"/>
      <c r="J13" s="81" t="s">
        <v>328</v>
      </c>
      <c r="K13" s="45" t="s">
        <v>329</v>
      </c>
      <c r="L13" s="88" t="s">
        <v>63</v>
      </c>
      <c r="M13" s="50" t="s">
        <v>64</v>
      </c>
      <c r="N13" s="43" t="s">
        <v>55</v>
      </c>
      <c r="O13" s="115" t="s">
        <v>56</v>
      </c>
      <c r="P13" s="45" t="s">
        <v>1108</v>
      </c>
      <c r="Q13" s="44" t="s">
        <v>1109</v>
      </c>
    </row>
    <row r="14" ht="39.75" customHeight="1">
      <c r="A14" s="94" t="s">
        <v>1112</v>
      </c>
      <c r="B14" s="96" t="s">
        <v>71</v>
      </c>
      <c r="C14" s="94" t="s">
        <v>327</v>
      </c>
      <c r="D14" s="97">
        <v>1.0</v>
      </c>
      <c r="E14" s="97" t="s">
        <v>146</v>
      </c>
      <c r="F14" s="97" t="s">
        <v>148</v>
      </c>
      <c r="G14" s="97" t="s">
        <v>149</v>
      </c>
      <c r="H14" s="97" t="s">
        <v>151</v>
      </c>
      <c r="I14" s="96"/>
      <c r="J14" s="100" t="s">
        <v>328</v>
      </c>
      <c r="K14" s="101" t="s">
        <v>329</v>
      </c>
      <c r="L14" s="127" t="s">
        <v>64</v>
      </c>
      <c r="M14" s="169" t="s">
        <v>176</v>
      </c>
      <c r="N14" s="43" t="s">
        <v>55</v>
      </c>
      <c r="O14" s="124" t="s">
        <v>163</v>
      </c>
      <c r="P14" s="101" t="s">
        <v>1114</v>
      </c>
      <c r="Q14" s="107" t="s">
        <v>1115</v>
      </c>
    </row>
    <row r="15" ht="30.0" customHeight="1">
      <c r="A15" s="73" t="s">
        <v>1118</v>
      </c>
      <c r="B15" s="75" t="s">
        <v>71</v>
      </c>
      <c r="C15" s="73" t="s">
        <v>327</v>
      </c>
      <c r="D15" s="77">
        <v>1.0</v>
      </c>
      <c r="E15" s="77" t="s">
        <v>146</v>
      </c>
      <c r="F15" s="77" t="s">
        <v>148</v>
      </c>
      <c r="G15" s="77" t="s">
        <v>149</v>
      </c>
      <c r="H15" s="77" t="s">
        <v>151</v>
      </c>
      <c r="I15" s="75"/>
      <c r="J15" s="81" t="s">
        <v>328</v>
      </c>
      <c r="K15" s="45" t="s">
        <v>329</v>
      </c>
      <c r="L15" s="88" t="s">
        <v>63</v>
      </c>
      <c r="M15" s="62" t="s">
        <v>92</v>
      </c>
      <c r="N15" s="43" t="s">
        <v>55</v>
      </c>
      <c r="O15" s="115" t="s">
        <v>163</v>
      </c>
      <c r="P15" s="45" t="s">
        <v>1120</v>
      </c>
      <c r="Q15" s="44"/>
    </row>
    <row r="16" ht="30.0" customHeight="1">
      <c r="A16" s="94" t="s">
        <v>1130</v>
      </c>
      <c r="B16" s="96" t="s">
        <v>71</v>
      </c>
      <c r="C16" s="94" t="s">
        <v>327</v>
      </c>
      <c r="D16" s="97">
        <v>1.0</v>
      </c>
      <c r="E16" s="97" t="s">
        <v>146</v>
      </c>
      <c r="F16" s="97" t="s">
        <v>148</v>
      </c>
      <c r="G16" s="97" t="s">
        <v>149</v>
      </c>
      <c r="H16" s="97" t="s">
        <v>151</v>
      </c>
      <c r="I16" s="96"/>
      <c r="J16" s="100" t="s">
        <v>328</v>
      </c>
      <c r="K16" s="101" t="s">
        <v>329</v>
      </c>
      <c r="L16" s="88" t="s">
        <v>63</v>
      </c>
      <c r="M16" s="50" t="s">
        <v>64</v>
      </c>
      <c r="N16" s="43" t="s">
        <v>55</v>
      </c>
      <c r="O16" s="124" t="s">
        <v>163</v>
      </c>
      <c r="P16" s="101" t="s">
        <v>1134</v>
      </c>
      <c r="Q16" s="107" t="s">
        <v>1135</v>
      </c>
    </row>
    <row r="17" ht="30.0" customHeight="1">
      <c r="A17" s="73" t="s">
        <v>1136</v>
      </c>
      <c r="B17" s="75" t="s">
        <v>71</v>
      </c>
      <c r="C17" s="73" t="s">
        <v>327</v>
      </c>
      <c r="D17" s="77">
        <v>1.0</v>
      </c>
      <c r="E17" s="77" t="s">
        <v>146</v>
      </c>
      <c r="F17" s="77" t="s">
        <v>148</v>
      </c>
      <c r="G17" s="77" t="s">
        <v>149</v>
      </c>
      <c r="H17" s="77" t="s">
        <v>151</v>
      </c>
      <c r="I17" s="75"/>
      <c r="J17" s="81" t="s">
        <v>328</v>
      </c>
      <c r="K17" s="45" t="s">
        <v>329</v>
      </c>
      <c r="L17" s="140" t="s">
        <v>52</v>
      </c>
      <c r="M17" s="79" t="s">
        <v>150</v>
      </c>
      <c r="N17" s="43" t="s">
        <v>55</v>
      </c>
      <c r="O17" s="115" t="s">
        <v>56</v>
      </c>
      <c r="P17" s="45" t="s">
        <v>1140</v>
      </c>
      <c r="Q17" s="44"/>
    </row>
    <row r="18" ht="30.0" customHeight="1">
      <c r="A18" s="94" t="s">
        <v>1141</v>
      </c>
      <c r="B18" s="96" t="s">
        <v>71</v>
      </c>
      <c r="C18" s="94" t="s">
        <v>327</v>
      </c>
      <c r="D18" s="97">
        <v>1.0</v>
      </c>
      <c r="E18" s="97" t="s">
        <v>146</v>
      </c>
      <c r="F18" s="97" t="s">
        <v>148</v>
      </c>
      <c r="G18" s="97" t="s">
        <v>149</v>
      </c>
      <c r="H18" s="97" t="s">
        <v>151</v>
      </c>
      <c r="I18" s="96"/>
      <c r="J18" s="100" t="s">
        <v>328</v>
      </c>
      <c r="K18" s="101" t="s">
        <v>329</v>
      </c>
      <c r="L18" s="103" t="s">
        <v>76</v>
      </c>
      <c r="M18" s="50" t="s">
        <v>64</v>
      </c>
      <c r="N18" s="43" t="s">
        <v>55</v>
      </c>
      <c r="O18" s="124" t="s">
        <v>56</v>
      </c>
      <c r="P18" s="101" t="s">
        <v>1144</v>
      </c>
      <c r="Q18" s="107"/>
    </row>
    <row r="19" ht="30.0" customHeight="1">
      <c r="A19" s="73" t="s">
        <v>1147</v>
      </c>
      <c r="B19" s="75" t="s">
        <v>71</v>
      </c>
      <c r="C19" s="73" t="s">
        <v>327</v>
      </c>
      <c r="D19" s="77">
        <v>1.0</v>
      </c>
      <c r="E19" s="77" t="s">
        <v>146</v>
      </c>
      <c r="F19" s="77" t="s">
        <v>148</v>
      </c>
      <c r="G19" s="77" t="s">
        <v>149</v>
      </c>
      <c r="H19" s="77" t="s">
        <v>151</v>
      </c>
      <c r="I19" s="75"/>
      <c r="J19" s="81" t="s">
        <v>328</v>
      </c>
      <c r="K19" s="45" t="s">
        <v>329</v>
      </c>
      <c r="L19" s="88" t="s">
        <v>63</v>
      </c>
      <c r="M19" s="50" t="s">
        <v>64</v>
      </c>
      <c r="N19" s="43" t="s">
        <v>55</v>
      </c>
      <c r="O19" s="115" t="s">
        <v>163</v>
      </c>
      <c r="P19" s="45" t="s">
        <v>1149</v>
      </c>
      <c r="Q19" s="44"/>
    </row>
    <row r="20" ht="30.0" customHeight="1">
      <c r="A20" s="94" t="s">
        <v>1151</v>
      </c>
      <c r="B20" s="96" t="s">
        <v>71</v>
      </c>
      <c r="C20" s="94" t="s">
        <v>327</v>
      </c>
      <c r="D20" s="97">
        <v>1.0</v>
      </c>
      <c r="E20" s="97" t="s">
        <v>146</v>
      </c>
      <c r="F20" s="97" t="s">
        <v>148</v>
      </c>
      <c r="G20" s="97" t="s">
        <v>149</v>
      </c>
      <c r="H20" s="97" t="s">
        <v>151</v>
      </c>
      <c r="I20" s="96"/>
      <c r="J20" s="100" t="s">
        <v>328</v>
      </c>
      <c r="K20" s="101" t="s">
        <v>329</v>
      </c>
      <c r="L20" s="127" t="s">
        <v>64</v>
      </c>
      <c r="M20" s="86" t="s">
        <v>164</v>
      </c>
      <c r="N20" s="43" t="s">
        <v>55</v>
      </c>
      <c r="O20" s="124" t="s">
        <v>56</v>
      </c>
      <c r="P20" s="101" t="s">
        <v>1153</v>
      </c>
      <c r="Q20" s="107"/>
    </row>
    <row r="21" ht="30.0" customHeight="1">
      <c r="A21" s="73" t="s">
        <v>1155</v>
      </c>
      <c r="B21" s="75" t="s">
        <v>71</v>
      </c>
      <c r="C21" s="73" t="s">
        <v>327</v>
      </c>
      <c r="D21" s="77">
        <v>1.0</v>
      </c>
      <c r="E21" s="77" t="s">
        <v>146</v>
      </c>
      <c r="F21" s="77" t="s">
        <v>148</v>
      </c>
      <c r="G21" s="77" t="s">
        <v>149</v>
      </c>
      <c r="H21" s="77" t="s">
        <v>151</v>
      </c>
      <c r="I21" s="75"/>
      <c r="J21" s="81" t="s">
        <v>328</v>
      </c>
      <c r="K21" s="45" t="s">
        <v>329</v>
      </c>
      <c r="L21" s="127" t="s">
        <v>64</v>
      </c>
      <c r="M21" s="62" t="s">
        <v>92</v>
      </c>
      <c r="N21" s="43" t="s">
        <v>55</v>
      </c>
      <c r="O21" s="115" t="s">
        <v>163</v>
      </c>
      <c r="P21" s="45" t="s">
        <v>1157</v>
      </c>
      <c r="Q21" s="44"/>
    </row>
    <row r="22" ht="30.0" customHeight="1">
      <c r="A22" s="94" t="s">
        <v>1159</v>
      </c>
      <c r="B22" s="96" t="s">
        <v>71</v>
      </c>
      <c r="C22" s="94" t="s">
        <v>327</v>
      </c>
      <c r="D22" s="97">
        <v>1.0</v>
      </c>
      <c r="E22" s="97" t="s">
        <v>146</v>
      </c>
      <c r="F22" s="97" t="s">
        <v>148</v>
      </c>
      <c r="G22" s="97" t="s">
        <v>149</v>
      </c>
      <c r="H22" s="97" t="s">
        <v>151</v>
      </c>
      <c r="I22" s="96"/>
      <c r="J22" s="100" t="s">
        <v>328</v>
      </c>
      <c r="K22" s="101" t="s">
        <v>329</v>
      </c>
      <c r="L22" s="127" t="s">
        <v>64</v>
      </c>
      <c r="M22" s="49" t="s">
        <v>63</v>
      </c>
      <c r="N22" s="43" t="s">
        <v>55</v>
      </c>
      <c r="O22" s="124" t="s">
        <v>56</v>
      </c>
      <c r="P22" s="101" t="s">
        <v>1163</v>
      </c>
      <c r="Q22" s="107"/>
    </row>
    <row r="23" ht="39.75" customHeight="1">
      <c r="A23" s="73" t="s">
        <v>1015</v>
      </c>
      <c r="B23" s="75" t="s">
        <v>71</v>
      </c>
      <c r="C23" s="73" t="s">
        <v>331</v>
      </c>
      <c r="D23" s="77">
        <v>2.0</v>
      </c>
      <c r="E23" s="77" t="s">
        <v>146</v>
      </c>
      <c r="F23" s="77" t="s">
        <v>148</v>
      </c>
      <c r="G23" s="77" t="s">
        <v>149</v>
      </c>
      <c r="H23" s="77" t="s">
        <v>151</v>
      </c>
      <c r="I23" s="75"/>
      <c r="J23" s="81" t="s">
        <v>332</v>
      </c>
      <c r="K23" s="45" t="s">
        <v>333</v>
      </c>
      <c r="L23" s="149"/>
      <c r="M23" s="149"/>
      <c r="N23" s="157" t="s">
        <v>447</v>
      </c>
      <c r="O23" s="115" t="s">
        <v>198</v>
      </c>
      <c r="P23" s="151"/>
      <c r="Q23" s="44" t="s">
        <v>448</v>
      </c>
    </row>
    <row r="24" ht="39.75" customHeight="1">
      <c r="A24" s="94" t="s">
        <v>1023</v>
      </c>
      <c r="B24" s="96" t="s">
        <v>71</v>
      </c>
      <c r="C24" s="94" t="s">
        <v>331</v>
      </c>
      <c r="D24" s="97">
        <v>2.0</v>
      </c>
      <c r="E24" s="97" t="s">
        <v>146</v>
      </c>
      <c r="F24" s="97" t="s">
        <v>148</v>
      </c>
      <c r="G24" s="97" t="s">
        <v>149</v>
      </c>
      <c r="H24" s="97" t="s">
        <v>151</v>
      </c>
      <c r="I24" s="96"/>
      <c r="J24" s="100" t="s">
        <v>332</v>
      </c>
      <c r="K24" s="101" t="s">
        <v>333</v>
      </c>
      <c r="L24" s="149"/>
      <c r="M24" s="149"/>
      <c r="N24" s="157" t="s">
        <v>447</v>
      </c>
      <c r="O24" s="124" t="s">
        <v>198</v>
      </c>
      <c r="P24" s="159"/>
      <c r="Q24" s="107" t="s">
        <v>448</v>
      </c>
    </row>
    <row r="25" ht="31.5" customHeight="1">
      <c r="A25" s="73" t="s">
        <v>1028</v>
      </c>
      <c r="B25" s="75" t="s">
        <v>71</v>
      </c>
      <c r="C25" s="73" t="s">
        <v>331</v>
      </c>
      <c r="D25" s="77">
        <v>2.0</v>
      </c>
      <c r="E25" s="77" t="s">
        <v>146</v>
      </c>
      <c r="F25" s="77" t="s">
        <v>148</v>
      </c>
      <c r="G25" s="77" t="s">
        <v>149</v>
      </c>
      <c r="H25" s="77" t="s">
        <v>151</v>
      </c>
      <c r="I25" s="75"/>
      <c r="J25" s="81" t="s">
        <v>332</v>
      </c>
      <c r="K25" s="45" t="s">
        <v>333</v>
      </c>
      <c r="L25" s="88" t="s">
        <v>63</v>
      </c>
      <c r="M25" s="62" t="s">
        <v>92</v>
      </c>
      <c r="N25" s="43" t="s">
        <v>55</v>
      </c>
      <c r="O25" s="115" t="s">
        <v>163</v>
      </c>
      <c r="P25" s="45" t="s">
        <v>1030</v>
      </c>
      <c r="Q25" s="44"/>
    </row>
    <row r="26" ht="31.5" customHeight="1">
      <c r="A26" s="94" t="s">
        <v>1032</v>
      </c>
      <c r="B26" s="96" t="s">
        <v>71</v>
      </c>
      <c r="C26" s="94" t="s">
        <v>331</v>
      </c>
      <c r="D26" s="97">
        <v>2.0</v>
      </c>
      <c r="E26" s="97" t="s">
        <v>146</v>
      </c>
      <c r="F26" s="97" t="s">
        <v>148</v>
      </c>
      <c r="G26" s="97" t="s">
        <v>149</v>
      </c>
      <c r="H26" s="97" t="s">
        <v>151</v>
      </c>
      <c r="I26" s="96"/>
      <c r="J26" s="100" t="s">
        <v>332</v>
      </c>
      <c r="K26" s="101" t="s">
        <v>333</v>
      </c>
      <c r="L26" s="148" t="s">
        <v>199</v>
      </c>
      <c r="M26" s="149" t="s">
        <v>503</v>
      </c>
      <c r="N26" s="150" t="s">
        <v>35</v>
      </c>
      <c r="O26" s="124" t="s">
        <v>163</v>
      </c>
      <c r="P26" s="101" t="s">
        <v>1034</v>
      </c>
      <c r="Q26" s="107" t="s">
        <v>1035</v>
      </c>
    </row>
    <row r="27" ht="31.5" customHeight="1">
      <c r="A27" s="73" t="s">
        <v>1041</v>
      </c>
      <c r="B27" s="75" t="s">
        <v>71</v>
      </c>
      <c r="C27" s="73" t="s">
        <v>331</v>
      </c>
      <c r="D27" s="77">
        <v>2.0</v>
      </c>
      <c r="E27" s="77" t="s">
        <v>146</v>
      </c>
      <c r="F27" s="77" t="s">
        <v>148</v>
      </c>
      <c r="G27" s="77" t="s">
        <v>149</v>
      </c>
      <c r="H27" s="77" t="s">
        <v>151</v>
      </c>
      <c r="I27" s="75"/>
      <c r="J27" s="81" t="s">
        <v>332</v>
      </c>
      <c r="K27" s="45" t="s">
        <v>333</v>
      </c>
      <c r="L27" s="140" t="s">
        <v>52</v>
      </c>
      <c r="M27" s="62" t="s">
        <v>92</v>
      </c>
      <c r="N27" s="43" t="s">
        <v>55</v>
      </c>
      <c r="O27" s="115" t="s">
        <v>163</v>
      </c>
      <c r="P27" s="45" t="s">
        <v>1043</v>
      </c>
      <c r="Q27" s="44"/>
    </row>
    <row r="28" ht="31.5" customHeight="1">
      <c r="A28" s="94" t="s">
        <v>1046</v>
      </c>
      <c r="B28" s="96" t="s">
        <v>71</v>
      </c>
      <c r="C28" s="94" t="s">
        <v>331</v>
      </c>
      <c r="D28" s="97">
        <v>2.0</v>
      </c>
      <c r="E28" s="97" t="s">
        <v>146</v>
      </c>
      <c r="F28" s="97" t="s">
        <v>148</v>
      </c>
      <c r="G28" s="97" t="s">
        <v>149</v>
      </c>
      <c r="H28" s="97" t="s">
        <v>151</v>
      </c>
      <c r="I28" s="139" t="s">
        <v>1176</v>
      </c>
      <c r="J28" s="100" t="s">
        <v>332</v>
      </c>
      <c r="K28" s="101" t="s">
        <v>333</v>
      </c>
      <c r="L28" s="127" t="s">
        <v>64</v>
      </c>
      <c r="M28" s="49" t="s">
        <v>63</v>
      </c>
      <c r="N28" s="43" t="s">
        <v>55</v>
      </c>
      <c r="O28" s="124" t="s">
        <v>163</v>
      </c>
      <c r="P28" s="101" t="s">
        <v>1048</v>
      </c>
      <c r="Q28" s="107" t="s">
        <v>1049</v>
      </c>
    </row>
    <row r="29" ht="31.5" customHeight="1">
      <c r="A29" s="73" t="s">
        <v>1054</v>
      </c>
      <c r="B29" s="75" t="s">
        <v>71</v>
      </c>
      <c r="C29" s="73" t="s">
        <v>331</v>
      </c>
      <c r="D29" s="77">
        <v>2.0</v>
      </c>
      <c r="E29" s="77" t="s">
        <v>146</v>
      </c>
      <c r="F29" s="77" t="s">
        <v>148</v>
      </c>
      <c r="G29" s="77" t="s">
        <v>149</v>
      </c>
      <c r="H29" s="77" t="s">
        <v>151</v>
      </c>
      <c r="I29" s="75"/>
      <c r="J29" s="81" t="s">
        <v>332</v>
      </c>
      <c r="K29" s="45" t="s">
        <v>333</v>
      </c>
      <c r="L29" s="88" t="s">
        <v>63</v>
      </c>
      <c r="M29" s="149" t="s">
        <v>503</v>
      </c>
      <c r="N29" s="150" t="s">
        <v>35</v>
      </c>
      <c r="O29" s="115" t="s">
        <v>163</v>
      </c>
      <c r="P29" s="45" t="s">
        <v>1056</v>
      </c>
      <c r="Q29" s="44" t="s">
        <v>1057</v>
      </c>
    </row>
    <row r="30" ht="31.5" customHeight="1">
      <c r="A30" s="94" t="s">
        <v>1058</v>
      </c>
      <c r="B30" s="96" t="s">
        <v>71</v>
      </c>
      <c r="C30" s="94" t="s">
        <v>331</v>
      </c>
      <c r="D30" s="97">
        <v>2.0</v>
      </c>
      <c r="E30" s="97" t="s">
        <v>146</v>
      </c>
      <c r="F30" s="97" t="s">
        <v>148</v>
      </c>
      <c r="G30" s="97" t="s">
        <v>149</v>
      </c>
      <c r="H30" s="97" t="s">
        <v>151</v>
      </c>
      <c r="I30" s="96"/>
      <c r="J30" s="100" t="s">
        <v>332</v>
      </c>
      <c r="K30" s="101" t="s">
        <v>333</v>
      </c>
      <c r="L30" s="127" t="s">
        <v>64</v>
      </c>
      <c r="M30" s="138" t="s">
        <v>199</v>
      </c>
      <c r="N30" s="43" t="s">
        <v>55</v>
      </c>
      <c r="O30" s="124" t="s">
        <v>163</v>
      </c>
      <c r="P30" s="101" t="s">
        <v>1060</v>
      </c>
      <c r="Q30" s="107"/>
    </row>
    <row r="31" ht="39.75" customHeight="1">
      <c r="A31" s="73" t="s">
        <v>1064</v>
      </c>
      <c r="B31" s="75" t="s">
        <v>71</v>
      </c>
      <c r="C31" s="73" t="s">
        <v>331</v>
      </c>
      <c r="D31" s="77">
        <v>2.0</v>
      </c>
      <c r="E31" s="77" t="s">
        <v>146</v>
      </c>
      <c r="F31" s="77" t="s">
        <v>148</v>
      </c>
      <c r="G31" s="77" t="s">
        <v>149</v>
      </c>
      <c r="H31" s="77" t="s">
        <v>151</v>
      </c>
      <c r="I31" s="75"/>
      <c r="J31" s="81" t="s">
        <v>332</v>
      </c>
      <c r="K31" s="45" t="s">
        <v>333</v>
      </c>
      <c r="L31" s="149"/>
      <c r="M31" s="149"/>
      <c r="N31" s="157" t="s">
        <v>447</v>
      </c>
      <c r="O31" s="115" t="s">
        <v>198</v>
      </c>
      <c r="P31" s="151"/>
      <c r="Q31" s="44" t="s">
        <v>448</v>
      </c>
    </row>
    <row r="32" ht="31.5" customHeight="1">
      <c r="A32" s="94" t="s">
        <v>1069</v>
      </c>
      <c r="B32" s="96" t="s">
        <v>71</v>
      </c>
      <c r="C32" s="94" t="s">
        <v>331</v>
      </c>
      <c r="D32" s="97">
        <v>2.0</v>
      </c>
      <c r="E32" s="97" t="s">
        <v>146</v>
      </c>
      <c r="F32" s="97" t="s">
        <v>148</v>
      </c>
      <c r="G32" s="97" t="s">
        <v>149</v>
      </c>
      <c r="H32" s="97" t="s">
        <v>151</v>
      </c>
      <c r="I32" s="96"/>
      <c r="J32" s="100" t="s">
        <v>332</v>
      </c>
      <c r="K32" s="101" t="s">
        <v>333</v>
      </c>
      <c r="L32" s="88" t="s">
        <v>63</v>
      </c>
      <c r="M32" s="86" t="s">
        <v>164</v>
      </c>
      <c r="N32" s="43" t="s">
        <v>55</v>
      </c>
      <c r="O32" s="124" t="s">
        <v>163</v>
      </c>
      <c r="P32" s="101" t="s">
        <v>1071</v>
      </c>
      <c r="Q32" s="107"/>
    </row>
    <row r="33" ht="31.5" customHeight="1">
      <c r="A33" s="73" t="s">
        <v>1074</v>
      </c>
      <c r="B33" s="75" t="s">
        <v>71</v>
      </c>
      <c r="C33" s="73" t="s">
        <v>331</v>
      </c>
      <c r="D33" s="77">
        <v>2.0</v>
      </c>
      <c r="E33" s="77" t="s">
        <v>146</v>
      </c>
      <c r="F33" s="77" t="s">
        <v>148</v>
      </c>
      <c r="G33" s="77" t="s">
        <v>149</v>
      </c>
      <c r="H33" s="77" t="s">
        <v>151</v>
      </c>
      <c r="I33" s="75"/>
      <c r="J33" s="81" t="s">
        <v>332</v>
      </c>
      <c r="K33" s="45" t="s">
        <v>333</v>
      </c>
      <c r="L33" s="127" t="s">
        <v>64</v>
      </c>
      <c r="M33" s="62" t="s">
        <v>92</v>
      </c>
      <c r="N33" s="43" t="s">
        <v>55</v>
      </c>
      <c r="O33" s="115" t="s">
        <v>163</v>
      </c>
      <c r="P33" s="45" t="s">
        <v>1076</v>
      </c>
      <c r="Q33" s="44"/>
    </row>
    <row r="34" ht="39.75" customHeight="1">
      <c r="A34" s="94" t="s">
        <v>1101</v>
      </c>
      <c r="B34" s="96" t="s">
        <v>71</v>
      </c>
      <c r="C34" s="94" t="s">
        <v>331</v>
      </c>
      <c r="D34" s="97">
        <v>2.0</v>
      </c>
      <c r="E34" s="97" t="s">
        <v>146</v>
      </c>
      <c r="F34" s="97" t="s">
        <v>148</v>
      </c>
      <c r="G34" s="97" t="s">
        <v>149</v>
      </c>
      <c r="H34" s="97" t="s">
        <v>151</v>
      </c>
      <c r="I34" s="96"/>
      <c r="J34" s="100" t="s">
        <v>332</v>
      </c>
      <c r="K34" s="101" t="s">
        <v>333</v>
      </c>
      <c r="L34" s="149"/>
      <c r="M34" s="149"/>
      <c r="N34" s="157" t="s">
        <v>447</v>
      </c>
      <c r="O34" s="124" t="s">
        <v>198</v>
      </c>
      <c r="P34" s="159"/>
      <c r="Q34" s="107" t="s">
        <v>448</v>
      </c>
    </row>
    <row r="35" ht="31.5" customHeight="1">
      <c r="A35" s="73" t="s">
        <v>1103</v>
      </c>
      <c r="B35" s="75" t="s">
        <v>71</v>
      </c>
      <c r="C35" s="73" t="s">
        <v>331</v>
      </c>
      <c r="D35" s="77">
        <v>2.0</v>
      </c>
      <c r="E35" s="77" t="s">
        <v>146</v>
      </c>
      <c r="F35" s="77" t="s">
        <v>148</v>
      </c>
      <c r="G35" s="77" t="s">
        <v>149</v>
      </c>
      <c r="H35" s="77" t="s">
        <v>151</v>
      </c>
      <c r="I35" s="75"/>
      <c r="J35" s="81" t="s">
        <v>332</v>
      </c>
      <c r="K35" s="45" t="s">
        <v>333</v>
      </c>
      <c r="L35" s="88" t="s">
        <v>63</v>
      </c>
      <c r="M35" s="62" t="s">
        <v>92</v>
      </c>
      <c r="N35" s="43" t="s">
        <v>55</v>
      </c>
      <c r="O35" s="115" t="s">
        <v>163</v>
      </c>
      <c r="P35" s="45" t="s">
        <v>1105</v>
      </c>
      <c r="Q35" s="44"/>
    </row>
    <row r="36" ht="39.75" customHeight="1">
      <c r="A36" s="94" t="s">
        <v>1125</v>
      </c>
      <c r="B36" s="96" t="s">
        <v>71</v>
      </c>
      <c r="C36" s="94" t="s">
        <v>331</v>
      </c>
      <c r="D36" s="97">
        <v>2.0</v>
      </c>
      <c r="E36" s="97" t="s">
        <v>146</v>
      </c>
      <c r="F36" s="97" t="s">
        <v>148</v>
      </c>
      <c r="G36" s="97" t="s">
        <v>149</v>
      </c>
      <c r="H36" s="97" t="s">
        <v>151</v>
      </c>
      <c r="I36" s="96"/>
      <c r="J36" s="100" t="s">
        <v>332</v>
      </c>
      <c r="K36" s="101" t="s">
        <v>333</v>
      </c>
      <c r="L36" s="149"/>
      <c r="M36" s="149"/>
      <c r="N36" s="157" t="s">
        <v>447</v>
      </c>
      <c r="O36" s="124" t="s">
        <v>198</v>
      </c>
      <c r="P36" s="159"/>
      <c r="Q36" s="107" t="s">
        <v>448</v>
      </c>
    </row>
    <row r="37" ht="39.75" customHeight="1">
      <c r="A37" s="73" t="s">
        <v>1127</v>
      </c>
      <c r="B37" s="75" t="s">
        <v>71</v>
      </c>
      <c r="C37" s="73" t="s">
        <v>331</v>
      </c>
      <c r="D37" s="77">
        <v>2.0</v>
      </c>
      <c r="E37" s="77" t="s">
        <v>146</v>
      </c>
      <c r="F37" s="77" t="s">
        <v>148</v>
      </c>
      <c r="G37" s="77" t="s">
        <v>149</v>
      </c>
      <c r="H37" s="77" t="s">
        <v>151</v>
      </c>
      <c r="I37" s="75"/>
      <c r="J37" s="81" t="s">
        <v>332</v>
      </c>
      <c r="K37" s="45" t="s">
        <v>333</v>
      </c>
      <c r="L37" s="88" t="s">
        <v>63</v>
      </c>
      <c r="M37" s="86" t="s">
        <v>164</v>
      </c>
      <c r="N37" s="43" t="s">
        <v>55</v>
      </c>
      <c r="O37" s="115" t="s">
        <v>163</v>
      </c>
      <c r="P37" s="45" t="s">
        <v>1129</v>
      </c>
      <c r="Q37" s="44" t="s">
        <v>1131</v>
      </c>
    </row>
    <row r="38" ht="39.75" customHeight="1">
      <c r="A38" s="94" t="s">
        <v>1150</v>
      </c>
      <c r="B38" s="96" t="s">
        <v>71</v>
      </c>
      <c r="C38" s="94" t="s">
        <v>331</v>
      </c>
      <c r="D38" s="97">
        <v>2.0</v>
      </c>
      <c r="E38" s="97" t="s">
        <v>146</v>
      </c>
      <c r="F38" s="97" t="s">
        <v>148</v>
      </c>
      <c r="G38" s="97" t="s">
        <v>149</v>
      </c>
      <c r="H38" s="97" t="s">
        <v>151</v>
      </c>
      <c r="I38" s="96"/>
      <c r="J38" s="100" t="s">
        <v>332</v>
      </c>
      <c r="K38" s="101" t="s">
        <v>333</v>
      </c>
      <c r="L38" s="149"/>
      <c r="M38" s="149"/>
      <c r="N38" s="157" t="s">
        <v>447</v>
      </c>
      <c r="O38" s="124" t="s">
        <v>198</v>
      </c>
      <c r="P38" s="159"/>
      <c r="Q38" s="107" t="s">
        <v>448</v>
      </c>
    </row>
    <row r="39" ht="39.75" customHeight="1">
      <c r="A39" s="73" t="s">
        <v>1152</v>
      </c>
      <c r="B39" s="75" t="s">
        <v>71</v>
      </c>
      <c r="C39" s="73" t="s">
        <v>331</v>
      </c>
      <c r="D39" s="77">
        <v>2.0</v>
      </c>
      <c r="E39" s="77" t="s">
        <v>146</v>
      </c>
      <c r="F39" s="77" t="s">
        <v>148</v>
      </c>
      <c r="G39" s="77" t="s">
        <v>149</v>
      </c>
      <c r="H39" s="77" t="s">
        <v>151</v>
      </c>
      <c r="I39" s="75"/>
      <c r="J39" s="81" t="s">
        <v>332</v>
      </c>
      <c r="K39" s="45" t="s">
        <v>333</v>
      </c>
      <c r="L39" s="149"/>
      <c r="M39" s="149"/>
      <c r="N39" s="157" t="s">
        <v>447</v>
      </c>
      <c r="O39" s="115" t="s">
        <v>198</v>
      </c>
      <c r="P39" s="151"/>
      <c r="Q39" s="44" t="s">
        <v>448</v>
      </c>
    </row>
    <row r="40" ht="31.5" customHeight="1">
      <c r="A40" s="94" t="s">
        <v>1175</v>
      </c>
      <c r="B40" s="96" t="s">
        <v>71</v>
      </c>
      <c r="C40" s="94" t="s">
        <v>331</v>
      </c>
      <c r="D40" s="97">
        <v>2.0</v>
      </c>
      <c r="E40" s="97" t="s">
        <v>146</v>
      </c>
      <c r="F40" s="97" t="s">
        <v>148</v>
      </c>
      <c r="G40" s="97" t="s">
        <v>149</v>
      </c>
      <c r="H40" s="97" t="s">
        <v>151</v>
      </c>
      <c r="I40" s="96"/>
      <c r="J40" s="100" t="s">
        <v>332</v>
      </c>
      <c r="K40" s="101" t="s">
        <v>333</v>
      </c>
      <c r="L40" s="127" t="s">
        <v>64</v>
      </c>
      <c r="M40" s="152" t="s">
        <v>218</v>
      </c>
      <c r="N40" s="43" t="s">
        <v>55</v>
      </c>
      <c r="O40" s="124" t="s">
        <v>163</v>
      </c>
      <c r="P40" s="101" t="s">
        <v>1178</v>
      </c>
      <c r="Q40" s="107"/>
    </row>
    <row r="41" ht="31.5" customHeight="1">
      <c r="A41" s="73" t="s">
        <v>1194</v>
      </c>
      <c r="B41" s="75" t="s">
        <v>71</v>
      </c>
      <c r="C41" s="73" t="s">
        <v>331</v>
      </c>
      <c r="D41" s="77">
        <v>2.0</v>
      </c>
      <c r="E41" s="77" t="s">
        <v>146</v>
      </c>
      <c r="F41" s="77" t="s">
        <v>148</v>
      </c>
      <c r="G41" s="77" t="s">
        <v>149</v>
      </c>
      <c r="H41" s="77" t="s">
        <v>151</v>
      </c>
      <c r="I41" s="75"/>
      <c r="J41" s="81" t="s">
        <v>332</v>
      </c>
      <c r="K41" s="45" t="s">
        <v>333</v>
      </c>
      <c r="L41" s="127" t="s">
        <v>64</v>
      </c>
      <c r="M41" s="49" t="s">
        <v>63</v>
      </c>
      <c r="N41" s="43" t="s">
        <v>55</v>
      </c>
      <c r="O41" s="115" t="s">
        <v>163</v>
      </c>
      <c r="P41" s="45" t="s">
        <v>1197</v>
      </c>
      <c r="Q41" s="44"/>
    </row>
    <row r="42" ht="39.75" customHeight="1">
      <c r="A42" s="94" t="s">
        <v>1198</v>
      </c>
      <c r="B42" s="96" t="s">
        <v>71</v>
      </c>
      <c r="C42" s="94" t="s">
        <v>331</v>
      </c>
      <c r="D42" s="97">
        <v>2.0</v>
      </c>
      <c r="E42" s="97" t="s">
        <v>146</v>
      </c>
      <c r="F42" s="97" t="s">
        <v>148</v>
      </c>
      <c r="G42" s="97" t="s">
        <v>149</v>
      </c>
      <c r="H42" s="97" t="s">
        <v>151</v>
      </c>
      <c r="I42" s="96"/>
      <c r="J42" s="100" t="s">
        <v>332</v>
      </c>
      <c r="K42" s="101" t="s">
        <v>333</v>
      </c>
      <c r="L42" s="149"/>
      <c r="M42" s="149"/>
      <c r="N42" s="157" t="s">
        <v>447</v>
      </c>
      <c r="O42" s="124" t="s">
        <v>198</v>
      </c>
      <c r="P42" s="159"/>
      <c r="Q42" s="107" t="s">
        <v>448</v>
      </c>
    </row>
    <row r="43" ht="31.5" customHeight="1">
      <c r="A43" s="73" t="s">
        <v>1206</v>
      </c>
      <c r="B43" s="75" t="s">
        <v>71</v>
      </c>
      <c r="C43" s="73" t="s">
        <v>331</v>
      </c>
      <c r="D43" s="77">
        <v>2.0</v>
      </c>
      <c r="E43" s="77" t="s">
        <v>146</v>
      </c>
      <c r="F43" s="77" t="s">
        <v>148</v>
      </c>
      <c r="G43" s="77" t="s">
        <v>149</v>
      </c>
      <c r="H43" s="77" t="s">
        <v>151</v>
      </c>
      <c r="I43" s="142" t="s">
        <v>1268</v>
      </c>
      <c r="J43" s="81" t="s">
        <v>332</v>
      </c>
      <c r="K43" s="45" t="s">
        <v>333</v>
      </c>
      <c r="L43" s="88" t="s">
        <v>63</v>
      </c>
      <c r="M43" s="62" t="s">
        <v>92</v>
      </c>
      <c r="N43" s="43" t="s">
        <v>55</v>
      </c>
      <c r="O43" s="115" t="s">
        <v>163</v>
      </c>
      <c r="P43" s="45" t="s">
        <v>1209</v>
      </c>
      <c r="Q43" s="44"/>
    </row>
    <row r="44" ht="31.5" customHeight="1">
      <c r="A44" s="94" t="s">
        <v>1229</v>
      </c>
      <c r="B44" s="96" t="s">
        <v>71</v>
      </c>
      <c r="C44" s="94" t="s">
        <v>331</v>
      </c>
      <c r="D44" s="97">
        <v>2.0</v>
      </c>
      <c r="E44" s="97" t="s">
        <v>146</v>
      </c>
      <c r="F44" s="97" t="s">
        <v>148</v>
      </c>
      <c r="G44" s="97" t="s">
        <v>149</v>
      </c>
      <c r="H44" s="97" t="s">
        <v>151</v>
      </c>
      <c r="I44" s="96"/>
      <c r="J44" s="100" t="s">
        <v>332</v>
      </c>
      <c r="K44" s="101" t="s">
        <v>333</v>
      </c>
      <c r="L44" s="140" t="s">
        <v>52</v>
      </c>
      <c r="M44" s="62" t="s">
        <v>92</v>
      </c>
      <c r="N44" s="43" t="s">
        <v>55</v>
      </c>
      <c r="O44" s="124" t="s">
        <v>163</v>
      </c>
      <c r="P44" s="101" t="s">
        <v>1232</v>
      </c>
      <c r="Q44" s="107"/>
    </row>
    <row r="45" ht="39.75" customHeight="1">
      <c r="A45" s="73" t="s">
        <v>1004</v>
      </c>
      <c r="B45" s="75" t="s">
        <v>71</v>
      </c>
      <c r="C45" s="73" t="s">
        <v>334</v>
      </c>
      <c r="D45" s="77">
        <v>3.0</v>
      </c>
      <c r="E45" s="77" t="s">
        <v>1275</v>
      </c>
      <c r="F45" s="77" t="s">
        <v>148</v>
      </c>
      <c r="G45" s="77" t="s">
        <v>149</v>
      </c>
      <c r="H45" s="77" t="s">
        <v>151</v>
      </c>
      <c r="I45" s="75"/>
      <c r="J45" s="81" t="s">
        <v>1278</v>
      </c>
      <c r="K45" s="45" t="s">
        <v>1279</v>
      </c>
      <c r="L45" s="149"/>
      <c r="M45" s="149"/>
      <c r="N45" s="157" t="s">
        <v>447</v>
      </c>
      <c r="O45" s="115" t="s">
        <v>198</v>
      </c>
      <c r="P45" s="151"/>
      <c r="Q45" s="44" t="s">
        <v>448</v>
      </c>
    </row>
    <row r="46" ht="30.0" customHeight="1">
      <c r="A46" s="94" t="s">
        <v>1010</v>
      </c>
      <c r="B46" s="96" t="s">
        <v>71</v>
      </c>
      <c r="C46" s="94" t="s">
        <v>334</v>
      </c>
      <c r="D46" s="97">
        <v>3.0</v>
      </c>
      <c r="E46" s="97" t="s">
        <v>1275</v>
      </c>
      <c r="F46" s="97" t="s">
        <v>148</v>
      </c>
      <c r="G46" s="97" t="s">
        <v>149</v>
      </c>
      <c r="H46" s="97" t="s">
        <v>151</v>
      </c>
      <c r="I46" s="96"/>
      <c r="J46" s="100" t="s">
        <v>1278</v>
      </c>
      <c r="K46" s="101" t="s">
        <v>1279</v>
      </c>
      <c r="L46" s="140" t="s">
        <v>52</v>
      </c>
      <c r="M46" s="62" t="s">
        <v>92</v>
      </c>
      <c r="N46" s="43" t="s">
        <v>55</v>
      </c>
      <c r="O46" s="124" t="s">
        <v>163</v>
      </c>
      <c r="P46" s="101" t="s">
        <v>1012</v>
      </c>
      <c r="Q46" s="107"/>
    </row>
    <row r="47" ht="39.75" customHeight="1">
      <c r="A47" s="73" t="s">
        <v>1013</v>
      </c>
      <c r="B47" s="75" t="s">
        <v>71</v>
      </c>
      <c r="C47" s="73" t="s">
        <v>334</v>
      </c>
      <c r="D47" s="77">
        <v>3.0</v>
      </c>
      <c r="E47" s="77" t="s">
        <v>1275</v>
      </c>
      <c r="F47" s="77" t="s">
        <v>148</v>
      </c>
      <c r="G47" s="77" t="s">
        <v>149</v>
      </c>
      <c r="H47" s="77" t="s">
        <v>151</v>
      </c>
      <c r="I47" s="75"/>
      <c r="J47" s="81" t="s">
        <v>1278</v>
      </c>
      <c r="K47" s="45" t="s">
        <v>1279</v>
      </c>
      <c r="L47" s="149"/>
      <c r="M47" s="149"/>
      <c r="N47" s="157" t="s">
        <v>447</v>
      </c>
      <c r="O47" s="115" t="s">
        <v>198</v>
      </c>
      <c r="P47" s="151"/>
      <c r="Q47" s="44" t="s">
        <v>448</v>
      </c>
    </row>
    <row r="48" ht="39.75" customHeight="1">
      <c r="A48" s="94" t="s">
        <v>1018</v>
      </c>
      <c r="B48" s="96" t="s">
        <v>71</v>
      </c>
      <c r="C48" s="94" t="s">
        <v>334</v>
      </c>
      <c r="D48" s="97">
        <v>3.0</v>
      </c>
      <c r="E48" s="97" t="s">
        <v>1275</v>
      </c>
      <c r="F48" s="97" t="s">
        <v>148</v>
      </c>
      <c r="G48" s="97" t="s">
        <v>149</v>
      </c>
      <c r="H48" s="97" t="s">
        <v>151</v>
      </c>
      <c r="I48" s="96"/>
      <c r="J48" s="100" t="s">
        <v>1278</v>
      </c>
      <c r="K48" s="101" t="s">
        <v>1279</v>
      </c>
      <c r="L48" s="149"/>
      <c r="M48" s="149"/>
      <c r="N48" s="157" t="s">
        <v>447</v>
      </c>
      <c r="O48" s="124" t="s">
        <v>198</v>
      </c>
      <c r="P48" s="159"/>
      <c r="Q48" s="107" t="s">
        <v>448</v>
      </c>
    </row>
    <row r="49" ht="30.0" customHeight="1">
      <c r="A49" s="73" t="s">
        <v>1020</v>
      </c>
      <c r="B49" s="75" t="s">
        <v>71</v>
      </c>
      <c r="C49" s="73" t="s">
        <v>334</v>
      </c>
      <c r="D49" s="77">
        <v>3.0</v>
      </c>
      <c r="E49" s="77" t="s">
        <v>1275</v>
      </c>
      <c r="F49" s="77" t="s">
        <v>148</v>
      </c>
      <c r="G49" s="77" t="s">
        <v>149</v>
      </c>
      <c r="H49" s="77" t="s">
        <v>151</v>
      </c>
      <c r="I49" s="75"/>
      <c r="J49" s="81" t="s">
        <v>1278</v>
      </c>
      <c r="K49" s="45" t="s">
        <v>1279</v>
      </c>
      <c r="L49" s="140" t="s">
        <v>52</v>
      </c>
      <c r="M49" s="86" t="s">
        <v>164</v>
      </c>
      <c r="N49" s="43" t="s">
        <v>55</v>
      </c>
      <c r="O49" s="115" t="s">
        <v>163</v>
      </c>
      <c r="P49" s="45" t="s">
        <v>1022</v>
      </c>
      <c r="Q49" s="44"/>
    </row>
    <row r="50" ht="39.75" customHeight="1">
      <c r="A50" s="94" t="s">
        <v>1051</v>
      </c>
      <c r="B50" s="96" t="s">
        <v>71</v>
      </c>
      <c r="C50" s="94" t="s">
        <v>334</v>
      </c>
      <c r="D50" s="97">
        <v>3.0</v>
      </c>
      <c r="E50" s="97" t="s">
        <v>1275</v>
      </c>
      <c r="F50" s="97" t="s">
        <v>148</v>
      </c>
      <c r="G50" s="97" t="s">
        <v>149</v>
      </c>
      <c r="H50" s="97" t="s">
        <v>151</v>
      </c>
      <c r="I50" s="96"/>
      <c r="J50" s="100" t="s">
        <v>1278</v>
      </c>
      <c r="K50" s="101" t="s">
        <v>1279</v>
      </c>
      <c r="L50" s="149"/>
      <c r="M50" s="149"/>
      <c r="N50" s="157" t="s">
        <v>447</v>
      </c>
      <c r="O50" s="124" t="s">
        <v>198</v>
      </c>
      <c r="P50" s="159"/>
      <c r="Q50" s="107" t="s">
        <v>448</v>
      </c>
    </row>
    <row r="51" ht="39.75" customHeight="1">
      <c r="A51" s="73" t="s">
        <v>1065</v>
      </c>
      <c r="B51" s="75" t="s">
        <v>71</v>
      </c>
      <c r="C51" s="73" t="s">
        <v>334</v>
      </c>
      <c r="D51" s="77">
        <v>3.0</v>
      </c>
      <c r="E51" s="77" t="s">
        <v>1275</v>
      </c>
      <c r="F51" s="77" t="s">
        <v>148</v>
      </c>
      <c r="G51" s="77" t="s">
        <v>149</v>
      </c>
      <c r="H51" s="77" t="s">
        <v>151</v>
      </c>
      <c r="I51" s="75"/>
      <c r="J51" s="81" t="s">
        <v>1278</v>
      </c>
      <c r="K51" s="45" t="s">
        <v>1279</v>
      </c>
      <c r="L51" s="149"/>
      <c r="M51" s="149"/>
      <c r="N51" s="157" t="s">
        <v>447</v>
      </c>
      <c r="O51" s="115" t="s">
        <v>198</v>
      </c>
      <c r="P51" s="151"/>
      <c r="Q51" s="44" t="s">
        <v>448</v>
      </c>
    </row>
    <row r="52" ht="39.75" customHeight="1">
      <c r="A52" s="94" t="s">
        <v>1068</v>
      </c>
      <c r="B52" s="96" t="s">
        <v>71</v>
      </c>
      <c r="C52" s="94" t="s">
        <v>334</v>
      </c>
      <c r="D52" s="97">
        <v>3.0</v>
      </c>
      <c r="E52" s="97" t="s">
        <v>1275</v>
      </c>
      <c r="F52" s="97" t="s">
        <v>148</v>
      </c>
      <c r="G52" s="97" t="s">
        <v>149</v>
      </c>
      <c r="H52" s="97" t="s">
        <v>151</v>
      </c>
      <c r="I52" s="96"/>
      <c r="J52" s="100" t="s">
        <v>1278</v>
      </c>
      <c r="K52" s="101" t="s">
        <v>1279</v>
      </c>
      <c r="L52" s="149"/>
      <c r="M52" s="149"/>
      <c r="N52" s="157" t="s">
        <v>447</v>
      </c>
      <c r="O52" s="124" t="s">
        <v>198</v>
      </c>
      <c r="P52" s="159"/>
      <c r="Q52" s="107" t="s">
        <v>448</v>
      </c>
    </row>
    <row r="53" ht="39.75" customHeight="1">
      <c r="A53" s="73" t="s">
        <v>1081</v>
      </c>
      <c r="B53" s="75" t="s">
        <v>71</v>
      </c>
      <c r="C53" s="73" t="s">
        <v>334</v>
      </c>
      <c r="D53" s="77">
        <v>3.0</v>
      </c>
      <c r="E53" s="77" t="s">
        <v>1275</v>
      </c>
      <c r="F53" s="77" t="s">
        <v>148</v>
      </c>
      <c r="G53" s="77" t="s">
        <v>149</v>
      </c>
      <c r="H53" s="77" t="s">
        <v>151</v>
      </c>
      <c r="I53" s="75"/>
      <c r="J53" s="81" t="s">
        <v>1278</v>
      </c>
      <c r="K53" s="45" t="s">
        <v>1279</v>
      </c>
      <c r="L53" s="149"/>
      <c r="M53" s="149"/>
      <c r="N53" s="157" t="s">
        <v>447</v>
      </c>
      <c r="O53" s="115" t="s">
        <v>198</v>
      </c>
      <c r="P53" s="151"/>
      <c r="Q53" s="44" t="s">
        <v>448</v>
      </c>
    </row>
    <row r="54" ht="39.75" customHeight="1">
      <c r="A54" s="94" t="s">
        <v>1102</v>
      </c>
      <c r="B54" s="96" t="s">
        <v>71</v>
      </c>
      <c r="C54" s="94" t="s">
        <v>334</v>
      </c>
      <c r="D54" s="97">
        <v>3.0</v>
      </c>
      <c r="E54" s="97" t="s">
        <v>1275</v>
      </c>
      <c r="F54" s="97" t="s">
        <v>148</v>
      </c>
      <c r="G54" s="97" t="s">
        <v>149</v>
      </c>
      <c r="H54" s="154" t="s">
        <v>466</v>
      </c>
      <c r="I54" s="96"/>
      <c r="J54" s="100" t="s">
        <v>1278</v>
      </c>
      <c r="K54" s="101" t="s">
        <v>1279</v>
      </c>
      <c r="L54" s="149"/>
      <c r="M54" s="149"/>
      <c r="N54" s="157" t="s">
        <v>447</v>
      </c>
      <c r="O54" s="124" t="s">
        <v>198</v>
      </c>
      <c r="P54" s="159"/>
      <c r="Q54" s="107" t="s">
        <v>448</v>
      </c>
    </row>
    <row r="55" ht="30.0" customHeight="1">
      <c r="A55" s="73" t="s">
        <v>1143</v>
      </c>
      <c r="B55" s="75" t="s">
        <v>71</v>
      </c>
      <c r="C55" s="73" t="s">
        <v>334</v>
      </c>
      <c r="D55" s="77">
        <v>3.0</v>
      </c>
      <c r="E55" s="77" t="s">
        <v>1275</v>
      </c>
      <c r="F55" s="77" t="s">
        <v>148</v>
      </c>
      <c r="G55" s="77" t="s">
        <v>149</v>
      </c>
      <c r="H55" s="77" t="s">
        <v>151</v>
      </c>
      <c r="I55" s="75"/>
      <c r="J55" s="81" t="s">
        <v>1278</v>
      </c>
      <c r="K55" s="45" t="s">
        <v>1279</v>
      </c>
      <c r="L55" s="127" t="s">
        <v>64</v>
      </c>
      <c r="M55" s="62" t="s">
        <v>92</v>
      </c>
      <c r="N55" s="43" t="s">
        <v>55</v>
      </c>
      <c r="O55" s="115" t="s">
        <v>163</v>
      </c>
      <c r="P55" s="45" t="s">
        <v>1146</v>
      </c>
      <c r="Q55" s="44"/>
    </row>
    <row r="56" ht="39.75" customHeight="1">
      <c r="A56" s="94" t="s">
        <v>1248</v>
      </c>
      <c r="B56" s="96" t="s">
        <v>71</v>
      </c>
      <c r="C56" s="94" t="s">
        <v>334</v>
      </c>
      <c r="D56" s="97">
        <v>3.0</v>
      </c>
      <c r="E56" s="97" t="s">
        <v>1275</v>
      </c>
      <c r="F56" s="97" t="s">
        <v>148</v>
      </c>
      <c r="G56" s="97" t="s">
        <v>149</v>
      </c>
      <c r="H56" s="97" t="s">
        <v>151</v>
      </c>
      <c r="I56" s="96"/>
      <c r="J56" s="100" t="s">
        <v>1278</v>
      </c>
      <c r="K56" s="101" t="s">
        <v>1279</v>
      </c>
      <c r="L56" s="149"/>
      <c r="M56" s="149"/>
      <c r="N56" s="157" t="s">
        <v>447</v>
      </c>
      <c r="O56" s="124" t="s">
        <v>198</v>
      </c>
      <c r="P56" s="159"/>
      <c r="Q56" s="107" t="s">
        <v>448</v>
      </c>
    </row>
    <row r="57" ht="30.0" customHeight="1">
      <c r="A57" s="73" t="s">
        <v>1001</v>
      </c>
      <c r="B57" s="75" t="s">
        <v>71</v>
      </c>
      <c r="C57" s="73" t="s">
        <v>334</v>
      </c>
      <c r="D57" s="77">
        <v>3.0</v>
      </c>
      <c r="E57" s="77" t="s">
        <v>1307</v>
      </c>
      <c r="F57" s="77" t="s">
        <v>148</v>
      </c>
      <c r="G57" s="77" t="s">
        <v>149</v>
      </c>
      <c r="H57" s="77" t="s">
        <v>151</v>
      </c>
      <c r="I57" s="75"/>
      <c r="J57" s="81" t="s">
        <v>1278</v>
      </c>
      <c r="K57" s="45" t="s">
        <v>1279</v>
      </c>
      <c r="L57" s="127" t="s">
        <v>64</v>
      </c>
      <c r="M57" s="86" t="s">
        <v>164</v>
      </c>
      <c r="N57" s="43" t="s">
        <v>55</v>
      </c>
      <c r="O57" s="115" t="s">
        <v>163</v>
      </c>
      <c r="P57" s="45" t="s">
        <v>1003</v>
      </c>
      <c r="Q57" s="44"/>
    </row>
    <row r="58" ht="39.75" customHeight="1">
      <c r="A58" s="94" t="s">
        <v>1019</v>
      </c>
      <c r="B58" s="96" t="s">
        <v>71</v>
      </c>
      <c r="C58" s="94" t="s">
        <v>334</v>
      </c>
      <c r="D58" s="97">
        <v>3.0</v>
      </c>
      <c r="E58" s="97" t="s">
        <v>1307</v>
      </c>
      <c r="F58" s="97" t="s">
        <v>148</v>
      </c>
      <c r="G58" s="97" t="s">
        <v>149</v>
      </c>
      <c r="H58" s="97" t="s">
        <v>151</v>
      </c>
      <c r="I58" s="96"/>
      <c r="J58" s="100" t="s">
        <v>1278</v>
      </c>
      <c r="K58" s="101" t="s">
        <v>1279</v>
      </c>
      <c r="L58" s="149"/>
      <c r="M58" s="149"/>
      <c r="N58" s="157" t="s">
        <v>447</v>
      </c>
      <c r="O58" s="124" t="s">
        <v>198</v>
      </c>
      <c r="P58" s="159"/>
      <c r="Q58" s="107" t="s">
        <v>448</v>
      </c>
    </row>
    <row r="59" ht="39.75" customHeight="1">
      <c r="A59" s="73" t="s">
        <v>1036</v>
      </c>
      <c r="B59" s="75" t="s">
        <v>71</v>
      </c>
      <c r="C59" s="73" t="s">
        <v>334</v>
      </c>
      <c r="D59" s="77">
        <v>3.0</v>
      </c>
      <c r="E59" s="77" t="s">
        <v>1307</v>
      </c>
      <c r="F59" s="77" t="s">
        <v>148</v>
      </c>
      <c r="G59" s="77" t="s">
        <v>149</v>
      </c>
      <c r="H59" s="77" t="s">
        <v>151</v>
      </c>
      <c r="I59" s="75"/>
      <c r="J59" s="81" t="s">
        <v>1278</v>
      </c>
      <c r="K59" s="45" t="s">
        <v>1279</v>
      </c>
      <c r="L59" s="149"/>
      <c r="M59" s="149"/>
      <c r="N59" s="157" t="s">
        <v>447</v>
      </c>
      <c r="O59" s="115" t="s">
        <v>198</v>
      </c>
      <c r="P59" s="151"/>
      <c r="Q59" s="44" t="s">
        <v>448</v>
      </c>
    </row>
    <row r="60" ht="30.0" customHeight="1">
      <c r="A60" s="94" t="s">
        <v>1077</v>
      </c>
      <c r="B60" s="96" t="s">
        <v>71</v>
      </c>
      <c r="C60" s="94" t="s">
        <v>334</v>
      </c>
      <c r="D60" s="97">
        <v>3.0</v>
      </c>
      <c r="E60" s="97" t="s">
        <v>1307</v>
      </c>
      <c r="F60" s="97" t="s">
        <v>148</v>
      </c>
      <c r="G60" s="97" t="s">
        <v>149</v>
      </c>
      <c r="H60" s="97" t="s">
        <v>151</v>
      </c>
      <c r="I60" s="96"/>
      <c r="J60" s="100" t="s">
        <v>1278</v>
      </c>
      <c r="K60" s="101" t="s">
        <v>1279</v>
      </c>
      <c r="L60" s="88" t="s">
        <v>63</v>
      </c>
      <c r="M60" s="86" t="s">
        <v>164</v>
      </c>
      <c r="N60" s="43" t="s">
        <v>55</v>
      </c>
      <c r="O60" s="124" t="s">
        <v>163</v>
      </c>
      <c r="P60" s="101" t="s">
        <v>1079</v>
      </c>
      <c r="Q60" s="107"/>
    </row>
    <row r="61" ht="39.75" customHeight="1">
      <c r="A61" s="73" t="s">
        <v>1082</v>
      </c>
      <c r="B61" s="75" t="s">
        <v>71</v>
      </c>
      <c r="C61" s="73" t="s">
        <v>334</v>
      </c>
      <c r="D61" s="77">
        <v>3.0</v>
      </c>
      <c r="E61" s="77" t="s">
        <v>1307</v>
      </c>
      <c r="F61" s="77" t="s">
        <v>148</v>
      </c>
      <c r="G61" s="77" t="s">
        <v>149</v>
      </c>
      <c r="H61" s="77" t="s">
        <v>151</v>
      </c>
      <c r="I61" s="75"/>
      <c r="J61" s="81" t="s">
        <v>1278</v>
      </c>
      <c r="K61" s="45" t="s">
        <v>1279</v>
      </c>
      <c r="L61" s="149"/>
      <c r="M61" s="149"/>
      <c r="N61" s="157" t="s">
        <v>447</v>
      </c>
      <c r="O61" s="115" t="s">
        <v>198</v>
      </c>
      <c r="P61" s="151"/>
      <c r="Q61" s="44" t="s">
        <v>448</v>
      </c>
    </row>
    <row r="62" ht="39.75" customHeight="1">
      <c r="A62" s="94" t="s">
        <v>1133</v>
      </c>
      <c r="B62" s="96" t="s">
        <v>71</v>
      </c>
      <c r="C62" s="94" t="s">
        <v>334</v>
      </c>
      <c r="D62" s="97">
        <v>3.0</v>
      </c>
      <c r="E62" s="97" t="s">
        <v>1307</v>
      </c>
      <c r="F62" s="97" t="s">
        <v>148</v>
      </c>
      <c r="G62" s="97" t="s">
        <v>149</v>
      </c>
      <c r="H62" s="97" t="s">
        <v>151</v>
      </c>
      <c r="I62" s="96"/>
      <c r="J62" s="100" t="s">
        <v>1278</v>
      </c>
      <c r="K62" s="101" t="s">
        <v>1279</v>
      </c>
      <c r="L62" s="149"/>
      <c r="M62" s="149"/>
      <c r="N62" s="157" t="s">
        <v>447</v>
      </c>
      <c r="O62" s="124" t="s">
        <v>198</v>
      </c>
      <c r="P62" s="159"/>
      <c r="Q62" s="107" t="s">
        <v>448</v>
      </c>
    </row>
    <row r="63" ht="39.75" customHeight="1">
      <c r="A63" s="73" t="s">
        <v>1142</v>
      </c>
      <c r="B63" s="75" t="s">
        <v>71</v>
      </c>
      <c r="C63" s="73" t="s">
        <v>334</v>
      </c>
      <c r="D63" s="77">
        <v>3.0</v>
      </c>
      <c r="E63" s="77" t="s">
        <v>1307</v>
      </c>
      <c r="F63" s="77" t="s">
        <v>148</v>
      </c>
      <c r="G63" s="77" t="s">
        <v>149</v>
      </c>
      <c r="H63" s="77" t="s">
        <v>151</v>
      </c>
      <c r="I63" s="75"/>
      <c r="J63" s="81" t="s">
        <v>1278</v>
      </c>
      <c r="K63" s="45" t="s">
        <v>1279</v>
      </c>
      <c r="L63" s="149"/>
      <c r="M63" s="149"/>
      <c r="N63" s="157" t="s">
        <v>447</v>
      </c>
      <c r="O63" s="115" t="s">
        <v>198</v>
      </c>
      <c r="P63" s="151"/>
      <c r="Q63" s="44" t="s">
        <v>448</v>
      </c>
    </row>
    <row r="64" ht="39.75" customHeight="1">
      <c r="A64" s="94" t="s">
        <v>1162</v>
      </c>
      <c r="B64" s="96" t="s">
        <v>71</v>
      </c>
      <c r="C64" s="94" t="s">
        <v>334</v>
      </c>
      <c r="D64" s="97">
        <v>3.0</v>
      </c>
      <c r="E64" s="97" t="s">
        <v>1307</v>
      </c>
      <c r="F64" s="97" t="s">
        <v>148</v>
      </c>
      <c r="G64" s="97" t="s">
        <v>149</v>
      </c>
      <c r="H64" s="97" t="s">
        <v>151</v>
      </c>
      <c r="I64" s="96"/>
      <c r="J64" s="100" t="s">
        <v>1278</v>
      </c>
      <c r="K64" s="101" t="s">
        <v>1279</v>
      </c>
      <c r="L64" s="149"/>
      <c r="M64" s="149"/>
      <c r="N64" s="157" t="s">
        <v>447</v>
      </c>
      <c r="O64" s="124" t="s">
        <v>198</v>
      </c>
      <c r="P64" s="159"/>
      <c r="Q64" s="107" t="s">
        <v>448</v>
      </c>
    </row>
    <row r="65" ht="39.75" customHeight="1">
      <c r="A65" s="73" t="s">
        <v>1165</v>
      </c>
      <c r="B65" s="75" t="s">
        <v>71</v>
      </c>
      <c r="C65" s="73" t="s">
        <v>334</v>
      </c>
      <c r="D65" s="77">
        <v>3.0</v>
      </c>
      <c r="E65" s="77" t="s">
        <v>1307</v>
      </c>
      <c r="F65" s="77" t="s">
        <v>148</v>
      </c>
      <c r="G65" s="77" t="s">
        <v>149</v>
      </c>
      <c r="H65" s="77" t="s">
        <v>151</v>
      </c>
      <c r="I65" s="75"/>
      <c r="J65" s="81" t="s">
        <v>1278</v>
      </c>
      <c r="K65" s="45" t="s">
        <v>1279</v>
      </c>
      <c r="L65" s="149"/>
      <c r="M65" s="149"/>
      <c r="N65" s="157" t="s">
        <v>447</v>
      </c>
      <c r="O65" s="115" t="s">
        <v>198</v>
      </c>
      <c r="P65" s="151"/>
      <c r="Q65" s="44" t="s">
        <v>448</v>
      </c>
    </row>
    <row r="66" ht="30.0" customHeight="1">
      <c r="A66" s="94" t="s">
        <v>1202</v>
      </c>
      <c r="B66" s="96" t="s">
        <v>71</v>
      </c>
      <c r="C66" s="94" t="s">
        <v>334</v>
      </c>
      <c r="D66" s="97">
        <v>3.0</v>
      </c>
      <c r="E66" s="97" t="s">
        <v>1307</v>
      </c>
      <c r="F66" s="97" t="s">
        <v>148</v>
      </c>
      <c r="G66" s="97" t="s">
        <v>149</v>
      </c>
      <c r="H66" s="154" t="s">
        <v>466</v>
      </c>
      <c r="I66" s="96"/>
      <c r="J66" s="100" t="s">
        <v>1278</v>
      </c>
      <c r="K66" s="101" t="s">
        <v>1279</v>
      </c>
      <c r="L66" s="88" t="s">
        <v>63</v>
      </c>
      <c r="M66" s="50" t="s">
        <v>64</v>
      </c>
      <c r="N66" s="43" t="s">
        <v>55</v>
      </c>
      <c r="O66" s="105" t="s">
        <v>187</v>
      </c>
      <c r="P66" s="101" t="s">
        <v>1149</v>
      </c>
      <c r="Q66" s="107" t="s">
        <v>1204</v>
      </c>
    </row>
    <row r="67" ht="39.75" customHeight="1">
      <c r="A67" s="73" t="s">
        <v>1212</v>
      </c>
      <c r="B67" s="75" t="s">
        <v>71</v>
      </c>
      <c r="C67" s="73" t="s">
        <v>334</v>
      </c>
      <c r="D67" s="77">
        <v>3.0</v>
      </c>
      <c r="E67" s="77" t="s">
        <v>1307</v>
      </c>
      <c r="F67" s="77" t="s">
        <v>148</v>
      </c>
      <c r="G67" s="77" t="s">
        <v>149</v>
      </c>
      <c r="H67" s="77" t="s">
        <v>151</v>
      </c>
      <c r="I67" s="75"/>
      <c r="J67" s="81" t="s">
        <v>1278</v>
      </c>
      <c r="K67" s="45" t="s">
        <v>1279</v>
      </c>
      <c r="L67" s="149"/>
      <c r="M67" s="149"/>
      <c r="N67" s="157" t="s">
        <v>447</v>
      </c>
      <c r="O67" s="115" t="s">
        <v>198</v>
      </c>
      <c r="P67" s="151"/>
      <c r="Q67" s="44" t="s">
        <v>448</v>
      </c>
    </row>
    <row r="68" ht="39.75" customHeight="1">
      <c r="A68" s="94" t="s">
        <v>1217</v>
      </c>
      <c r="B68" s="96" t="s">
        <v>71</v>
      </c>
      <c r="C68" s="94" t="s">
        <v>334</v>
      </c>
      <c r="D68" s="97">
        <v>3.0</v>
      </c>
      <c r="E68" s="97" t="s">
        <v>1307</v>
      </c>
      <c r="F68" s="97" t="s">
        <v>148</v>
      </c>
      <c r="G68" s="97" t="s">
        <v>149</v>
      </c>
      <c r="H68" s="97" t="s">
        <v>151</v>
      </c>
      <c r="I68" s="96"/>
      <c r="J68" s="100" t="s">
        <v>1278</v>
      </c>
      <c r="K68" s="101" t="s">
        <v>1279</v>
      </c>
      <c r="L68" s="149"/>
      <c r="M68" s="149"/>
      <c r="N68" s="157" t="s">
        <v>447</v>
      </c>
      <c r="O68" s="124" t="s">
        <v>198</v>
      </c>
      <c r="P68" s="159"/>
      <c r="Q68" s="107" t="s">
        <v>448</v>
      </c>
    </row>
    <row r="69" ht="39.75" customHeight="1">
      <c r="A69" s="73" t="s">
        <v>1045</v>
      </c>
      <c r="B69" s="75" t="s">
        <v>71</v>
      </c>
      <c r="C69" s="73" t="s">
        <v>334</v>
      </c>
      <c r="D69" s="77">
        <v>3.0</v>
      </c>
      <c r="E69" s="77" t="s">
        <v>1348</v>
      </c>
      <c r="F69" s="77" t="s">
        <v>148</v>
      </c>
      <c r="G69" s="77" t="s">
        <v>149</v>
      </c>
      <c r="H69" s="77" t="s">
        <v>151</v>
      </c>
      <c r="I69" s="75"/>
      <c r="J69" s="81" t="s">
        <v>1278</v>
      </c>
      <c r="K69" s="45" t="s">
        <v>1279</v>
      </c>
      <c r="L69" s="149"/>
      <c r="M69" s="149"/>
      <c r="N69" s="157" t="s">
        <v>447</v>
      </c>
      <c r="O69" s="115" t="s">
        <v>198</v>
      </c>
      <c r="P69" s="151"/>
      <c r="Q69" s="44" t="s">
        <v>448</v>
      </c>
    </row>
    <row r="70" ht="39.75" customHeight="1">
      <c r="A70" s="94" t="s">
        <v>1052</v>
      </c>
      <c r="B70" s="96" t="s">
        <v>71</v>
      </c>
      <c r="C70" s="94" t="s">
        <v>334</v>
      </c>
      <c r="D70" s="97">
        <v>3.0</v>
      </c>
      <c r="E70" s="97" t="s">
        <v>1348</v>
      </c>
      <c r="F70" s="97" t="s">
        <v>148</v>
      </c>
      <c r="G70" s="97" t="s">
        <v>149</v>
      </c>
      <c r="H70" s="97" t="s">
        <v>151</v>
      </c>
      <c r="I70" s="96"/>
      <c r="J70" s="100" t="s">
        <v>1278</v>
      </c>
      <c r="K70" s="101" t="s">
        <v>1279</v>
      </c>
      <c r="L70" s="149"/>
      <c r="M70" s="149"/>
      <c r="N70" s="157" t="s">
        <v>447</v>
      </c>
      <c r="O70" s="124" t="s">
        <v>198</v>
      </c>
      <c r="P70" s="159"/>
      <c r="Q70" s="107" t="s">
        <v>448</v>
      </c>
    </row>
    <row r="71" ht="39.75" customHeight="1">
      <c r="A71" s="73" t="s">
        <v>1053</v>
      </c>
      <c r="B71" s="75" t="s">
        <v>71</v>
      </c>
      <c r="C71" s="73" t="s">
        <v>334</v>
      </c>
      <c r="D71" s="77">
        <v>3.0</v>
      </c>
      <c r="E71" s="77" t="s">
        <v>1348</v>
      </c>
      <c r="F71" s="77" t="s">
        <v>148</v>
      </c>
      <c r="G71" s="77" t="s">
        <v>149</v>
      </c>
      <c r="H71" s="77" t="s">
        <v>151</v>
      </c>
      <c r="I71" s="75"/>
      <c r="J71" s="81" t="s">
        <v>1278</v>
      </c>
      <c r="K71" s="45" t="s">
        <v>1279</v>
      </c>
      <c r="L71" s="149"/>
      <c r="M71" s="149"/>
      <c r="N71" s="157" t="s">
        <v>447</v>
      </c>
      <c r="O71" s="115" t="s">
        <v>198</v>
      </c>
      <c r="P71" s="151"/>
      <c r="Q71" s="44" t="s">
        <v>448</v>
      </c>
    </row>
    <row r="72" ht="39.75" customHeight="1">
      <c r="A72" s="94" t="s">
        <v>1072</v>
      </c>
      <c r="B72" s="96" t="s">
        <v>71</v>
      </c>
      <c r="C72" s="94" t="s">
        <v>334</v>
      </c>
      <c r="D72" s="97">
        <v>3.0</v>
      </c>
      <c r="E72" s="97" t="s">
        <v>1348</v>
      </c>
      <c r="F72" s="97" t="s">
        <v>148</v>
      </c>
      <c r="G72" s="97" t="s">
        <v>149</v>
      </c>
      <c r="H72" s="97" t="s">
        <v>151</v>
      </c>
      <c r="I72" s="96"/>
      <c r="J72" s="100" t="s">
        <v>1278</v>
      </c>
      <c r="K72" s="101" t="s">
        <v>1279</v>
      </c>
      <c r="L72" s="149"/>
      <c r="M72" s="149"/>
      <c r="N72" s="157" t="s">
        <v>447</v>
      </c>
      <c r="O72" s="124" t="s">
        <v>198</v>
      </c>
      <c r="P72" s="159"/>
      <c r="Q72" s="107" t="s">
        <v>448</v>
      </c>
    </row>
    <row r="73" ht="39.75" customHeight="1">
      <c r="A73" s="73" t="s">
        <v>1083</v>
      </c>
      <c r="B73" s="75" t="s">
        <v>71</v>
      </c>
      <c r="C73" s="73" t="s">
        <v>334</v>
      </c>
      <c r="D73" s="77">
        <v>3.0</v>
      </c>
      <c r="E73" s="77" t="s">
        <v>1348</v>
      </c>
      <c r="F73" s="77" t="s">
        <v>148</v>
      </c>
      <c r="G73" s="77" t="s">
        <v>149</v>
      </c>
      <c r="H73" s="77" t="s">
        <v>151</v>
      </c>
      <c r="I73" s="75"/>
      <c r="J73" s="81" t="s">
        <v>1278</v>
      </c>
      <c r="K73" s="45" t="s">
        <v>1279</v>
      </c>
      <c r="L73" s="149"/>
      <c r="M73" s="149"/>
      <c r="N73" s="157" t="s">
        <v>447</v>
      </c>
      <c r="O73" s="115" t="s">
        <v>198</v>
      </c>
      <c r="P73" s="151"/>
      <c r="Q73" s="44" t="s">
        <v>448</v>
      </c>
    </row>
    <row r="74" ht="39.75" customHeight="1">
      <c r="A74" s="94" t="s">
        <v>1110</v>
      </c>
      <c r="B74" s="96" t="s">
        <v>71</v>
      </c>
      <c r="C74" s="94" t="s">
        <v>334</v>
      </c>
      <c r="D74" s="97">
        <v>3.0</v>
      </c>
      <c r="E74" s="97" t="s">
        <v>1348</v>
      </c>
      <c r="F74" s="97" t="s">
        <v>148</v>
      </c>
      <c r="G74" s="97" t="s">
        <v>149</v>
      </c>
      <c r="H74" s="97" t="s">
        <v>151</v>
      </c>
      <c r="I74" s="96"/>
      <c r="J74" s="100" t="s">
        <v>1278</v>
      </c>
      <c r="K74" s="101" t="s">
        <v>1279</v>
      </c>
      <c r="L74" s="149"/>
      <c r="M74" s="149"/>
      <c r="N74" s="157" t="s">
        <v>447</v>
      </c>
      <c r="O74" s="124" t="s">
        <v>198</v>
      </c>
      <c r="P74" s="159"/>
      <c r="Q74" s="107" t="s">
        <v>448</v>
      </c>
    </row>
    <row r="75" ht="39.75" customHeight="1">
      <c r="A75" s="73" t="s">
        <v>1123</v>
      </c>
      <c r="B75" s="75" t="s">
        <v>71</v>
      </c>
      <c r="C75" s="73" t="s">
        <v>334</v>
      </c>
      <c r="D75" s="77">
        <v>3.0</v>
      </c>
      <c r="E75" s="77" t="s">
        <v>1348</v>
      </c>
      <c r="F75" s="77" t="s">
        <v>148</v>
      </c>
      <c r="G75" s="77" t="s">
        <v>149</v>
      </c>
      <c r="H75" s="77" t="s">
        <v>151</v>
      </c>
      <c r="I75" s="75"/>
      <c r="J75" s="81" t="s">
        <v>1278</v>
      </c>
      <c r="K75" s="45" t="s">
        <v>1279</v>
      </c>
      <c r="L75" s="149"/>
      <c r="M75" s="149"/>
      <c r="N75" s="157" t="s">
        <v>447</v>
      </c>
      <c r="O75" s="115" t="s">
        <v>198</v>
      </c>
      <c r="P75" s="151"/>
      <c r="Q75" s="44" t="s">
        <v>448</v>
      </c>
    </row>
    <row r="76" ht="39.75" customHeight="1">
      <c r="A76" s="94" t="s">
        <v>1172</v>
      </c>
      <c r="B76" s="96" t="s">
        <v>71</v>
      </c>
      <c r="C76" s="94" t="s">
        <v>334</v>
      </c>
      <c r="D76" s="97">
        <v>3.0</v>
      </c>
      <c r="E76" s="97" t="s">
        <v>1348</v>
      </c>
      <c r="F76" s="97" t="s">
        <v>148</v>
      </c>
      <c r="G76" s="97" t="s">
        <v>149</v>
      </c>
      <c r="H76" s="97" t="s">
        <v>151</v>
      </c>
      <c r="I76" s="96"/>
      <c r="J76" s="100" t="s">
        <v>1278</v>
      </c>
      <c r="K76" s="101" t="s">
        <v>1279</v>
      </c>
      <c r="L76" s="149"/>
      <c r="M76" s="149"/>
      <c r="N76" s="157" t="s">
        <v>447</v>
      </c>
      <c r="O76" s="124" t="s">
        <v>198</v>
      </c>
      <c r="P76" s="159"/>
      <c r="Q76" s="107" t="s">
        <v>448</v>
      </c>
    </row>
    <row r="77" ht="39.75" customHeight="1">
      <c r="A77" s="73" t="s">
        <v>1183</v>
      </c>
      <c r="B77" s="75" t="s">
        <v>71</v>
      </c>
      <c r="C77" s="73" t="s">
        <v>334</v>
      </c>
      <c r="D77" s="77">
        <v>3.0</v>
      </c>
      <c r="E77" s="77" t="s">
        <v>1348</v>
      </c>
      <c r="F77" s="77" t="s">
        <v>148</v>
      </c>
      <c r="G77" s="77" t="s">
        <v>149</v>
      </c>
      <c r="H77" s="77" t="s">
        <v>151</v>
      </c>
      <c r="I77" s="75"/>
      <c r="J77" s="81" t="s">
        <v>1278</v>
      </c>
      <c r="K77" s="45" t="s">
        <v>1279</v>
      </c>
      <c r="L77" s="149"/>
      <c r="M77" s="149"/>
      <c r="N77" s="157" t="s">
        <v>447</v>
      </c>
      <c r="O77" s="115" t="s">
        <v>198</v>
      </c>
      <c r="P77" s="151"/>
      <c r="Q77" s="44" t="s">
        <v>448</v>
      </c>
    </row>
    <row r="78" ht="39.75" customHeight="1">
      <c r="A78" s="94" t="s">
        <v>1241</v>
      </c>
      <c r="B78" s="96" t="s">
        <v>71</v>
      </c>
      <c r="C78" s="94" t="s">
        <v>334</v>
      </c>
      <c r="D78" s="97">
        <v>3.0</v>
      </c>
      <c r="E78" s="97" t="s">
        <v>1348</v>
      </c>
      <c r="F78" s="97" t="s">
        <v>148</v>
      </c>
      <c r="G78" s="97" t="s">
        <v>149</v>
      </c>
      <c r="H78" s="97" t="s">
        <v>151</v>
      </c>
      <c r="I78" s="96"/>
      <c r="J78" s="100" t="s">
        <v>1278</v>
      </c>
      <c r="K78" s="101" t="s">
        <v>1279</v>
      </c>
      <c r="L78" s="149"/>
      <c r="M78" s="149"/>
      <c r="N78" s="157" t="s">
        <v>447</v>
      </c>
      <c r="O78" s="124" t="s">
        <v>198</v>
      </c>
      <c r="P78" s="159"/>
      <c r="Q78" s="107" t="s">
        <v>448</v>
      </c>
    </row>
    <row r="79" ht="39.75" customHeight="1">
      <c r="A79" s="73" t="s">
        <v>1246</v>
      </c>
      <c r="B79" s="75" t="s">
        <v>71</v>
      </c>
      <c r="C79" s="73" t="s">
        <v>334</v>
      </c>
      <c r="D79" s="77">
        <v>3.0</v>
      </c>
      <c r="E79" s="77" t="s">
        <v>1348</v>
      </c>
      <c r="F79" s="77" t="s">
        <v>148</v>
      </c>
      <c r="G79" s="77" t="s">
        <v>149</v>
      </c>
      <c r="H79" s="77" t="s">
        <v>151</v>
      </c>
      <c r="I79" s="75"/>
      <c r="J79" s="81" t="s">
        <v>1278</v>
      </c>
      <c r="K79" s="45" t="s">
        <v>1279</v>
      </c>
      <c r="L79" s="149"/>
      <c r="M79" s="149"/>
      <c r="N79" s="157" t="s">
        <v>447</v>
      </c>
      <c r="O79" s="115" t="s">
        <v>198</v>
      </c>
      <c r="P79" s="151"/>
      <c r="Q79" s="44" t="s">
        <v>448</v>
      </c>
    </row>
    <row r="80" ht="39.75" customHeight="1">
      <c r="A80" s="94" t="s">
        <v>1249</v>
      </c>
      <c r="B80" s="96" t="s">
        <v>71</v>
      </c>
      <c r="C80" s="94" t="s">
        <v>334</v>
      </c>
      <c r="D80" s="97">
        <v>3.0</v>
      </c>
      <c r="E80" s="97" t="s">
        <v>1348</v>
      </c>
      <c r="F80" s="97" t="s">
        <v>148</v>
      </c>
      <c r="G80" s="97" t="s">
        <v>149</v>
      </c>
      <c r="H80" s="97" t="s">
        <v>151</v>
      </c>
      <c r="I80" s="96"/>
      <c r="J80" s="100" t="s">
        <v>1278</v>
      </c>
      <c r="K80" s="101" t="s">
        <v>1279</v>
      </c>
      <c r="L80" s="149"/>
      <c r="M80" s="149"/>
      <c r="N80" s="157" t="s">
        <v>447</v>
      </c>
      <c r="O80" s="124" t="s">
        <v>198</v>
      </c>
      <c r="P80" s="159"/>
      <c r="Q80" s="107" t="s">
        <v>448</v>
      </c>
    </row>
    <row r="81" ht="39.75" customHeight="1">
      <c r="A81" s="73" t="s">
        <v>1014</v>
      </c>
      <c r="B81" s="75" t="s">
        <v>71</v>
      </c>
      <c r="C81" s="73" t="s">
        <v>334</v>
      </c>
      <c r="D81" s="77">
        <v>3.0</v>
      </c>
      <c r="E81" s="77" t="s">
        <v>1372</v>
      </c>
      <c r="F81" s="77" t="s">
        <v>148</v>
      </c>
      <c r="G81" s="77" t="s">
        <v>149</v>
      </c>
      <c r="H81" s="77" t="s">
        <v>151</v>
      </c>
      <c r="I81" s="75"/>
      <c r="J81" s="81" t="s">
        <v>1278</v>
      </c>
      <c r="K81" s="45" t="s">
        <v>1279</v>
      </c>
      <c r="L81" s="149"/>
      <c r="M81" s="149"/>
      <c r="N81" s="157" t="s">
        <v>447</v>
      </c>
      <c r="O81" s="115" t="s">
        <v>198</v>
      </c>
      <c r="P81" s="151"/>
      <c r="Q81" s="44" t="s">
        <v>448</v>
      </c>
    </row>
    <row r="82" ht="39.75" customHeight="1">
      <c r="A82" s="94" t="s">
        <v>1016</v>
      </c>
      <c r="B82" s="96" t="s">
        <v>71</v>
      </c>
      <c r="C82" s="94" t="s">
        <v>334</v>
      </c>
      <c r="D82" s="97">
        <v>3.0</v>
      </c>
      <c r="E82" s="97" t="s">
        <v>1372</v>
      </c>
      <c r="F82" s="97" t="s">
        <v>148</v>
      </c>
      <c r="G82" s="97" t="s">
        <v>149</v>
      </c>
      <c r="H82" s="97" t="s">
        <v>151</v>
      </c>
      <c r="I82" s="96"/>
      <c r="J82" s="100" t="s">
        <v>1278</v>
      </c>
      <c r="K82" s="101" t="s">
        <v>1279</v>
      </c>
      <c r="L82" s="149"/>
      <c r="M82" s="149"/>
      <c r="N82" s="157" t="s">
        <v>447</v>
      </c>
      <c r="O82" s="124" t="s">
        <v>198</v>
      </c>
      <c r="P82" s="159"/>
      <c r="Q82" s="107" t="s">
        <v>448</v>
      </c>
    </row>
    <row r="83" ht="39.75" customHeight="1">
      <c r="A83" s="73" t="s">
        <v>1044</v>
      </c>
      <c r="B83" s="75" t="s">
        <v>71</v>
      </c>
      <c r="C83" s="73" t="s">
        <v>334</v>
      </c>
      <c r="D83" s="77">
        <v>3.0</v>
      </c>
      <c r="E83" s="77" t="s">
        <v>1372</v>
      </c>
      <c r="F83" s="77" t="s">
        <v>148</v>
      </c>
      <c r="G83" s="77" t="s">
        <v>149</v>
      </c>
      <c r="H83" s="77" t="s">
        <v>151</v>
      </c>
      <c r="I83" s="75"/>
      <c r="J83" s="81" t="s">
        <v>1278</v>
      </c>
      <c r="K83" s="45" t="s">
        <v>1279</v>
      </c>
      <c r="L83" s="149"/>
      <c r="M83" s="149"/>
      <c r="N83" s="157" t="s">
        <v>447</v>
      </c>
      <c r="O83" s="115" t="s">
        <v>198</v>
      </c>
      <c r="P83" s="151"/>
      <c r="Q83" s="44" t="s">
        <v>448</v>
      </c>
    </row>
    <row r="84" ht="30.0" customHeight="1">
      <c r="A84" s="94" t="s">
        <v>1091</v>
      </c>
      <c r="B84" s="96" t="s">
        <v>71</v>
      </c>
      <c r="C84" s="94" t="s">
        <v>334</v>
      </c>
      <c r="D84" s="97">
        <v>3.0</v>
      </c>
      <c r="E84" s="97" t="s">
        <v>1372</v>
      </c>
      <c r="F84" s="97" t="s">
        <v>148</v>
      </c>
      <c r="G84" s="97" t="s">
        <v>149</v>
      </c>
      <c r="H84" s="97" t="s">
        <v>151</v>
      </c>
      <c r="I84" s="96"/>
      <c r="J84" s="100" t="s">
        <v>1278</v>
      </c>
      <c r="K84" s="101" t="s">
        <v>1279</v>
      </c>
      <c r="L84" s="140" t="s">
        <v>52</v>
      </c>
      <c r="M84" s="62" t="s">
        <v>92</v>
      </c>
      <c r="N84" s="43" t="s">
        <v>55</v>
      </c>
      <c r="O84" s="124" t="s">
        <v>163</v>
      </c>
      <c r="P84" s="101" t="s">
        <v>1093</v>
      </c>
      <c r="Q84" s="107"/>
    </row>
    <row r="85" ht="39.75" customHeight="1">
      <c r="A85" s="73" t="s">
        <v>1126</v>
      </c>
      <c r="B85" s="75" t="s">
        <v>71</v>
      </c>
      <c r="C85" s="73" t="s">
        <v>334</v>
      </c>
      <c r="D85" s="77">
        <v>3.0</v>
      </c>
      <c r="E85" s="77" t="s">
        <v>1372</v>
      </c>
      <c r="F85" s="77" t="s">
        <v>148</v>
      </c>
      <c r="G85" s="77" t="s">
        <v>149</v>
      </c>
      <c r="H85" s="77" t="s">
        <v>151</v>
      </c>
      <c r="I85" s="75"/>
      <c r="J85" s="81" t="s">
        <v>1278</v>
      </c>
      <c r="K85" s="45" t="s">
        <v>1279</v>
      </c>
      <c r="L85" s="149"/>
      <c r="M85" s="149"/>
      <c r="N85" s="157" t="s">
        <v>447</v>
      </c>
      <c r="O85" s="115" t="s">
        <v>198</v>
      </c>
      <c r="P85" s="151"/>
      <c r="Q85" s="44" t="s">
        <v>448</v>
      </c>
    </row>
    <row r="86" ht="39.75" customHeight="1">
      <c r="A86" s="94" t="s">
        <v>1170</v>
      </c>
      <c r="B86" s="96" t="s">
        <v>71</v>
      </c>
      <c r="C86" s="94" t="s">
        <v>334</v>
      </c>
      <c r="D86" s="97">
        <v>3.0</v>
      </c>
      <c r="E86" s="97" t="s">
        <v>1372</v>
      </c>
      <c r="F86" s="97" t="s">
        <v>148</v>
      </c>
      <c r="G86" s="97" t="s">
        <v>149</v>
      </c>
      <c r="H86" s="154" t="s">
        <v>466</v>
      </c>
      <c r="I86" s="96"/>
      <c r="J86" s="100" t="s">
        <v>1278</v>
      </c>
      <c r="K86" s="101" t="s">
        <v>1279</v>
      </c>
      <c r="L86" s="88" t="s">
        <v>63</v>
      </c>
      <c r="M86" s="50" t="s">
        <v>64</v>
      </c>
      <c r="N86" s="43" t="s">
        <v>55</v>
      </c>
      <c r="O86" s="105" t="s">
        <v>187</v>
      </c>
      <c r="P86" s="101" t="s">
        <v>1134</v>
      </c>
      <c r="Q86" s="107" t="s">
        <v>1171</v>
      </c>
    </row>
    <row r="87" ht="39.75" customHeight="1">
      <c r="A87" s="73" t="s">
        <v>1182</v>
      </c>
      <c r="B87" s="75" t="s">
        <v>71</v>
      </c>
      <c r="C87" s="73" t="s">
        <v>334</v>
      </c>
      <c r="D87" s="77">
        <v>3.0</v>
      </c>
      <c r="E87" s="77" t="s">
        <v>1372</v>
      </c>
      <c r="F87" s="77" t="s">
        <v>148</v>
      </c>
      <c r="G87" s="77" t="s">
        <v>149</v>
      </c>
      <c r="H87" s="77" t="s">
        <v>151</v>
      </c>
      <c r="I87" s="75"/>
      <c r="J87" s="81" t="s">
        <v>1278</v>
      </c>
      <c r="K87" s="45" t="s">
        <v>1279</v>
      </c>
      <c r="L87" s="149"/>
      <c r="M87" s="149"/>
      <c r="N87" s="157" t="s">
        <v>447</v>
      </c>
      <c r="O87" s="115" t="s">
        <v>198</v>
      </c>
      <c r="P87" s="151"/>
      <c r="Q87" s="44" t="s">
        <v>448</v>
      </c>
    </row>
    <row r="88" ht="39.75" customHeight="1">
      <c r="A88" s="94" t="s">
        <v>1184</v>
      </c>
      <c r="B88" s="96" t="s">
        <v>71</v>
      </c>
      <c r="C88" s="94" t="s">
        <v>334</v>
      </c>
      <c r="D88" s="97">
        <v>3.0</v>
      </c>
      <c r="E88" s="97" t="s">
        <v>1372</v>
      </c>
      <c r="F88" s="97" t="s">
        <v>148</v>
      </c>
      <c r="G88" s="97" t="s">
        <v>149</v>
      </c>
      <c r="H88" s="97" t="s">
        <v>151</v>
      </c>
      <c r="I88" s="96"/>
      <c r="J88" s="100" t="s">
        <v>1278</v>
      </c>
      <c r="K88" s="101" t="s">
        <v>1279</v>
      </c>
      <c r="L88" s="149"/>
      <c r="M88" s="149"/>
      <c r="N88" s="157" t="s">
        <v>447</v>
      </c>
      <c r="O88" s="124" t="s">
        <v>198</v>
      </c>
      <c r="P88" s="159"/>
      <c r="Q88" s="107" t="s">
        <v>448</v>
      </c>
    </row>
    <row r="89" ht="39.75" customHeight="1">
      <c r="A89" s="73" t="s">
        <v>1193</v>
      </c>
      <c r="B89" s="75" t="s">
        <v>71</v>
      </c>
      <c r="C89" s="73" t="s">
        <v>334</v>
      </c>
      <c r="D89" s="77">
        <v>3.0</v>
      </c>
      <c r="E89" s="77" t="s">
        <v>1372</v>
      </c>
      <c r="F89" s="77" t="s">
        <v>148</v>
      </c>
      <c r="G89" s="77" t="s">
        <v>149</v>
      </c>
      <c r="H89" s="77" t="s">
        <v>151</v>
      </c>
      <c r="I89" s="75"/>
      <c r="J89" s="81" t="s">
        <v>1278</v>
      </c>
      <c r="K89" s="45" t="s">
        <v>1279</v>
      </c>
      <c r="L89" s="149"/>
      <c r="M89" s="149"/>
      <c r="N89" s="157" t="s">
        <v>447</v>
      </c>
      <c r="O89" s="115" t="s">
        <v>198</v>
      </c>
      <c r="P89" s="151"/>
      <c r="Q89" s="44" t="s">
        <v>448</v>
      </c>
    </row>
    <row r="90" ht="39.75" customHeight="1">
      <c r="A90" s="94" t="s">
        <v>1205</v>
      </c>
      <c r="B90" s="96" t="s">
        <v>71</v>
      </c>
      <c r="C90" s="94" t="s">
        <v>334</v>
      </c>
      <c r="D90" s="97">
        <v>3.0</v>
      </c>
      <c r="E90" s="97" t="s">
        <v>1372</v>
      </c>
      <c r="F90" s="97" t="s">
        <v>148</v>
      </c>
      <c r="G90" s="97" t="s">
        <v>149</v>
      </c>
      <c r="H90" s="97" t="s">
        <v>151</v>
      </c>
      <c r="I90" s="96"/>
      <c r="J90" s="100" t="s">
        <v>1278</v>
      </c>
      <c r="K90" s="101" t="s">
        <v>1279</v>
      </c>
      <c r="L90" s="149"/>
      <c r="M90" s="149"/>
      <c r="N90" s="157" t="s">
        <v>447</v>
      </c>
      <c r="O90" s="124" t="s">
        <v>198</v>
      </c>
      <c r="P90" s="159"/>
      <c r="Q90" s="107" t="s">
        <v>448</v>
      </c>
    </row>
    <row r="91" ht="39.75" customHeight="1">
      <c r="A91" s="73" t="s">
        <v>1224</v>
      </c>
      <c r="B91" s="75" t="s">
        <v>71</v>
      </c>
      <c r="C91" s="73" t="s">
        <v>334</v>
      </c>
      <c r="D91" s="77">
        <v>3.0</v>
      </c>
      <c r="E91" s="77" t="s">
        <v>1372</v>
      </c>
      <c r="F91" s="77" t="s">
        <v>148</v>
      </c>
      <c r="G91" s="77" t="s">
        <v>149</v>
      </c>
      <c r="H91" s="77" t="s">
        <v>151</v>
      </c>
      <c r="I91" s="75"/>
      <c r="J91" s="81" t="s">
        <v>1278</v>
      </c>
      <c r="K91" s="45" t="s">
        <v>1279</v>
      </c>
      <c r="L91" s="149"/>
      <c r="M91" s="149"/>
      <c r="N91" s="157" t="s">
        <v>447</v>
      </c>
      <c r="O91" s="115" t="s">
        <v>198</v>
      </c>
      <c r="P91" s="151"/>
      <c r="Q91" s="44" t="s">
        <v>448</v>
      </c>
    </row>
    <row r="92" ht="39.75" customHeight="1">
      <c r="A92" s="94" t="s">
        <v>1252</v>
      </c>
      <c r="B92" s="96" t="s">
        <v>71</v>
      </c>
      <c r="C92" s="94" t="s">
        <v>334</v>
      </c>
      <c r="D92" s="97">
        <v>3.0</v>
      </c>
      <c r="E92" s="97" t="s">
        <v>1372</v>
      </c>
      <c r="F92" s="97" t="s">
        <v>148</v>
      </c>
      <c r="G92" s="97" t="s">
        <v>149</v>
      </c>
      <c r="H92" s="97" t="s">
        <v>151</v>
      </c>
      <c r="I92" s="96"/>
      <c r="J92" s="100" t="s">
        <v>1278</v>
      </c>
      <c r="K92" s="101" t="s">
        <v>1279</v>
      </c>
      <c r="L92" s="149"/>
      <c r="M92" s="149"/>
      <c r="N92" s="157" t="s">
        <v>447</v>
      </c>
      <c r="O92" s="124" t="s">
        <v>198</v>
      </c>
      <c r="P92" s="159"/>
      <c r="Q92" s="107" t="s">
        <v>448</v>
      </c>
    </row>
    <row r="93" ht="39.75" customHeight="1">
      <c r="A93" s="73" t="s">
        <v>1000</v>
      </c>
      <c r="B93" s="75" t="s">
        <v>71</v>
      </c>
      <c r="C93" s="73" t="s">
        <v>334</v>
      </c>
      <c r="D93" s="77">
        <v>3.0</v>
      </c>
      <c r="E93" s="77" t="s">
        <v>1398</v>
      </c>
      <c r="F93" s="77" t="s">
        <v>148</v>
      </c>
      <c r="G93" s="77" t="s">
        <v>149</v>
      </c>
      <c r="H93" s="77" t="s">
        <v>151</v>
      </c>
      <c r="I93" s="75"/>
      <c r="J93" s="81" t="s">
        <v>1399</v>
      </c>
      <c r="K93" s="45" t="s">
        <v>1400</v>
      </c>
      <c r="L93" s="149"/>
      <c r="M93" s="149"/>
      <c r="N93" s="157" t="s">
        <v>447</v>
      </c>
      <c r="O93" s="115" t="s">
        <v>198</v>
      </c>
      <c r="P93" s="151"/>
      <c r="Q93" s="44" t="s">
        <v>448</v>
      </c>
    </row>
    <row r="94" ht="39.75" customHeight="1">
      <c r="A94" s="94" t="s">
        <v>1024</v>
      </c>
      <c r="B94" s="96" t="s">
        <v>71</v>
      </c>
      <c r="C94" s="94" t="s">
        <v>334</v>
      </c>
      <c r="D94" s="97">
        <v>3.0</v>
      </c>
      <c r="E94" s="97" t="s">
        <v>1398</v>
      </c>
      <c r="F94" s="97" t="s">
        <v>148</v>
      </c>
      <c r="G94" s="97" t="s">
        <v>149</v>
      </c>
      <c r="H94" s="97" t="s">
        <v>151</v>
      </c>
      <c r="I94" s="96"/>
      <c r="J94" s="100" t="s">
        <v>1399</v>
      </c>
      <c r="K94" s="101" t="s">
        <v>1400</v>
      </c>
      <c r="L94" s="149"/>
      <c r="M94" s="149"/>
      <c r="N94" s="157" t="s">
        <v>447</v>
      </c>
      <c r="O94" s="124" t="s">
        <v>198</v>
      </c>
      <c r="P94" s="159"/>
      <c r="Q94" s="107" t="s">
        <v>448</v>
      </c>
    </row>
    <row r="95" ht="39.75" customHeight="1">
      <c r="A95" s="73" t="s">
        <v>1066</v>
      </c>
      <c r="B95" s="75" t="s">
        <v>71</v>
      </c>
      <c r="C95" s="73" t="s">
        <v>334</v>
      </c>
      <c r="D95" s="77">
        <v>3.0</v>
      </c>
      <c r="E95" s="77" t="s">
        <v>1398</v>
      </c>
      <c r="F95" s="77" t="s">
        <v>148</v>
      </c>
      <c r="G95" s="77" t="s">
        <v>149</v>
      </c>
      <c r="H95" s="77" t="s">
        <v>151</v>
      </c>
      <c r="I95" s="75"/>
      <c r="J95" s="81" t="s">
        <v>1399</v>
      </c>
      <c r="K95" s="45" t="s">
        <v>1400</v>
      </c>
      <c r="L95" s="149"/>
      <c r="M95" s="149"/>
      <c r="N95" s="157" t="s">
        <v>447</v>
      </c>
      <c r="O95" s="115" t="s">
        <v>198</v>
      </c>
      <c r="P95" s="151"/>
      <c r="Q95" s="44" t="s">
        <v>448</v>
      </c>
    </row>
    <row r="96" ht="39.75" customHeight="1">
      <c r="A96" s="94" t="s">
        <v>1089</v>
      </c>
      <c r="B96" s="96" t="s">
        <v>71</v>
      </c>
      <c r="C96" s="94" t="s">
        <v>334</v>
      </c>
      <c r="D96" s="97">
        <v>3.0</v>
      </c>
      <c r="E96" s="97" t="s">
        <v>1398</v>
      </c>
      <c r="F96" s="97" t="s">
        <v>148</v>
      </c>
      <c r="G96" s="97" t="s">
        <v>149</v>
      </c>
      <c r="H96" s="154" t="s">
        <v>466</v>
      </c>
      <c r="I96" s="96"/>
      <c r="J96" s="100" t="s">
        <v>1399</v>
      </c>
      <c r="K96" s="101" t="s">
        <v>1400</v>
      </c>
      <c r="L96" s="127" t="s">
        <v>64</v>
      </c>
      <c r="M96" s="49" t="s">
        <v>63</v>
      </c>
      <c r="N96" s="43" t="s">
        <v>55</v>
      </c>
      <c r="O96" s="105" t="s">
        <v>187</v>
      </c>
      <c r="P96" s="101" t="s">
        <v>1088</v>
      </c>
      <c r="Q96" s="107" t="s">
        <v>1090</v>
      </c>
    </row>
    <row r="97" ht="39.75" customHeight="1">
      <c r="A97" s="73" t="s">
        <v>1094</v>
      </c>
      <c r="B97" s="75" t="s">
        <v>71</v>
      </c>
      <c r="C97" s="73" t="s">
        <v>334</v>
      </c>
      <c r="D97" s="77">
        <v>3.0</v>
      </c>
      <c r="E97" s="77" t="s">
        <v>1398</v>
      </c>
      <c r="F97" s="77" t="s">
        <v>148</v>
      </c>
      <c r="G97" s="77" t="s">
        <v>149</v>
      </c>
      <c r="H97" s="77" t="s">
        <v>151</v>
      </c>
      <c r="I97" s="75"/>
      <c r="J97" s="81" t="s">
        <v>1399</v>
      </c>
      <c r="K97" s="45" t="s">
        <v>1400</v>
      </c>
      <c r="L97" s="149"/>
      <c r="M97" s="149"/>
      <c r="N97" s="157" t="s">
        <v>447</v>
      </c>
      <c r="O97" s="115" t="s">
        <v>198</v>
      </c>
      <c r="P97" s="151"/>
      <c r="Q97" s="44" t="s">
        <v>448</v>
      </c>
    </row>
    <row r="98" ht="39.75" customHeight="1">
      <c r="A98" s="94" t="s">
        <v>1116</v>
      </c>
      <c r="B98" s="96" t="s">
        <v>71</v>
      </c>
      <c r="C98" s="94" t="s">
        <v>334</v>
      </c>
      <c r="D98" s="97">
        <v>3.0</v>
      </c>
      <c r="E98" s="97" t="s">
        <v>1398</v>
      </c>
      <c r="F98" s="97" t="s">
        <v>148</v>
      </c>
      <c r="G98" s="97" t="s">
        <v>149</v>
      </c>
      <c r="H98" s="154" t="s">
        <v>466</v>
      </c>
      <c r="I98" s="96"/>
      <c r="J98" s="100" t="s">
        <v>1399</v>
      </c>
      <c r="K98" s="101" t="s">
        <v>1400</v>
      </c>
      <c r="L98" s="127" t="s">
        <v>64</v>
      </c>
      <c r="M98" s="169" t="s">
        <v>176</v>
      </c>
      <c r="N98" s="43" t="s">
        <v>55</v>
      </c>
      <c r="O98" s="105" t="s">
        <v>187</v>
      </c>
      <c r="P98" s="101" t="s">
        <v>1114</v>
      </c>
      <c r="Q98" s="107" t="s">
        <v>1117</v>
      </c>
    </row>
    <row r="99" ht="31.5" customHeight="1">
      <c r="A99" s="73" t="s">
        <v>1121</v>
      </c>
      <c r="B99" s="75" t="s">
        <v>71</v>
      </c>
      <c r="C99" s="73" t="s">
        <v>334</v>
      </c>
      <c r="D99" s="77">
        <v>3.0</v>
      </c>
      <c r="E99" s="77" t="s">
        <v>1398</v>
      </c>
      <c r="F99" s="77" t="s">
        <v>148</v>
      </c>
      <c r="G99" s="77" t="s">
        <v>149</v>
      </c>
      <c r="H99" s="158" t="s">
        <v>466</v>
      </c>
      <c r="I99" s="75"/>
      <c r="J99" s="81" t="s">
        <v>1399</v>
      </c>
      <c r="K99" s="45" t="s">
        <v>1400</v>
      </c>
      <c r="L99" s="88" t="s">
        <v>63</v>
      </c>
      <c r="M99" s="62" t="s">
        <v>92</v>
      </c>
      <c r="N99" s="43" t="s">
        <v>55</v>
      </c>
      <c r="O99" s="59" t="s">
        <v>187</v>
      </c>
      <c r="P99" s="45" t="s">
        <v>1120</v>
      </c>
      <c r="Q99" s="44" t="s">
        <v>1122</v>
      </c>
    </row>
    <row r="100" ht="39.75" customHeight="1">
      <c r="A100" s="94" t="s">
        <v>1132</v>
      </c>
      <c r="B100" s="96" t="s">
        <v>71</v>
      </c>
      <c r="C100" s="94" t="s">
        <v>334</v>
      </c>
      <c r="D100" s="97">
        <v>3.0</v>
      </c>
      <c r="E100" s="97" t="s">
        <v>1398</v>
      </c>
      <c r="F100" s="97" t="s">
        <v>148</v>
      </c>
      <c r="G100" s="97" t="s">
        <v>149</v>
      </c>
      <c r="H100" s="97" t="s">
        <v>151</v>
      </c>
      <c r="I100" s="96"/>
      <c r="J100" s="100" t="s">
        <v>1399</v>
      </c>
      <c r="K100" s="101" t="s">
        <v>1400</v>
      </c>
      <c r="L100" s="149"/>
      <c r="M100" s="149"/>
      <c r="N100" s="157" t="s">
        <v>447</v>
      </c>
      <c r="O100" s="124" t="s">
        <v>198</v>
      </c>
      <c r="P100" s="159"/>
      <c r="Q100" s="107" t="s">
        <v>448</v>
      </c>
    </row>
    <row r="101" ht="39.75" customHeight="1">
      <c r="A101" s="73" t="s">
        <v>1167</v>
      </c>
      <c r="B101" s="75" t="s">
        <v>71</v>
      </c>
      <c r="C101" s="73" t="s">
        <v>334</v>
      </c>
      <c r="D101" s="77">
        <v>3.0</v>
      </c>
      <c r="E101" s="77" t="s">
        <v>1398</v>
      </c>
      <c r="F101" s="77" t="s">
        <v>148</v>
      </c>
      <c r="G101" s="77" t="s">
        <v>149</v>
      </c>
      <c r="H101" s="77" t="s">
        <v>151</v>
      </c>
      <c r="I101" s="75"/>
      <c r="J101" s="81" t="s">
        <v>1399</v>
      </c>
      <c r="K101" s="45" t="s">
        <v>1400</v>
      </c>
      <c r="L101" s="149"/>
      <c r="M101" s="149"/>
      <c r="N101" s="157" t="s">
        <v>447</v>
      </c>
      <c r="O101" s="115" t="s">
        <v>198</v>
      </c>
      <c r="P101" s="151"/>
      <c r="Q101" s="44" t="s">
        <v>448</v>
      </c>
    </row>
    <row r="102" ht="39.75" customHeight="1">
      <c r="A102" s="94" t="s">
        <v>1168</v>
      </c>
      <c r="B102" s="96" t="s">
        <v>71</v>
      </c>
      <c r="C102" s="94" t="s">
        <v>334</v>
      </c>
      <c r="D102" s="97">
        <v>3.0</v>
      </c>
      <c r="E102" s="97" t="s">
        <v>1398</v>
      </c>
      <c r="F102" s="97" t="s">
        <v>148</v>
      </c>
      <c r="G102" s="97" t="s">
        <v>149</v>
      </c>
      <c r="H102" s="97" t="s">
        <v>151</v>
      </c>
      <c r="I102" s="96"/>
      <c r="J102" s="100" t="s">
        <v>1399</v>
      </c>
      <c r="K102" s="101" t="s">
        <v>1400</v>
      </c>
      <c r="L102" s="149"/>
      <c r="M102" s="149"/>
      <c r="N102" s="157" t="s">
        <v>447</v>
      </c>
      <c r="O102" s="124" t="s">
        <v>198</v>
      </c>
      <c r="P102" s="159"/>
      <c r="Q102" s="107" t="s">
        <v>448</v>
      </c>
    </row>
    <row r="103" ht="39.75" customHeight="1">
      <c r="A103" s="73" t="s">
        <v>1185</v>
      </c>
      <c r="B103" s="75" t="s">
        <v>71</v>
      </c>
      <c r="C103" s="73" t="s">
        <v>334</v>
      </c>
      <c r="D103" s="77">
        <v>3.0</v>
      </c>
      <c r="E103" s="77" t="s">
        <v>1398</v>
      </c>
      <c r="F103" s="77" t="s">
        <v>148</v>
      </c>
      <c r="G103" s="77" t="s">
        <v>149</v>
      </c>
      <c r="H103" s="77" t="s">
        <v>151</v>
      </c>
      <c r="I103" s="75"/>
      <c r="J103" s="81" t="s">
        <v>1399</v>
      </c>
      <c r="K103" s="45" t="s">
        <v>1400</v>
      </c>
      <c r="L103" s="149"/>
      <c r="M103" s="149"/>
      <c r="N103" s="157" t="s">
        <v>447</v>
      </c>
      <c r="O103" s="115" t="s">
        <v>198</v>
      </c>
      <c r="P103" s="151"/>
      <c r="Q103" s="44" t="s">
        <v>448</v>
      </c>
    </row>
    <row r="104" ht="39.75" customHeight="1">
      <c r="A104" s="94" t="s">
        <v>1188</v>
      </c>
      <c r="B104" s="96" t="s">
        <v>71</v>
      </c>
      <c r="C104" s="94" t="s">
        <v>334</v>
      </c>
      <c r="D104" s="97">
        <v>3.0</v>
      </c>
      <c r="E104" s="97" t="s">
        <v>1398</v>
      </c>
      <c r="F104" s="97" t="s">
        <v>148</v>
      </c>
      <c r="G104" s="97" t="s">
        <v>149</v>
      </c>
      <c r="H104" s="97" t="s">
        <v>151</v>
      </c>
      <c r="I104" s="96"/>
      <c r="J104" s="100" t="s">
        <v>1399</v>
      </c>
      <c r="K104" s="101" t="s">
        <v>1400</v>
      </c>
      <c r="L104" s="149"/>
      <c r="M104" s="149"/>
      <c r="N104" s="157" t="s">
        <v>447</v>
      </c>
      <c r="O104" s="124" t="s">
        <v>198</v>
      </c>
      <c r="P104" s="159"/>
      <c r="Q104" s="107" t="s">
        <v>448</v>
      </c>
    </row>
    <row r="105" ht="39.75" customHeight="1">
      <c r="A105" s="73" t="s">
        <v>998</v>
      </c>
      <c r="B105" s="75" t="s">
        <v>71</v>
      </c>
      <c r="C105" s="73" t="s">
        <v>334</v>
      </c>
      <c r="D105" s="77">
        <v>3.0</v>
      </c>
      <c r="E105" s="77" t="s">
        <v>1417</v>
      </c>
      <c r="F105" s="77" t="s">
        <v>148</v>
      </c>
      <c r="G105" s="77" t="s">
        <v>149</v>
      </c>
      <c r="H105" s="77" t="s">
        <v>151</v>
      </c>
      <c r="I105" s="75"/>
      <c r="J105" s="81" t="s">
        <v>1399</v>
      </c>
      <c r="K105" s="45" t="s">
        <v>1400</v>
      </c>
      <c r="L105" s="149"/>
      <c r="M105" s="149"/>
      <c r="N105" s="157" t="s">
        <v>447</v>
      </c>
      <c r="O105" s="115" t="s">
        <v>198</v>
      </c>
      <c r="P105" s="151"/>
      <c r="Q105" s="44" t="s">
        <v>448</v>
      </c>
    </row>
    <row r="106" ht="31.5" customHeight="1">
      <c r="A106" s="94" t="s">
        <v>1005</v>
      </c>
      <c r="B106" s="96" t="s">
        <v>71</v>
      </c>
      <c r="C106" s="94" t="s">
        <v>334</v>
      </c>
      <c r="D106" s="97">
        <v>3.0</v>
      </c>
      <c r="E106" s="97" t="s">
        <v>1417</v>
      </c>
      <c r="F106" s="97" t="s">
        <v>148</v>
      </c>
      <c r="G106" s="97" t="s">
        <v>149</v>
      </c>
      <c r="H106" s="97" t="s">
        <v>151</v>
      </c>
      <c r="I106" s="96"/>
      <c r="J106" s="100" t="s">
        <v>1399</v>
      </c>
      <c r="K106" s="101" t="s">
        <v>1400</v>
      </c>
      <c r="L106" s="127" t="s">
        <v>64</v>
      </c>
      <c r="M106" s="62" t="s">
        <v>92</v>
      </c>
      <c r="N106" s="43" t="s">
        <v>55</v>
      </c>
      <c r="O106" s="124" t="s">
        <v>163</v>
      </c>
      <c r="P106" s="101" t="s">
        <v>1008</v>
      </c>
      <c r="Q106" s="107" t="s">
        <v>1009</v>
      </c>
    </row>
    <row r="107" ht="39.75" customHeight="1">
      <c r="A107" s="73" t="s">
        <v>1050</v>
      </c>
      <c r="B107" s="75" t="s">
        <v>71</v>
      </c>
      <c r="C107" s="73" t="s">
        <v>334</v>
      </c>
      <c r="D107" s="77">
        <v>3.0</v>
      </c>
      <c r="E107" s="77" t="s">
        <v>1417</v>
      </c>
      <c r="F107" s="77" t="s">
        <v>148</v>
      </c>
      <c r="G107" s="77" t="s">
        <v>149</v>
      </c>
      <c r="H107" s="77" t="s">
        <v>151</v>
      </c>
      <c r="I107" s="75"/>
      <c r="J107" s="81" t="s">
        <v>1399</v>
      </c>
      <c r="K107" s="45" t="s">
        <v>1400</v>
      </c>
      <c r="L107" s="149"/>
      <c r="M107" s="149"/>
      <c r="N107" s="157" t="s">
        <v>447</v>
      </c>
      <c r="O107" s="115" t="s">
        <v>198</v>
      </c>
      <c r="P107" s="151"/>
      <c r="Q107" s="44" t="s">
        <v>448</v>
      </c>
    </row>
    <row r="108" ht="39.75" customHeight="1">
      <c r="A108" s="94" t="s">
        <v>1080</v>
      </c>
      <c r="B108" s="96" t="s">
        <v>71</v>
      </c>
      <c r="C108" s="94" t="s">
        <v>334</v>
      </c>
      <c r="D108" s="97">
        <v>3.0</v>
      </c>
      <c r="E108" s="97" t="s">
        <v>1417</v>
      </c>
      <c r="F108" s="97" t="s">
        <v>148</v>
      </c>
      <c r="G108" s="97" t="s">
        <v>149</v>
      </c>
      <c r="H108" s="97" t="s">
        <v>151</v>
      </c>
      <c r="I108" s="96"/>
      <c r="J108" s="100" t="s">
        <v>1399</v>
      </c>
      <c r="K108" s="101" t="s">
        <v>1400</v>
      </c>
      <c r="L108" s="149"/>
      <c r="M108" s="149"/>
      <c r="N108" s="157" t="s">
        <v>447</v>
      </c>
      <c r="O108" s="124" t="s">
        <v>198</v>
      </c>
      <c r="P108" s="159"/>
      <c r="Q108" s="107" t="s">
        <v>448</v>
      </c>
    </row>
    <row r="109" ht="39.75" customHeight="1">
      <c r="A109" s="73" t="s">
        <v>1111</v>
      </c>
      <c r="B109" s="75" t="s">
        <v>71</v>
      </c>
      <c r="C109" s="73" t="s">
        <v>334</v>
      </c>
      <c r="D109" s="77">
        <v>3.0</v>
      </c>
      <c r="E109" s="77" t="s">
        <v>1417</v>
      </c>
      <c r="F109" s="77" t="s">
        <v>148</v>
      </c>
      <c r="G109" s="77" t="s">
        <v>149</v>
      </c>
      <c r="H109" s="77" t="s">
        <v>151</v>
      </c>
      <c r="I109" s="75"/>
      <c r="J109" s="81" t="s">
        <v>1399</v>
      </c>
      <c r="K109" s="45" t="s">
        <v>1400</v>
      </c>
      <c r="L109" s="149"/>
      <c r="M109" s="149"/>
      <c r="N109" s="157" t="s">
        <v>447</v>
      </c>
      <c r="O109" s="115" t="s">
        <v>198</v>
      </c>
      <c r="P109" s="151"/>
      <c r="Q109" s="44" t="s">
        <v>448</v>
      </c>
    </row>
    <row r="110" ht="31.5" customHeight="1">
      <c r="A110" s="94" t="s">
        <v>1137</v>
      </c>
      <c r="B110" s="96" t="s">
        <v>71</v>
      </c>
      <c r="C110" s="94" t="s">
        <v>334</v>
      </c>
      <c r="D110" s="97">
        <v>3.0</v>
      </c>
      <c r="E110" s="97" t="s">
        <v>1417</v>
      </c>
      <c r="F110" s="97" t="s">
        <v>148</v>
      </c>
      <c r="G110" s="97" t="s">
        <v>149</v>
      </c>
      <c r="H110" s="97" t="s">
        <v>151</v>
      </c>
      <c r="I110" s="96"/>
      <c r="J110" s="100" t="s">
        <v>1399</v>
      </c>
      <c r="K110" s="101" t="s">
        <v>1400</v>
      </c>
      <c r="L110" s="127" t="s">
        <v>64</v>
      </c>
      <c r="M110" s="86" t="s">
        <v>164</v>
      </c>
      <c r="N110" s="43" t="s">
        <v>55</v>
      </c>
      <c r="O110" s="124" t="s">
        <v>163</v>
      </c>
      <c r="P110" s="101" t="s">
        <v>1139</v>
      </c>
      <c r="Q110" s="107"/>
    </row>
    <row r="111" ht="31.5" customHeight="1">
      <c r="A111" s="73" t="s">
        <v>1158</v>
      </c>
      <c r="B111" s="75" t="s">
        <v>71</v>
      </c>
      <c r="C111" s="73" t="s">
        <v>334</v>
      </c>
      <c r="D111" s="77">
        <v>3.0</v>
      </c>
      <c r="E111" s="77" t="s">
        <v>1417</v>
      </c>
      <c r="F111" s="77" t="s">
        <v>148</v>
      </c>
      <c r="G111" s="77" t="s">
        <v>149</v>
      </c>
      <c r="H111" s="77" t="s">
        <v>151</v>
      </c>
      <c r="I111" s="75"/>
      <c r="J111" s="81" t="s">
        <v>1399</v>
      </c>
      <c r="K111" s="45" t="s">
        <v>1400</v>
      </c>
      <c r="L111" s="88" t="s">
        <v>63</v>
      </c>
      <c r="M111" s="86" t="s">
        <v>164</v>
      </c>
      <c r="N111" s="43" t="s">
        <v>55</v>
      </c>
      <c r="O111" s="115" t="s">
        <v>163</v>
      </c>
      <c r="P111" s="45" t="s">
        <v>1161</v>
      </c>
      <c r="Q111" s="44"/>
    </row>
    <row r="112" ht="39.75" customHeight="1">
      <c r="A112" s="94" t="s">
        <v>1166</v>
      </c>
      <c r="B112" s="96" t="s">
        <v>71</v>
      </c>
      <c r="C112" s="94" t="s">
        <v>334</v>
      </c>
      <c r="D112" s="97">
        <v>3.0</v>
      </c>
      <c r="E112" s="97" t="s">
        <v>1417</v>
      </c>
      <c r="F112" s="97" t="s">
        <v>148</v>
      </c>
      <c r="G112" s="97" t="s">
        <v>149</v>
      </c>
      <c r="H112" s="97" t="s">
        <v>151</v>
      </c>
      <c r="I112" s="96"/>
      <c r="J112" s="100" t="s">
        <v>1399</v>
      </c>
      <c r="K112" s="101" t="s">
        <v>1400</v>
      </c>
      <c r="L112" s="149"/>
      <c r="M112" s="149"/>
      <c r="N112" s="157" t="s">
        <v>447</v>
      </c>
      <c r="O112" s="124" t="s">
        <v>198</v>
      </c>
      <c r="P112" s="159"/>
      <c r="Q112" s="107" t="s">
        <v>448</v>
      </c>
    </row>
    <row r="113" ht="39.75" customHeight="1">
      <c r="A113" s="73" t="s">
        <v>1173</v>
      </c>
      <c r="B113" s="75" t="s">
        <v>71</v>
      </c>
      <c r="C113" s="73" t="s">
        <v>334</v>
      </c>
      <c r="D113" s="77">
        <v>3.0</v>
      </c>
      <c r="E113" s="77" t="s">
        <v>1417</v>
      </c>
      <c r="F113" s="77" t="s">
        <v>148</v>
      </c>
      <c r="G113" s="77" t="s">
        <v>149</v>
      </c>
      <c r="H113" s="77" t="s">
        <v>151</v>
      </c>
      <c r="I113" s="75"/>
      <c r="J113" s="81" t="s">
        <v>1399</v>
      </c>
      <c r="K113" s="45" t="s">
        <v>1400</v>
      </c>
      <c r="L113" s="149"/>
      <c r="M113" s="149"/>
      <c r="N113" s="157" t="s">
        <v>447</v>
      </c>
      <c r="O113" s="115" t="s">
        <v>198</v>
      </c>
      <c r="P113" s="151"/>
      <c r="Q113" s="44" t="s">
        <v>448</v>
      </c>
    </row>
    <row r="114" ht="39.75" customHeight="1">
      <c r="A114" s="94" t="s">
        <v>1223</v>
      </c>
      <c r="B114" s="96" t="s">
        <v>71</v>
      </c>
      <c r="C114" s="94" t="s">
        <v>334</v>
      </c>
      <c r="D114" s="97">
        <v>3.0</v>
      </c>
      <c r="E114" s="97" t="s">
        <v>1417</v>
      </c>
      <c r="F114" s="97" t="s">
        <v>148</v>
      </c>
      <c r="G114" s="97" t="s">
        <v>149</v>
      </c>
      <c r="H114" s="97" t="s">
        <v>151</v>
      </c>
      <c r="I114" s="96"/>
      <c r="J114" s="100" t="s">
        <v>1399</v>
      </c>
      <c r="K114" s="101" t="s">
        <v>1400</v>
      </c>
      <c r="L114" s="149"/>
      <c r="M114" s="149"/>
      <c r="N114" s="157" t="s">
        <v>447</v>
      </c>
      <c r="O114" s="124" t="s">
        <v>198</v>
      </c>
      <c r="P114" s="159"/>
      <c r="Q114" s="107" t="s">
        <v>448</v>
      </c>
    </row>
    <row r="115" ht="39.75" customHeight="1">
      <c r="A115" s="73" t="s">
        <v>1239</v>
      </c>
      <c r="B115" s="75" t="s">
        <v>71</v>
      </c>
      <c r="C115" s="73" t="s">
        <v>334</v>
      </c>
      <c r="D115" s="77">
        <v>3.0</v>
      </c>
      <c r="E115" s="77" t="s">
        <v>1417</v>
      </c>
      <c r="F115" s="77" t="s">
        <v>148</v>
      </c>
      <c r="G115" s="77" t="s">
        <v>149</v>
      </c>
      <c r="H115" s="158" t="s">
        <v>466</v>
      </c>
      <c r="I115" s="75"/>
      <c r="J115" s="81" t="s">
        <v>1399</v>
      </c>
      <c r="K115" s="45" t="s">
        <v>1400</v>
      </c>
      <c r="L115" s="127" t="s">
        <v>64</v>
      </c>
      <c r="M115" s="62" t="s">
        <v>92</v>
      </c>
      <c r="N115" s="43" t="s">
        <v>55</v>
      </c>
      <c r="O115" s="59" t="s">
        <v>187</v>
      </c>
      <c r="P115" s="45" t="s">
        <v>1157</v>
      </c>
      <c r="Q115" s="44" t="s">
        <v>1240</v>
      </c>
    </row>
    <row r="116" ht="39.75" customHeight="1">
      <c r="A116" s="94" t="s">
        <v>1251</v>
      </c>
      <c r="B116" s="96" t="s">
        <v>71</v>
      </c>
      <c r="C116" s="94" t="s">
        <v>334</v>
      </c>
      <c r="D116" s="97">
        <v>3.0</v>
      </c>
      <c r="E116" s="97" t="s">
        <v>1417</v>
      </c>
      <c r="F116" s="97" t="s">
        <v>148</v>
      </c>
      <c r="G116" s="97" t="s">
        <v>149</v>
      </c>
      <c r="H116" s="97" t="s">
        <v>151</v>
      </c>
      <c r="I116" s="96"/>
      <c r="J116" s="100" t="s">
        <v>1399</v>
      </c>
      <c r="K116" s="101" t="s">
        <v>1400</v>
      </c>
      <c r="L116" s="149"/>
      <c r="M116" s="149"/>
      <c r="N116" s="157" t="s">
        <v>447</v>
      </c>
      <c r="O116" s="124" t="s">
        <v>198</v>
      </c>
      <c r="P116" s="159"/>
      <c r="Q116" s="107" t="s">
        <v>448</v>
      </c>
    </row>
    <row r="117" ht="39.75" customHeight="1">
      <c r="A117" s="73" t="s">
        <v>1031</v>
      </c>
      <c r="B117" s="75" t="s">
        <v>71</v>
      </c>
      <c r="C117" s="73" t="s">
        <v>334</v>
      </c>
      <c r="D117" s="77">
        <v>3.0</v>
      </c>
      <c r="E117" s="77" t="s">
        <v>1463</v>
      </c>
      <c r="F117" s="77" t="s">
        <v>148</v>
      </c>
      <c r="G117" s="77" t="s">
        <v>149</v>
      </c>
      <c r="H117" s="77" t="s">
        <v>151</v>
      </c>
      <c r="I117" s="75"/>
      <c r="J117" s="81" t="s">
        <v>1399</v>
      </c>
      <c r="K117" s="45" t="s">
        <v>1400</v>
      </c>
      <c r="L117" s="149"/>
      <c r="M117" s="149"/>
      <c r="N117" s="157" t="s">
        <v>447</v>
      </c>
      <c r="O117" s="115" t="s">
        <v>198</v>
      </c>
      <c r="P117" s="151"/>
      <c r="Q117" s="44" t="s">
        <v>448</v>
      </c>
    </row>
    <row r="118" ht="39.75" customHeight="1">
      <c r="A118" s="94" t="s">
        <v>1067</v>
      </c>
      <c r="B118" s="96" t="s">
        <v>71</v>
      </c>
      <c r="C118" s="94" t="s">
        <v>334</v>
      </c>
      <c r="D118" s="97">
        <v>3.0</v>
      </c>
      <c r="E118" s="97" t="s">
        <v>1463</v>
      </c>
      <c r="F118" s="97" t="s">
        <v>148</v>
      </c>
      <c r="G118" s="97" t="s">
        <v>149</v>
      </c>
      <c r="H118" s="97" t="s">
        <v>151</v>
      </c>
      <c r="I118" s="96"/>
      <c r="J118" s="100" t="s">
        <v>1399</v>
      </c>
      <c r="K118" s="101" t="s">
        <v>1400</v>
      </c>
      <c r="L118" s="149"/>
      <c r="M118" s="149"/>
      <c r="N118" s="157" t="s">
        <v>447</v>
      </c>
      <c r="O118" s="124" t="s">
        <v>198</v>
      </c>
      <c r="P118" s="159"/>
      <c r="Q118" s="107" t="s">
        <v>448</v>
      </c>
    </row>
    <row r="119" ht="39.75" customHeight="1">
      <c r="A119" s="73" t="s">
        <v>1084</v>
      </c>
      <c r="B119" s="75" t="s">
        <v>71</v>
      </c>
      <c r="C119" s="73" t="s">
        <v>334</v>
      </c>
      <c r="D119" s="77">
        <v>3.0</v>
      </c>
      <c r="E119" s="77" t="s">
        <v>1463</v>
      </c>
      <c r="F119" s="77" t="s">
        <v>148</v>
      </c>
      <c r="G119" s="77" t="s">
        <v>149</v>
      </c>
      <c r="H119" s="77" t="s">
        <v>151</v>
      </c>
      <c r="I119" s="75"/>
      <c r="J119" s="81" t="s">
        <v>1399</v>
      </c>
      <c r="K119" s="45" t="s">
        <v>1400</v>
      </c>
      <c r="L119" s="149"/>
      <c r="M119" s="149"/>
      <c r="N119" s="157" t="s">
        <v>447</v>
      </c>
      <c r="O119" s="115" t="s">
        <v>198</v>
      </c>
      <c r="P119" s="151"/>
      <c r="Q119" s="44" t="s">
        <v>448</v>
      </c>
    </row>
    <row r="120" ht="39.75" customHeight="1">
      <c r="A120" s="94" t="s">
        <v>1124</v>
      </c>
      <c r="B120" s="96" t="s">
        <v>71</v>
      </c>
      <c r="C120" s="94" t="s">
        <v>334</v>
      </c>
      <c r="D120" s="97">
        <v>3.0</v>
      </c>
      <c r="E120" s="97" t="s">
        <v>1463</v>
      </c>
      <c r="F120" s="97" t="s">
        <v>148</v>
      </c>
      <c r="G120" s="97" t="s">
        <v>149</v>
      </c>
      <c r="H120" s="97" t="s">
        <v>151</v>
      </c>
      <c r="I120" s="96"/>
      <c r="J120" s="100" t="s">
        <v>1399</v>
      </c>
      <c r="K120" s="101" t="s">
        <v>1400</v>
      </c>
      <c r="L120" s="149"/>
      <c r="M120" s="149"/>
      <c r="N120" s="157" t="s">
        <v>447</v>
      </c>
      <c r="O120" s="124" t="s">
        <v>198</v>
      </c>
      <c r="P120" s="159"/>
      <c r="Q120" s="107" t="s">
        <v>448</v>
      </c>
    </row>
    <row r="121" ht="39.75" customHeight="1">
      <c r="A121" s="73" t="s">
        <v>1154</v>
      </c>
      <c r="B121" s="75" t="s">
        <v>71</v>
      </c>
      <c r="C121" s="73" t="s">
        <v>334</v>
      </c>
      <c r="D121" s="77">
        <v>3.0</v>
      </c>
      <c r="E121" s="77" t="s">
        <v>1463</v>
      </c>
      <c r="F121" s="77" t="s">
        <v>148</v>
      </c>
      <c r="G121" s="77" t="s">
        <v>149</v>
      </c>
      <c r="H121" s="77" t="s">
        <v>151</v>
      </c>
      <c r="I121" s="75"/>
      <c r="J121" s="81" t="s">
        <v>1399</v>
      </c>
      <c r="K121" s="45" t="s">
        <v>1400</v>
      </c>
      <c r="L121" s="149"/>
      <c r="M121" s="149"/>
      <c r="N121" s="157" t="s">
        <v>447</v>
      </c>
      <c r="O121" s="115" t="s">
        <v>198</v>
      </c>
      <c r="P121" s="151"/>
      <c r="Q121" s="44" t="s">
        <v>448</v>
      </c>
    </row>
    <row r="122" ht="39.75" customHeight="1">
      <c r="A122" s="94" t="s">
        <v>1164</v>
      </c>
      <c r="B122" s="96" t="s">
        <v>71</v>
      </c>
      <c r="C122" s="94" t="s">
        <v>334</v>
      </c>
      <c r="D122" s="97">
        <v>3.0</v>
      </c>
      <c r="E122" s="97" t="s">
        <v>1463</v>
      </c>
      <c r="F122" s="97" t="s">
        <v>148</v>
      </c>
      <c r="G122" s="97" t="s">
        <v>149</v>
      </c>
      <c r="H122" s="97" t="s">
        <v>151</v>
      </c>
      <c r="I122" s="96"/>
      <c r="J122" s="100" t="s">
        <v>1399</v>
      </c>
      <c r="K122" s="101" t="s">
        <v>1400</v>
      </c>
      <c r="L122" s="149"/>
      <c r="M122" s="149"/>
      <c r="N122" s="157" t="s">
        <v>447</v>
      </c>
      <c r="O122" s="124" t="s">
        <v>198</v>
      </c>
      <c r="P122" s="159"/>
      <c r="Q122" s="107" t="s">
        <v>448</v>
      </c>
    </row>
    <row r="123" ht="39.75" customHeight="1">
      <c r="A123" s="73" t="s">
        <v>1180</v>
      </c>
      <c r="B123" s="75" t="s">
        <v>71</v>
      </c>
      <c r="C123" s="73" t="s">
        <v>334</v>
      </c>
      <c r="D123" s="77">
        <v>3.0</v>
      </c>
      <c r="E123" s="77" t="s">
        <v>1463</v>
      </c>
      <c r="F123" s="77" t="s">
        <v>148</v>
      </c>
      <c r="G123" s="77" t="s">
        <v>149</v>
      </c>
      <c r="H123" s="158" t="s">
        <v>466</v>
      </c>
      <c r="I123" s="75"/>
      <c r="J123" s="81" t="s">
        <v>1399</v>
      </c>
      <c r="K123" s="45" t="s">
        <v>1400</v>
      </c>
      <c r="L123" s="127" t="s">
        <v>64</v>
      </c>
      <c r="M123" s="152" t="s">
        <v>218</v>
      </c>
      <c r="N123" s="43" t="s">
        <v>55</v>
      </c>
      <c r="O123" s="59" t="s">
        <v>187</v>
      </c>
      <c r="P123" s="45" t="s">
        <v>1178</v>
      </c>
      <c r="Q123" s="44" t="s">
        <v>1181</v>
      </c>
    </row>
    <row r="124" ht="39.75" customHeight="1">
      <c r="A124" s="94" t="s">
        <v>1187</v>
      </c>
      <c r="B124" s="96" t="s">
        <v>71</v>
      </c>
      <c r="C124" s="94" t="s">
        <v>334</v>
      </c>
      <c r="D124" s="97">
        <v>3.0</v>
      </c>
      <c r="E124" s="97" t="s">
        <v>1463</v>
      </c>
      <c r="F124" s="97" t="s">
        <v>148</v>
      </c>
      <c r="G124" s="97" t="s">
        <v>149</v>
      </c>
      <c r="H124" s="97" t="s">
        <v>151</v>
      </c>
      <c r="I124" s="96"/>
      <c r="J124" s="100" t="s">
        <v>1399</v>
      </c>
      <c r="K124" s="101" t="s">
        <v>1400</v>
      </c>
      <c r="L124" s="149"/>
      <c r="M124" s="149"/>
      <c r="N124" s="157" t="s">
        <v>447</v>
      </c>
      <c r="O124" s="124" t="s">
        <v>198</v>
      </c>
      <c r="P124" s="159"/>
      <c r="Q124" s="107" t="s">
        <v>448</v>
      </c>
    </row>
    <row r="125" ht="39.75" customHeight="1">
      <c r="A125" s="73" t="s">
        <v>1214</v>
      </c>
      <c r="B125" s="75" t="s">
        <v>71</v>
      </c>
      <c r="C125" s="73" t="s">
        <v>334</v>
      </c>
      <c r="D125" s="77">
        <v>3.0</v>
      </c>
      <c r="E125" s="77" t="s">
        <v>1463</v>
      </c>
      <c r="F125" s="77" t="s">
        <v>148</v>
      </c>
      <c r="G125" s="77" t="s">
        <v>149</v>
      </c>
      <c r="H125" s="77" t="s">
        <v>151</v>
      </c>
      <c r="I125" s="75"/>
      <c r="J125" s="81" t="s">
        <v>1399</v>
      </c>
      <c r="K125" s="45" t="s">
        <v>1400</v>
      </c>
      <c r="L125" s="149"/>
      <c r="M125" s="149"/>
      <c r="N125" s="157" t="s">
        <v>447</v>
      </c>
      <c r="O125" s="115" t="s">
        <v>198</v>
      </c>
      <c r="P125" s="151"/>
      <c r="Q125" s="44" t="s">
        <v>448</v>
      </c>
    </row>
    <row r="126" ht="31.5" customHeight="1">
      <c r="A126" s="94" t="s">
        <v>1219</v>
      </c>
      <c r="B126" s="96" t="s">
        <v>71</v>
      </c>
      <c r="C126" s="94" t="s">
        <v>334</v>
      </c>
      <c r="D126" s="97">
        <v>3.0</v>
      </c>
      <c r="E126" s="97" t="s">
        <v>1463</v>
      </c>
      <c r="F126" s="97" t="s">
        <v>148</v>
      </c>
      <c r="G126" s="97" t="s">
        <v>149</v>
      </c>
      <c r="H126" s="97" t="s">
        <v>151</v>
      </c>
      <c r="I126" s="96"/>
      <c r="J126" s="100" t="s">
        <v>1399</v>
      </c>
      <c r="K126" s="101" t="s">
        <v>1400</v>
      </c>
      <c r="L126" s="127" t="s">
        <v>64</v>
      </c>
      <c r="M126" s="86" t="s">
        <v>164</v>
      </c>
      <c r="N126" s="43" t="s">
        <v>55</v>
      </c>
      <c r="O126" s="124" t="s">
        <v>163</v>
      </c>
      <c r="P126" s="101" t="s">
        <v>1222</v>
      </c>
      <c r="Q126" s="107"/>
    </row>
    <row r="127" ht="39.75" customHeight="1">
      <c r="A127" s="73" t="s">
        <v>1233</v>
      </c>
      <c r="B127" s="75" t="s">
        <v>71</v>
      </c>
      <c r="C127" s="73" t="s">
        <v>334</v>
      </c>
      <c r="D127" s="77">
        <v>3.0</v>
      </c>
      <c r="E127" s="77" t="s">
        <v>1463</v>
      </c>
      <c r="F127" s="77" t="s">
        <v>148</v>
      </c>
      <c r="G127" s="77" t="s">
        <v>149</v>
      </c>
      <c r="H127" s="77" t="s">
        <v>151</v>
      </c>
      <c r="I127" s="75"/>
      <c r="J127" s="81" t="s">
        <v>1399</v>
      </c>
      <c r="K127" s="45" t="s">
        <v>1400</v>
      </c>
      <c r="L127" s="149"/>
      <c r="M127" s="149"/>
      <c r="N127" s="157" t="s">
        <v>447</v>
      </c>
      <c r="O127" s="115" t="s">
        <v>198</v>
      </c>
      <c r="P127" s="151"/>
      <c r="Q127" s="44" t="s">
        <v>448</v>
      </c>
    </row>
    <row r="128" ht="39.75" customHeight="1">
      <c r="A128" s="94" t="s">
        <v>1244</v>
      </c>
      <c r="B128" s="96" t="s">
        <v>71</v>
      </c>
      <c r="C128" s="94" t="s">
        <v>334</v>
      </c>
      <c r="D128" s="97">
        <v>3.0</v>
      </c>
      <c r="E128" s="97" t="s">
        <v>1463</v>
      </c>
      <c r="F128" s="97" t="s">
        <v>148</v>
      </c>
      <c r="G128" s="97" t="s">
        <v>149</v>
      </c>
      <c r="H128" s="97" t="s">
        <v>151</v>
      </c>
      <c r="I128" s="96"/>
      <c r="J128" s="100" t="s">
        <v>1399</v>
      </c>
      <c r="K128" s="101" t="s">
        <v>1400</v>
      </c>
      <c r="L128" s="149"/>
      <c r="M128" s="149"/>
      <c r="N128" s="157" t="s">
        <v>447</v>
      </c>
      <c r="O128" s="124" t="s">
        <v>198</v>
      </c>
      <c r="P128" s="159"/>
      <c r="Q128" s="107" t="s">
        <v>448</v>
      </c>
    </row>
    <row r="129" ht="39.75" customHeight="1">
      <c r="A129" s="73" t="s">
        <v>999</v>
      </c>
      <c r="B129" s="75" t="s">
        <v>71</v>
      </c>
      <c r="C129" s="73" t="s">
        <v>334</v>
      </c>
      <c r="D129" s="77">
        <v>3.0</v>
      </c>
      <c r="E129" s="77" t="s">
        <v>1503</v>
      </c>
      <c r="F129" s="77" t="s">
        <v>148</v>
      </c>
      <c r="G129" s="77" t="s">
        <v>149</v>
      </c>
      <c r="H129" s="77" t="s">
        <v>151</v>
      </c>
      <c r="I129" s="75"/>
      <c r="J129" s="81" t="s">
        <v>1399</v>
      </c>
      <c r="K129" s="45" t="s">
        <v>1400</v>
      </c>
      <c r="L129" s="149"/>
      <c r="M129" s="149"/>
      <c r="N129" s="157" t="s">
        <v>447</v>
      </c>
      <c r="O129" s="115" t="s">
        <v>198</v>
      </c>
      <c r="P129" s="151"/>
      <c r="Q129" s="44" t="s">
        <v>448</v>
      </c>
    </row>
    <row r="130" ht="39.75" customHeight="1">
      <c r="A130" s="94" t="s">
        <v>1017</v>
      </c>
      <c r="B130" s="96" t="s">
        <v>71</v>
      </c>
      <c r="C130" s="94" t="s">
        <v>334</v>
      </c>
      <c r="D130" s="97">
        <v>3.0</v>
      </c>
      <c r="E130" s="97" t="s">
        <v>1503</v>
      </c>
      <c r="F130" s="97" t="s">
        <v>148</v>
      </c>
      <c r="G130" s="97" t="s">
        <v>149</v>
      </c>
      <c r="H130" s="97" t="s">
        <v>151</v>
      </c>
      <c r="I130" s="96"/>
      <c r="J130" s="100" t="s">
        <v>1399</v>
      </c>
      <c r="K130" s="101" t="s">
        <v>1400</v>
      </c>
      <c r="L130" s="149"/>
      <c r="M130" s="149"/>
      <c r="N130" s="157" t="s">
        <v>447</v>
      </c>
      <c r="O130" s="124" t="s">
        <v>198</v>
      </c>
      <c r="P130" s="159"/>
      <c r="Q130" s="107" t="s">
        <v>448</v>
      </c>
    </row>
    <row r="131" ht="39.75" customHeight="1">
      <c r="A131" s="73" t="s">
        <v>1040</v>
      </c>
      <c r="B131" s="75" t="s">
        <v>71</v>
      </c>
      <c r="C131" s="73" t="s">
        <v>334</v>
      </c>
      <c r="D131" s="77">
        <v>3.0</v>
      </c>
      <c r="E131" s="77" t="s">
        <v>1503</v>
      </c>
      <c r="F131" s="77" t="s">
        <v>148</v>
      </c>
      <c r="G131" s="77" t="s">
        <v>149</v>
      </c>
      <c r="H131" s="77" t="s">
        <v>151</v>
      </c>
      <c r="I131" s="75"/>
      <c r="J131" s="81" t="s">
        <v>1399</v>
      </c>
      <c r="K131" s="45" t="s">
        <v>1400</v>
      </c>
      <c r="L131" s="149"/>
      <c r="M131" s="149"/>
      <c r="N131" s="157" t="s">
        <v>447</v>
      </c>
      <c r="O131" s="115" t="s">
        <v>198</v>
      </c>
      <c r="P131" s="151"/>
      <c r="Q131" s="44" t="s">
        <v>448</v>
      </c>
    </row>
    <row r="132" ht="39.75" customHeight="1">
      <c r="A132" s="94" t="s">
        <v>1073</v>
      </c>
      <c r="B132" s="96" t="s">
        <v>71</v>
      </c>
      <c r="C132" s="94" t="s">
        <v>334</v>
      </c>
      <c r="D132" s="97">
        <v>3.0</v>
      </c>
      <c r="E132" s="97" t="s">
        <v>1503</v>
      </c>
      <c r="F132" s="97" t="s">
        <v>148</v>
      </c>
      <c r="G132" s="97" t="s">
        <v>149</v>
      </c>
      <c r="H132" s="97" t="s">
        <v>151</v>
      </c>
      <c r="I132" s="96"/>
      <c r="J132" s="100" t="s">
        <v>1399</v>
      </c>
      <c r="K132" s="101" t="s">
        <v>1400</v>
      </c>
      <c r="L132" s="149"/>
      <c r="M132" s="149"/>
      <c r="N132" s="157" t="s">
        <v>447</v>
      </c>
      <c r="O132" s="124" t="s">
        <v>198</v>
      </c>
      <c r="P132" s="159"/>
      <c r="Q132" s="107" t="s">
        <v>448</v>
      </c>
    </row>
    <row r="133" ht="39.75" customHeight="1">
      <c r="A133" s="73" t="s">
        <v>1148</v>
      </c>
      <c r="B133" s="75" t="s">
        <v>71</v>
      </c>
      <c r="C133" s="73" t="s">
        <v>334</v>
      </c>
      <c r="D133" s="77">
        <v>3.0</v>
      </c>
      <c r="E133" s="77" t="s">
        <v>1503</v>
      </c>
      <c r="F133" s="77" t="s">
        <v>148</v>
      </c>
      <c r="G133" s="77" t="s">
        <v>149</v>
      </c>
      <c r="H133" s="77" t="s">
        <v>151</v>
      </c>
      <c r="I133" s="75"/>
      <c r="J133" s="81" t="s">
        <v>1399</v>
      </c>
      <c r="K133" s="45" t="s">
        <v>1400</v>
      </c>
      <c r="L133" s="149"/>
      <c r="M133" s="149"/>
      <c r="N133" s="157" t="s">
        <v>447</v>
      </c>
      <c r="O133" s="115" t="s">
        <v>198</v>
      </c>
      <c r="P133" s="151"/>
      <c r="Q133" s="44" t="s">
        <v>448</v>
      </c>
    </row>
    <row r="134" ht="39.75" customHeight="1">
      <c r="A134" s="94" t="s">
        <v>1156</v>
      </c>
      <c r="B134" s="96" t="s">
        <v>71</v>
      </c>
      <c r="C134" s="94" t="s">
        <v>334</v>
      </c>
      <c r="D134" s="97">
        <v>3.0</v>
      </c>
      <c r="E134" s="97" t="s">
        <v>1503</v>
      </c>
      <c r="F134" s="97" t="s">
        <v>148</v>
      </c>
      <c r="G134" s="97" t="s">
        <v>149</v>
      </c>
      <c r="H134" s="97" t="s">
        <v>151</v>
      </c>
      <c r="I134" s="96"/>
      <c r="J134" s="100" t="s">
        <v>1399</v>
      </c>
      <c r="K134" s="101" t="s">
        <v>1400</v>
      </c>
      <c r="L134" s="149"/>
      <c r="M134" s="149"/>
      <c r="N134" s="157" t="s">
        <v>447</v>
      </c>
      <c r="O134" s="124" t="s">
        <v>198</v>
      </c>
      <c r="P134" s="159"/>
      <c r="Q134" s="107" t="s">
        <v>448</v>
      </c>
    </row>
    <row r="135" ht="39.75" customHeight="1">
      <c r="A135" s="73" t="s">
        <v>1199</v>
      </c>
      <c r="B135" s="75" t="s">
        <v>71</v>
      </c>
      <c r="C135" s="73" t="s">
        <v>334</v>
      </c>
      <c r="D135" s="77">
        <v>3.0</v>
      </c>
      <c r="E135" s="77" t="s">
        <v>1503</v>
      </c>
      <c r="F135" s="77" t="s">
        <v>148</v>
      </c>
      <c r="G135" s="77" t="s">
        <v>149</v>
      </c>
      <c r="H135" s="77" t="s">
        <v>151</v>
      </c>
      <c r="I135" s="75"/>
      <c r="J135" s="81" t="s">
        <v>1399</v>
      </c>
      <c r="K135" s="45" t="s">
        <v>1400</v>
      </c>
      <c r="L135" s="149"/>
      <c r="M135" s="149"/>
      <c r="N135" s="157" t="s">
        <v>447</v>
      </c>
      <c r="O135" s="115" t="s">
        <v>198</v>
      </c>
      <c r="P135" s="151"/>
      <c r="Q135" s="44" t="s">
        <v>448</v>
      </c>
    </row>
    <row r="136" ht="39.75" customHeight="1">
      <c r="A136" s="94" t="s">
        <v>1210</v>
      </c>
      <c r="B136" s="96" t="s">
        <v>71</v>
      </c>
      <c r="C136" s="94" t="s">
        <v>334</v>
      </c>
      <c r="D136" s="97">
        <v>3.0</v>
      </c>
      <c r="E136" s="97" t="s">
        <v>1503</v>
      </c>
      <c r="F136" s="97" t="s">
        <v>148</v>
      </c>
      <c r="G136" s="97" t="s">
        <v>149</v>
      </c>
      <c r="H136" s="97" t="s">
        <v>151</v>
      </c>
      <c r="I136" s="96"/>
      <c r="J136" s="100" t="s">
        <v>1399</v>
      </c>
      <c r="K136" s="101" t="s">
        <v>1400</v>
      </c>
      <c r="L136" s="149"/>
      <c r="M136" s="149"/>
      <c r="N136" s="157" t="s">
        <v>447</v>
      </c>
      <c r="O136" s="124" t="s">
        <v>198</v>
      </c>
      <c r="P136" s="159"/>
      <c r="Q136" s="107" t="s">
        <v>448</v>
      </c>
    </row>
    <row r="137" ht="39.75" customHeight="1">
      <c r="A137" s="73" t="s">
        <v>1216</v>
      </c>
      <c r="B137" s="75" t="s">
        <v>71</v>
      </c>
      <c r="C137" s="73" t="s">
        <v>334</v>
      </c>
      <c r="D137" s="77">
        <v>3.0</v>
      </c>
      <c r="E137" s="77" t="s">
        <v>1503</v>
      </c>
      <c r="F137" s="77" t="s">
        <v>148</v>
      </c>
      <c r="G137" s="77" t="s">
        <v>149</v>
      </c>
      <c r="H137" s="77" t="s">
        <v>151</v>
      </c>
      <c r="I137" s="75"/>
      <c r="J137" s="81" t="s">
        <v>1399</v>
      </c>
      <c r="K137" s="45" t="s">
        <v>1400</v>
      </c>
      <c r="L137" s="149"/>
      <c r="M137" s="149"/>
      <c r="N137" s="157" t="s">
        <v>447</v>
      </c>
      <c r="O137" s="115" t="s">
        <v>198</v>
      </c>
      <c r="P137" s="151"/>
      <c r="Q137" s="44" t="s">
        <v>448</v>
      </c>
    </row>
    <row r="138" ht="31.5" customHeight="1">
      <c r="A138" s="94" t="s">
        <v>1226</v>
      </c>
      <c r="B138" s="96" t="s">
        <v>71</v>
      </c>
      <c r="C138" s="94" t="s">
        <v>334</v>
      </c>
      <c r="D138" s="97">
        <v>3.0</v>
      </c>
      <c r="E138" s="97" t="s">
        <v>1503</v>
      </c>
      <c r="F138" s="97" t="s">
        <v>148</v>
      </c>
      <c r="G138" s="97" t="s">
        <v>149</v>
      </c>
      <c r="H138" s="97" t="s">
        <v>151</v>
      </c>
      <c r="I138" s="96"/>
      <c r="J138" s="100" t="s">
        <v>1399</v>
      </c>
      <c r="K138" s="101" t="s">
        <v>1400</v>
      </c>
      <c r="L138" s="127" t="s">
        <v>64</v>
      </c>
      <c r="M138" s="62" t="s">
        <v>92</v>
      </c>
      <c r="N138" s="43" t="s">
        <v>55</v>
      </c>
      <c r="O138" s="124" t="s">
        <v>163</v>
      </c>
      <c r="P138" s="101" t="s">
        <v>1228</v>
      </c>
      <c r="Q138" s="107"/>
    </row>
    <row r="139" ht="39.75" customHeight="1">
      <c r="A139" s="73" t="s">
        <v>1234</v>
      </c>
      <c r="B139" s="75" t="s">
        <v>71</v>
      </c>
      <c r="C139" s="73" t="s">
        <v>334</v>
      </c>
      <c r="D139" s="77">
        <v>3.0</v>
      </c>
      <c r="E139" s="77" t="s">
        <v>1503</v>
      </c>
      <c r="F139" s="77" t="s">
        <v>148</v>
      </c>
      <c r="G139" s="77" t="s">
        <v>149</v>
      </c>
      <c r="H139" s="77" t="s">
        <v>151</v>
      </c>
      <c r="I139" s="75"/>
      <c r="J139" s="81" t="s">
        <v>1399</v>
      </c>
      <c r="K139" s="45" t="s">
        <v>1400</v>
      </c>
      <c r="L139" s="149"/>
      <c r="M139" s="149"/>
      <c r="N139" s="157" t="s">
        <v>447</v>
      </c>
      <c r="O139" s="115" t="s">
        <v>198</v>
      </c>
      <c r="P139" s="151"/>
      <c r="Q139" s="44" t="s">
        <v>448</v>
      </c>
    </row>
    <row r="140" ht="39.75" customHeight="1">
      <c r="A140" s="94" t="s">
        <v>1245</v>
      </c>
      <c r="B140" s="96" t="s">
        <v>71</v>
      </c>
      <c r="C140" s="94" t="s">
        <v>334</v>
      </c>
      <c r="D140" s="97">
        <v>3.0</v>
      </c>
      <c r="E140" s="97" t="s">
        <v>1503</v>
      </c>
      <c r="F140" s="97" t="s">
        <v>148</v>
      </c>
      <c r="G140" s="97" t="s">
        <v>149</v>
      </c>
      <c r="H140" s="97" t="s">
        <v>151</v>
      </c>
      <c r="I140" s="96"/>
      <c r="J140" s="100" t="s">
        <v>1399</v>
      </c>
      <c r="K140" s="101" t="s">
        <v>1400</v>
      </c>
      <c r="L140" s="149"/>
      <c r="M140" s="149"/>
      <c r="N140" s="157" t="s">
        <v>447</v>
      </c>
      <c r="O140" s="124" t="s">
        <v>198</v>
      </c>
      <c r="P140" s="159"/>
      <c r="Q140" s="107" t="s">
        <v>448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0D2960A6-3EAB-4FCB-9A3A-2302C6BF05EF}" filter="1" showAutoFilter="1">
      <autoFilter ref="$A$6:$Q$140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22" ref="J7"/>
    <hyperlink r:id="rId5" ref="K7"/>
    <hyperlink r:id="rId6" location="'Club Colours'!A384" ref="L7"/>
    <hyperlink r:id="rId7" ref="P7"/>
    <hyperlink r:id="rId8" location="'Sources'!A22" ref="J8"/>
    <hyperlink r:id="rId9" ref="K8"/>
    <hyperlink r:id="rId10" location="'Club Colours'!A389" ref="L8"/>
    <hyperlink r:id="rId11" ref="P8"/>
    <hyperlink r:id="rId12" location="'Sources'!A22" ref="J9"/>
    <hyperlink r:id="rId13" ref="K9"/>
    <hyperlink r:id="rId14" location="'Club Colours'!A401" ref="L9"/>
    <hyperlink r:id="rId15" ref="P9"/>
    <hyperlink r:id="rId16" location="'Sources'!A22" ref="J10"/>
    <hyperlink r:id="rId17" ref="K10"/>
    <hyperlink r:id="rId18" location="'Club Colours'!A417" ref="L10"/>
    <hyperlink r:id="rId19" ref="P10"/>
    <hyperlink r:id="rId20" location="'Sources'!A22" ref="J11"/>
    <hyperlink r:id="rId21" ref="K11"/>
    <hyperlink r:id="rId22" location="'Club Colours'!A421" ref="L11"/>
    <hyperlink r:id="rId23" ref="P11"/>
    <hyperlink r:id="rId24" location="'Sources'!A22" ref="J12"/>
    <hyperlink r:id="rId25" ref="K12"/>
    <hyperlink r:id="rId26" location="'Club Colours'!A422" ref="L12"/>
    <hyperlink r:id="rId27" ref="P12"/>
    <hyperlink r:id="rId28" location="'Sources'!A22" ref="J13"/>
    <hyperlink r:id="rId29" ref="K13"/>
    <hyperlink r:id="rId30" location="'Club Colours'!A426" ref="L13"/>
    <hyperlink r:id="rId31" ref="P13"/>
    <hyperlink r:id="rId32" location="'Sources'!A22" ref="J14"/>
    <hyperlink r:id="rId33" ref="K14"/>
    <hyperlink r:id="rId34" location="'Club Colours'!A429" ref="L14"/>
    <hyperlink r:id="rId35" ref="P14"/>
    <hyperlink r:id="rId36" location="'Sources'!A22" ref="J15"/>
    <hyperlink r:id="rId37" ref="K15"/>
    <hyperlink r:id="rId38" location="'Club Colours'!A431" ref="L15"/>
    <hyperlink r:id="rId39" ref="P15"/>
    <hyperlink r:id="rId40" location="'Sources'!A22" ref="J16"/>
    <hyperlink r:id="rId41" ref="K16"/>
    <hyperlink r:id="rId42" location="'Club Colours'!A455" ref="L16"/>
    <hyperlink r:id="rId43" ref="P16"/>
    <hyperlink r:id="rId44" location="'Sources'!A22" ref="J17"/>
    <hyperlink r:id="rId45" ref="K17"/>
    <hyperlink r:id="rId46" location="'Club Colours'!A459" ref="L17"/>
    <hyperlink r:id="rId47" ref="P17"/>
    <hyperlink r:id="rId48" location="'Sources'!A22" ref="J18"/>
    <hyperlink r:id="rId49" ref="K18"/>
    <hyperlink r:id="rId50" location="'Club Colours'!A468" ref="L18"/>
    <hyperlink r:id="rId51" ref="P18"/>
    <hyperlink r:id="rId52" location="'Sources'!A22" ref="J19"/>
    <hyperlink r:id="rId53" ref="K19"/>
    <hyperlink r:id="rId54" location="'Club Colours'!A473" ref="L19"/>
    <hyperlink r:id="rId55" ref="P19"/>
    <hyperlink r:id="rId56" location="'Sources'!A22" ref="J20"/>
    <hyperlink r:id="rId57" ref="K20"/>
    <hyperlink r:id="rId58" location="'Club Colours'!A489" ref="L20"/>
    <hyperlink r:id="rId59" ref="P20"/>
    <hyperlink r:id="rId60" location="'Sources'!A22" ref="J21"/>
    <hyperlink r:id="rId61" ref="K21"/>
    <hyperlink r:id="rId62" location="'Club Colours'!A490" ref="L21"/>
    <hyperlink r:id="rId63" ref="P21"/>
    <hyperlink r:id="rId64" location="'Sources'!A22" ref="J22"/>
    <hyperlink r:id="rId65" ref="K22"/>
    <hyperlink r:id="rId66" location="'Club Colours'!A493" ref="L22"/>
    <hyperlink r:id="rId67" ref="P22"/>
    <hyperlink r:id="rId68" location="'Sources'!A23" ref="J23"/>
    <hyperlink r:id="rId69" ref="K23"/>
    <hyperlink r:id="rId70" location="'Club Colours'!A376" ref="N23"/>
    <hyperlink r:id="rId71" location="'Sources'!A23" ref="J24"/>
    <hyperlink r:id="rId72" ref="K24"/>
    <hyperlink r:id="rId73" location="'Club Colours'!A382" ref="N24"/>
    <hyperlink r:id="rId74" location="'Sources'!A23" ref="J25"/>
    <hyperlink r:id="rId75" ref="K25"/>
    <hyperlink r:id="rId76" location="'Club Colours'!A385" ref="L25"/>
    <hyperlink r:id="rId77" ref="P25"/>
    <hyperlink r:id="rId78" location="'Sources'!A23" ref="J26"/>
    <hyperlink r:id="rId79" ref="K26"/>
    <hyperlink r:id="rId80" location="'Club Colours'!A387" ref="L26"/>
    <hyperlink r:id="rId81" ref="P26"/>
    <hyperlink r:id="rId82" location="'Sources'!A23" ref="J27"/>
    <hyperlink r:id="rId83" ref="K27"/>
    <hyperlink r:id="rId84" location="'Club Colours'!A391" ref="L27"/>
    <hyperlink r:id="rId85" ref="P27"/>
    <hyperlink r:id="rId86" location="'Sources'!A23" ref="J28"/>
    <hyperlink r:id="rId87" ref="K28"/>
    <hyperlink r:id="rId88" location="'Club Colours'!A394" ref="L28"/>
    <hyperlink r:id="rId89" ref="P28"/>
    <hyperlink r:id="rId90" location="'Sources'!A23" ref="J29"/>
    <hyperlink r:id="rId91" ref="K29"/>
    <hyperlink r:id="rId92" location="'Club Colours'!A399" ref="L29"/>
    <hyperlink r:id="rId93" ref="P29"/>
    <hyperlink r:id="rId94" location="'Sources'!A23" ref="J30"/>
    <hyperlink r:id="rId95" ref="K30"/>
    <hyperlink r:id="rId96" location="'Club Colours'!A400" ref="L30"/>
    <hyperlink r:id="rId97" ref="P30"/>
    <hyperlink r:id="rId98" location="'Sources'!A23" ref="J31"/>
    <hyperlink r:id="rId99" ref="K31"/>
    <hyperlink r:id="rId100" location="'Club Colours'!A402" ref="N31"/>
    <hyperlink r:id="rId101" location="'Sources'!A23" ref="J32"/>
    <hyperlink r:id="rId102" ref="K32"/>
    <hyperlink r:id="rId103" location="'Club Colours'!A407" ref="L32"/>
    <hyperlink r:id="rId104" ref="P32"/>
    <hyperlink r:id="rId105" location="'Sources'!A23" ref="J33"/>
    <hyperlink r:id="rId106" ref="K33"/>
    <hyperlink r:id="rId107" location="'Club Colours'!A410" ref="L33"/>
    <hyperlink r:id="rId108" ref="P33"/>
    <hyperlink r:id="rId109" location="'Sources'!A23" ref="J34"/>
    <hyperlink r:id="rId110" ref="K34"/>
    <hyperlink r:id="rId111" location="'Club Colours'!A423" ref="N34"/>
    <hyperlink r:id="rId112" location="'Sources'!A23" ref="J35"/>
    <hyperlink r:id="rId113" ref="K35"/>
    <hyperlink r:id="rId114" location="'Club Colours'!A425" ref="L35"/>
    <hyperlink r:id="rId115" ref="P35"/>
    <hyperlink r:id="rId116" location="'Sources'!A23" ref="J36"/>
    <hyperlink r:id="rId117" ref="K36"/>
    <hyperlink r:id="rId118" location="'Club Colours'!A435" ref="N36"/>
    <hyperlink r:id="rId119" location="'Sources'!A23" ref="J37"/>
    <hyperlink r:id="rId120" ref="K37"/>
    <hyperlink r:id="rId121" location="'Club Colours'!A437" ref="L37"/>
    <hyperlink r:id="rId122" ref="P37"/>
    <hyperlink r:id="rId123" location="'Sources'!A23" ref="J38"/>
    <hyperlink r:id="rId124" ref="K38"/>
    <hyperlink r:id="rId125" location="'Club Colours'!A444" ref="N38"/>
    <hyperlink r:id="rId126" location="'Sources'!A23" ref="J39"/>
    <hyperlink r:id="rId127" ref="K39"/>
    <hyperlink r:id="rId128" location="'Club Colours'!A445" ref="N39"/>
    <hyperlink r:id="rId129" location="'Sources'!A23" ref="J40"/>
    <hyperlink r:id="rId130" ref="K40"/>
    <hyperlink r:id="rId131" location="'Club Colours'!A460" ref="L40"/>
    <hyperlink r:id="rId132" ref="P40"/>
    <hyperlink r:id="rId133" location="'Sources'!A23" ref="J41"/>
    <hyperlink r:id="rId134" ref="K41"/>
    <hyperlink r:id="rId135" location="'Club Colours'!A470" ref="L41"/>
    <hyperlink r:id="rId136" ref="P41"/>
    <hyperlink r:id="rId137" location="'Sources'!A23" ref="J42"/>
    <hyperlink r:id="rId138" ref="K42"/>
    <hyperlink r:id="rId139" location="'Club Colours'!A471" ref="N42"/>
    <hyperlink r:id="rId140" location="'Sources'!A23" ref="J43"/>
    <hyperlink r:id="rId141" ref="K43"/>
    <hyperlink r:id="rId142" location="'Club Colours'!A476" ref="L43"/>
    <hyperlink r:id="rId143" ref="P43"/>
    <hyperlink r:id="rId144" location="'Sources'!A23" ref="J44"/>
    <hyperlink r:id="rId145" ref="K44"/>
    <hyperlink r:id="rId146" location="'Club Colours'!A486" ref="L44"/>
    <hyperlink r:id="rId147" ref="P44"/>
    <hyperlink r:id="rId148" location="'Sources'!A24" ref="J45"/>
    <hyperlink r:id="rId149" ref="K45"/>
    <hyperlink r:id="rId150" location="'Club Colours'!A371" ref="N45"/>
    <hyperlink r:id="rId151" location="'Sources'!A24" ref="J46"/>
    <hyperlink r:id="rId152" ref="K46"/>
    <hyperlink r:id="rId153" location="'Club Colours'!A373" ref="L46"/>
    <hyperlink r:id="rId154" ref="P46"/>
    <hyperlink r:id="rId155" location="'Sources'!A24" ref="J47"/>
    <hyperlink r:id="rId156" ref="K47"/>
    <hyperlink r:id="rId157" location="'Club Colours'!A374" ref="N47"/>
    <hyperlink r:id="rId158" location="'Sources'!A24" ref="J48"/>
    <hyperlink r:id="rId159" ref="K48"/>
    <hyperlink r:id="rId160" location="'Club Colours'!A379" ref="N48"/>
    <hyperlink r:id="rId161" location="'Sources'!A24" ref="J49"/>
    <hyperlink r:id="rId162" ref="K49"/>
    <hyperlink r:id="rId163" location="'Club Colours'!A381" ref="L49"/>
    <hyperlink r:id="rId164" ref="P49"/>
    <hyperlink r:id="rId165" location="'Sources'!A24" ref="J50"/>
    <hyperlink r:id="rId166" ref="K50"/>
    <hyperlink r:id="rId167" location="'Club Colours'!A396" ref="N50"/>
    <hyperlink r:id="rId168" location="'Sources'!A24" ref="J51"/>
    <hyperlink r:id="rId169" ref="K51"/>
    <hyperlink r:id="rId170" location="'Club Colours'!A403" ref="N51"/>
    <hyperlink r:id="rId171" location="'Sources'!A24" ref="J52"/>
    <hyperlink r:id="rId172" ref="K52"/>
    <hyperlink r:id="rId173" location="'Club Colours'!A406" ref="N52"/>
    <hyperlink r:id="rId174" location="'Sources'!A24" ref="J53"/>
    <hyperlink r:id="rId175" ref="K53"/>
    <hyperlink r:id="rId176" location="'Club Colours'!A413" ref="N53"/>
    <hyperlink r:id="rId177" location="'Sources'!A24" ref="J54"/>
    <hyperlink r:id="rId178" ref="K54"/>
    <hyperlink r:id="rId179" location="'Club Colours'!A424" ref="N54"/>
    <hyperlink r:id="rId180" location="'Sources'!A24" ref="J55"/>
    <hyperlink r:id="rId181" ref="K55"/>
    <hyperlink r:id="rId182" location="'Club Colours'!A442" ref="L55"/>
    <hyperlink r:id="rId183" ref="P55"/>
    <hyperlink r:id="rId184" location="'Sources'!A24" ref="J56"/>
    <hyperlink r:id="rId185" ref="K56"/>
    <hyperlink r:id="rId186" location="'Club Colours'!A497" ref="N56"/>
    <hyperlink r:id="rId187" location="'Sources'!A24" ref="J57"/>
    <hyperlink r:id="rId188" ref="K57"/>
    <hyperlink r:id="rId189" location="'Club Colours'!A370" ref="L57"/>
    <hyperlink r:id="rId190" ref="P57"/>
    <hyperlink r:id="rId191" location="'Sources'!A24" ref="J58"/>
    <hyperlink r:id="rId192" ref="K58"/>
    <hyperlink r:id="rId193" location="'Club Colours'!A380" ref="N58"/>
    <hyperlink r:id="rId194" location="'Sources'!A24" ref="J59"/>
    <hyperlink r:id="rId195" ref="K59"/>
    <hyperlink r:id="rId196" location="'Club Colours'!A388" ref="N59"/>
    <hyperlink r:id="rId197" location="'Sources'!A24" ref="J60"/>
    <hyperlink r:id="rId198" ref="K60"/>
    <hyperlink r:id="rId199" location="'Club Colours'!A411" ref="L60"/>
    <hyperlink r:id="rId200" ref="P60"/>
    <hyperlink r:id="rId201" location="'Sources'!A24" ref="J61"/>
    <hyperlink r:id="rId202" ref="K61"/>
    <hyperlink r:id="rId203" location="'Club Colours'!A414" ref="N61"/>
    <hyperlink r:id="rId204" location="'Sources'!A24" ref="J62"/>
    <hyperlink r:id="rId205" ref="K62"/>
    <hyperlink r:id="rId206" location="'Club Colours'!A439" ref="N62"/>
    <hyperlink r:id="rId207" location="'Sources'!A24" ref="J63"/>
    <hyperlink r:id="rId208" ref="K63"/>
    <hyperlink r:id="rId209" location="'Club Colours'!A441" ref="N63"/>
    <hyperlink r:id="rId210" location="'Sources'!A24" ref="J64"/>
    <hyperlink r:id="rId211" ref="K64"/>
    <hyperlink r:id="rId212" location="'Club Colours'!A449" ref="N64"/>
    <hyperlink r:id="rId213" location="'Sources'!A24" ref="J65"/>
    <hyperlink r:id="rId214" ref="K65"/>
    <hyperlink r:id="rId215" location="'Club Colours'!A451" ref="N65"/>
    <hyperlink r:id="rId216" location="'Sources'!A24" ref="J66"/>
    <hyperlink r:id="rId217" ref="K66"/>
    <hyperlink r:id="rId218" location="'Club Colours'!A474" ref="L66"/>
    <hyperlink r:id="rId219" ref="P66"/>
    <hyperlink r:id="rId220" location="'Sources'!A24" ref="J67"/>
    <hyperlink r:id="rId221" ref="K67"/>
    <hyperlink r:id="rId222" location="'Club Colours'!A478" ref="N67"/>
    <hyperlink r:id="rId223" location="'Sources'!A24" ref="J68"/>
    <hyperlink r:id="rId224" ref="K68"/>
    <hyperlink r:id="rId225" location="'Club Colours'!A481" ref="N68"/>
    <hyperlink r:id="rId226" location="'Sources'!A24" ref="J69"/>
    <hyperlink r:id="rId227" ref="K69"/>
    <hyperlink r:id="rId228" location="'Club Colours'!A393" ref="N69"/>
    <hyperlink r:id="rId229" location="'Sources'!A24" ref="J70"/>
    <hyperlink r:id="rId230" ref="K70"/>
    <hyperlink r:id="rId231" location="'Club Colours'!A397" ref="N70"/>
    <hyperlink r:id="rId232" location="'Sources'!A24" ref="J71"/>
    <hyperlink r:id="rId233" ref="K71"/>
    <hyperlink r:id="rId234" location="'Club Colours'!A398" ref="N71"/>
    <hyperlink r:id="rId235" location="'Sources'!A24" ref="J72"/>
    <hyperlink r:id="rId236" ref="K72"/>
    <hyperlink r:id="rId237" location="'Club Colours'!A408" ref="N72"/>
    <hyperlink r:id="rId238" location="'Sources'!A24" ref="J73"/>
    <hyperlink r:id="rId239" ref="K73"/>
    <hyperlink r:id="rId240" location="'Club Colours'!A415" ref="N73"/>
    <hyperlink r:id="rId241" location="'Sources'!A24" ref="J74"/>
    <hyperlink r:id="rId242" ref="K74"/>
    <hyperlink r:id="rId243" location="'Club Colours'!A427" ref="N74"/>
    <hyperlink r:id="rId244" location="'Sources'!A24" ref="J75"/>
    <hyperlink r:id="rId245" ref="K75"/>
    <hyperlink r:id="rId246" location="'Club Colours'!A433" ref="N75"/>
    <hyperlink r:id="rId247" location="'Sources'!A24" ref="J76"/>
    <hyperlink r:id="rId248" ref="K76"/>
    <hyperlink r:id="rId249" location="'Club Colours'!A457" ref="N76"/>
    <hyperlink r:id="rId250" location="'Sources'!A24" ref="J77"/>
    <hyperlink r:id="rId251" ref="K77"/>
    <hyperlink r:id="rId252" location="'Club Colours'!A463" ref="N77"/>
    <hyperlink r:id="rId253" location="'Sources'!A24" ref="J78"/>
    <hyperlink r:id="rId254" ref="K78"/>
    <hyperlink r:id="rId255" location="'Club Colours'!A492" ref="N78"/>
    <hyperlink r:id="rId256" location="'Sources'!A24" ref="J79"/>
    <hyperlink r:id="rId257" ref="K79"/>
    <hyperlink r:id="rId258" location="'Club Colours'!A496" ref="N79"/>
    <hyperlink r:id="rId259" location="'Sources'!A24" ref="J80"/>
    <hyperlink r:id="rId260" ref="K80"/>
    <hyperlink r:id="rId261" location="'Club Colours'!A498" ref="N80"/>
    <hyperlink r:id="rId262" location="'Sources'!A24" ref="J81"/>
    <hyperlink r:id="rId263" ref="K81"/>
    <hyperlink r:id="rId264" location="'Club Colours'!A375" ref="N81"/>
    <hyperlink r:id="rId265" location="'Sources'!A24" ref="J82"/>
    <hyperlink r:id="rId266" ref="K82"/>
    <hyperlink r:id="rId267" location="'Club Colours'!A377" ref="N82"/>
    <hyperlink r:id="rId268" location="'Sources'!A24" ref="J83"/>
    <hyperlink r:id="rId269" ref="K83"/>
    <hyperlink r:id="rId270" location="'Club Colours'!A392" ref="N83"/>
    <hyperlink r:id="rId271" location="'Sources'!A24" ref="J84"/>
    <hyperlink r:id="rId272" ref="K84"/>
    <hyperlink r:id="rId273" location="'Club Colours'!A419" ref="L84"/>
    <hyperlink r:id="rId274" ref="P84"/>
    <hyperlink r:id="rId275" location="'Sources'!A24" ref="J85"/>
    <hyperlink r:id="rId276" ref="K85"/>
    <hyperlink r:id="rId277" location="'Club Colours'!A436" ref="N85"/>
    <hyperlink r:id="rId278" location="'Sources'!A24" ref="J86"/>
    <hyperlink r:id="rId279" ref="K86"/>
    <hyperlink r:id="rId280" location="'Club Colours'!A456" ref="L86"/>
    <hyperlink r:id="rId281" ref="P86"/>
    <hyperlink r:id="rId282" location="'Sources'!A24" ref="J87"/>
    <hyperlink r:id="rId283" ref="K87"/>
    <hyperlink r:id="rId284" location="'Club Colours'!A462" ref="N87"/>
    <hyperlink r:id="rId285" location="'Sources'!A24" ref="J88"/>
    <hyperlink r:id="rId286" ref="K88"/>
    <hyperlink r:id="rId287" location="'Club Colours'!A464" ref="N88"/>
    <hyperlink r:id="rId288" location="'Sources'!A24" ref="J89"/>
    <hyperlink r:id="rId289" ref="K89"/>
    <hyperlink r:id="rId290" location="'Club Colours'!A469" ref="N89"/>
    <hyperlink r:id="rId291" location="'Sources'!A24" ref="J90"/>
    <hyperlink r:id="rId292" ref="K90"/>
    <hyperlink r:id="rId293" location="'Club Colours'!A475" ref="N90"/>
    <hyperlink r:id="rId294" location="'Sources'!A24" ref="J91"/>
    <hyperlink r:id="rId295" ref="K91"/>
    <hyperlink r:id="rId296" location="'Club Colours'!A484" ref="N91"/>
    <hyperlink r:id="rId297" location="'Sources'!A24" ref="J92"/>
    <hyperlink r:id="rId298" ref="K92"/>
    <hyperlink r:id="rId299" location="'Club Colours'!A500" ref="N92"/>
    <hyperlink r:id="rId300" location="'Sources'!A25" ref="J93"/>
    <hyperlink r:id="rId301" ref="K93"/>
    <hyperlink r:id="rId302" location="'Club Colours'!A369" ref="N93"/>
    <hyperlink r:id="rId303" location="'Sources'!A25" ref="J94"/>
    <hyperlink r:id="rId304" ref="K94"/>
    <hyperlink r:id="rId305" location="'Club Colours'!A383" ref="N94"/>
    <hyperlink r:id="rId306" location="'Sources'!A25" ref="J95"/>
    <hyperlink r:id="rId307" ref="K95"/>
    <hyperlink r:id="rId308" location="'Club Colours'!A404" ref="N95"/>
    <hyperlink r:id="rId309" location="'Sources'!A25" ref="J96"/>
    <hyperlink r:id="rId310" ref="K96"/>
    <hyperlink r:id="rId311" location="'Club Colours'!A418" ref="L96"/>
    <hyperlink r:id="rId312" ref="P96"/>
    <hyperlink r:id="rId313" location="'Sources'!A25" ref="J97"/>
    <hyperlink r:id="rId314" ref="K97"/>
    <hyperlink r:id="rId315" location="'Club Colours'!A420" ref="N97"/>
    <hyperlink r:id="rId316" location="'Sources'!A25" ref="J98"/>
    <hyperlink r:id="rId317" ref="K98"/>
    <hyperlink r:id="rId318" location="'Club Colours'!A430" ref="L98"/>
    <hyperlink r:id="rId319" ref="P98"/>
    <hyperlink r:id="rId320" location="'Sources'!A25" ref="J99"/>
    <hyperlink r:id="rId321" ref="K99"/>
    <hyperlink r:id="rId322" location="'Club Colours'!A432" ref="L99"/>
    <hyperlink r:id="rId323" ref="P99"/>
    <hyperlink r:id="rId324" location="'Sources'!A25" ref="J100"/>
    <hyperlink r:id="rId325" ref="K100"/>
    <hyperlink r:id="rId326" location="'Club Colours'!A438" ref="N100"/>
    <hyperlink r:id="rId327" location="'Sources'!A25" ref="J101"/>
    <hyperlink r:id="rId328" ref="K101"/>
    <hyperlink r:id="rId329" location="'Club Colours'!A453" ref="N101"/>
    <hyperlink r:id="rId330" location="'Sources'!A25" ref="J102"/>
    <hyperlink r:id="rId331" ref="K102"/>
    <hyperlink r:id="rId332" location="'Club Colours'!A454" ref="N102"/>
    <hyperlink r:id="rId333" location="'Sources'!A25" ref="J103"/>
    <hyperlink r:id="rId334" ref="K103"/>
    <hyperlink r:id="rId335" location="'Club Colours'!A465" ref="N103"/>
    <hyperlink r:id="rId336" location="'Sources'!A25" ref="J104"/>
    <hyperlink r:id="rId337" ref="K104"/>
    <hyperlink r:id="rId338" location="'Club Colours'!A467" ref="N104"/>
    <hyperlink r:id="rId339" location="'Sources'!A25" ref="J105"/>
    <hyperlink r:id="rId340" ref="K105"/>
    <hyperlink r:id="rId341" location="'Club Colours'!A367" ref="N105"/>
    <hyperlink r:id="rId342" location="'Sources'!A25" ref="J106"/>
    <hyperlink r:id="rId343" ref="K106"/>
    <hyperlink r:id="rId344" location="'Club Colours'!A372" ref="L106"/>
    <hyperlink r:id="rId345" ref="P106"/>
    <hyperlink r:id="rId346" location="'Sources'!A25" ref="J107"/>
    <hyperlink r:id="rId347" ref="K107"/>
    <hyperlink r:id="rId348" location="'Club Colours'!A395" ref="N107"/>
    <hyperlink r:id="rId349" location="'Sources'!A25" ref="J108"/>
    <hyperlink r:id="rId350" ref="K108"/>
    <hyperlink r:id="rId351" location="'Club Colours'!A412" ref="N108"/>
    <hyperlink r:id="rId352" location="'Sources'!A25" ref="J109"/>
    <hyperlink r:id="rId353" ref="K109"/>
    <hyperlink r:id="rId354" location="'Club Colours'!A428" ref="N109"/>
    <hyperlink r:id="rId355" location="'Sources'!A25" ref="J110"/>
    <hyperlink r:id="rId356" ref="K110"/>
    <hyperlink r:id="rId357" location="'Club Colours'!A440" ref="L110"/>
    <hyperlink r:id="rId358" ref="P110"/>
    <hyperlink r:id="rId359" location="'Sources'!A25" ref="J111"/>
    <hyperlink r:id="rId360" ref="K111"/>
    <hyperlink r:id="rId361" location="'Club Colours'!A448" ref="L111"/>
    <hyperlink r:id="rId362" ref="P111"/>
    <hyperlink r:id="rId363" location="'Sources'!A25" ref="J112"/>
    <hyperlink r:id="rId364" ref="K112"/>
    <hyperlink r:id="rId365" location="'Club Colours'!A452" ref="N112"/>
    <hyperlink r:id="rId366" location="'Sources'!A25" ref="J113"/>
    <hyperlink r:id="rId367" ref="K113"/>
    <hyperlink r:id="rId368" location="'Club Colours'!A458" ref="N113"/>
    <hyperlink r:id="rId369" location="'Sources'!A25" ref="J114"/>
    <hyperlink r:id="rId370" ref="K114"/>
    <hyperlink r:id="rId371" location="'Club Colours'!A483" ref="N114"/>
    <hyperlink r:id="rId372" location="'Sources'!A25" ref="J115"/>
    <hyperlink r:id="rId373" ref="K115"/>
    <hyperlink r:id="rId374" location="'Club Colours'!A491" ref="L115"/>
    <hyperlink r:id="rId375" ref="P115"/>
    <hyperlink r:id="rId376" location="'Sources'!A25" ref="J116"/>
    <hyperlink r:id="rId377" ref="K116"/>
    <hyperlink r:id="rId378" location="'Club Colours'!A499" ref="N116"/>
    <hyperlink r:id="rId379" location="'Sources'!A25" ref="J117"/>
    <hyperlink r:id="rId380" ref="K117"/>
    <hyperlink r:id="rId381" location="'Club Colours'!A386" ref="N117"/>
    <hyperlink r:id="rId382" location="'Sources'!A25" ref="J118"/>
    <hyperlink r:id="rId383" ref="K118"/>
    <hyperlink r:id="rId384" location="'Club Colours'!A405" ref="N118"/>
    <hyperlink r:id="rId385" location="'Sources'!A25" ref="J119"/>
    <hyperlink r:id="rId386" ref="K119"/>
    <hyperlink r:id="rId387" location="'Club Colours'!A416" ref="N119"/>
    <hyperlink r:id="rId388" location="'Sources'!A25" ref="J120"/>
    <hyperlink r:id="rId389" ref="K120"/>
    <hyperlink r:id="rId390" location="'Club Colours'!A434" ref="N120"/>
    <hyperlink r:id="rId391" location="'Sources'!A25" ref="J121"/>
    <hyperlink r:id="rId392" ref="K121"/>
    <hyperlink r:id="rId393" location="'Club Colours'!A446" ref="N121"/>
    <hyperlink r:id="rId394" location="'Sources'!A25" ref="J122"/>
    <hyperlink r:id="rId395" ref="K122"/>
    <hyperlink r:id="rId396" location="'Club Colours'!A450" ref="N122"/>
    <hyperlink r:id="rId397" location="'Sources'!A25" ref="J123"/>
    <hyperlink r:id="rId398" ref="K123"/>
    <hyperlink r:id="rId399" location="'Club Colours'!A461" ref="L123"/>
    <hyperlink r:id="rId400" ref="P123"/>
    <hyperlink r:id="rId401" location="'Sources'!A25" ref="J124"/>
    <hyperlink r:id="rId402" ref="K124"/>
    <hyperlink r:id="rId403" location="'Club Colours'!A466" ref="N124"/>
    <hyperlink r:id="rId404" location="'Sources'!A25" ref="J125"/>
    <hyperlink r:id="rId405" ref="K125"/>
    <hyperlink r:id="rId406" location="'Club Colours'!A479" ref="N125"/>
    <hyperlink r:id="rId407" location="'Sources'!A25" ref="J126"/>
    <hyperlink r:id="rId408" ref="K126"/>
    <hyperlink r:id="rId409" location="'Club Colours'!A482" ref="L126"/>
    <hyperlink r:id="rId410" ref="P126"/>
    <hyperlink r:id="rId411" location="'Sources'!A25" ref="J127"/>
    <hyperlink r:id="rId412" ref="K127"/>
    <hyperlink r:id="rId413" location="'Club Colours'!A487" ref="N127"/>
    <hyperlink r:id="rId414" location="'Sources'!A25" ref="J128"/>
    <hyperlink r:id="rId415" ref="K128"/>
    <hyperlink r:id="rId416" location="'Club Colours'!A494" ref="N128"/>
    <hyperlink r:id="rId417" location="'Sources'!A25" ref="J129"/>
    <hyperlink r:id="rId418" ref="K129"/>
    <hyperlink r:id="rId419" location="'Club Colours'!A368" ref="N129"/>
    <hyperlink r:id="rId420" location="'Sources'!A25" ref="J130"/>
    <hyperlink r:id="rId421" ref="K130"/>
    <hyperlink r:id="rId422" location="'Club Colours'!A378" ref="N130"/>
    <hyperlink r:id="rId423" location="'Sources'!A25" ref="J131"/>
    <hyperlink r:id="rId424" ref="K131"/>
    <hyperlink r:id="rId425" location="'Club Colours'!A390" ref="N131"/>
    <hyperlink r:id="rId426" location="'Sources'!A25" ref="J132"/>
    <hyperlink r:id="rId427" ref="K132"/>
    <hyperlink r:id="rId428" location="'Club Colours'!A409" ref="N132"/>
    <hyperlink r:id="rId429" location="'Sources'!A25" ref="J133"/>
    <hyperlink r:id="rId430" ref="K133"/>
    <hyperlink r:id="rId431" location="'Club Colours'!A443" ref="N133"/>
    <hyperlink r:id="rId432" location="'Sources'!A25" ref="J134"/>
    <hyperlink r:id="rId433" ref="K134"/>
    <hyperlink r:id="rId434" location="'Club Colours'!A447" ref="N134"/>
    <hyperlink r:id="rId435" location="'Sources'!A25" ref="J135"/>
    <hyperlink r:id="rId436" ref="K135"/>
    <hyperlink r:id="rId437" location="'Club Colours'!A472" ref="N135"/>
    <hyperlink r:id="rId438" location="'Sources'!A25" ref="J136"/>
    <hyperlink r:id="rId439" ref="K136"/>
    <hyperlink r:id="rId440" location="'Club Colours'!A477" ref="N136"/>
    <hyperlink r:id="rId441" location="'Sources'!A25" ref="J137"/>
    <hyperlink r:id="rId442" ref="K137"/>
    <hyperlink r:id="rId443" location="'Club Colours'!A480" ref="N137"/>
    <hyperlink r:id="rId444" location="'Sources'!A25" ref="J138"/>
    <hyperlink r:id="rId445" ref="K138"/>
    <hyperlink r:id="rId446" location="'Club Colours'!A485" ref="L138"/>
    <hyperlink r:id="rId447" ref="P138"/>
    <hyperlink r:id="rId448" location="'Sources'!A25" ref="J139"/>
    <hyperlink r:id="rId449" ref="K139"/>
    <hyperlink r:id="rId450" location="'Club Colours'!A488" ref="N139"/>
    <hyperlink r:id="rId451" location="'Sources'!A25" ref="J140"/>
    <hyperlink r:id="rId452" ref="K140"/>
    <hyperlink r:id="rId453" location="'Club Colours'!A495" ref="N140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454"/>
  <legacyDrawing r:id="rId455"/>
  <tableParts count="1">
    <tablePart r:id="rId457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1179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276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9.75" customHeight="1">
      <c r="A7" s="73" t="s">
        <v>1186</v>
      </c>
      <c r="B7" s="75" t="s">
        <v>82</v>
      </c>
      <c r="C7" s="73" t="s">
        <v>339</v>
      </c>
      <c r="D7" s="77">
        <v>1.0</v>
      </c>
      <c r="E7" s="77" t="s">
        <v>146</v>
      </c>
      <c r="F7" s="77" t="s">
        <v>148</v>
      </c>
      <c r="G7" s="77" t="s">
        <v>149</v>
      </c>
      <c r="H7" s="77" t="s">
        <v>151</v>
      </c>
      <c r="I7" s="75"/>
      <c r="J7" s="81" t="s">
        <v>340</v>
      </c>
      <c r="K7" s="45" t="s">
        <v>341</v>
      </c>
      <c r="L7" s="140" t="s">
        <v>52</v>
      </c>
      <c r="M7" s="86" t="s">
        <v>164</v>
      </c>
      <c r="N7" s="43" t="s">
        <v>55</v>
      </c>
      <c r="O7" s="59" t="s">
        <v>166</v>
      </c>
      <c r="P7" s="45" t="s">
        <v>1189</v>
      </c>
      <c r="Q7" s="44" t="s">
        <v>1190</v>
      </c>
    </row>
    <row r="8" ht="39.75" customHeight="1">
      <c r="A8" s="94" t="s">
        <v>1191</v>
      </c>
      <c r="B8" s="96" t="s">
        <v>82</v>
      </c>
      <c r="C8" s="94" t="s">
        <v>339</v>
      </c>
      <c r="D8" s="97">
        <v>1.0</v>
      </c>
      <c r="E8" s="97" t="s">
        <v>146</v>
      </c>
      <c r="F8" s="97" t="s">
        <v>148</v>
      </c>
      <c r="G8" s="97" t="s">
        <v>149</v>
      </c>
      <c r="H8" s="97" t="s">
        <v>151</v>
      </c>
      <c r="I8" s="96"/>
      <c r="J8" s="100" t="s">
        <v>340</v>
      </c>
      <c r="K8" s="101" t="s">
        <v>341</v>
      </c>
      <c r="L8" s="140" t="s">
        <v>52</v>
      </c>
      <c r="M8" s="86" t="s">
        <v>164</v>
      </c>
      <c r="N8" s="43" t="s">
        <v>55</v>
      </c>
      <c r="O8" s="105" t="s">
        <v>166</v>
      </c>
      <c r="P8" s="101" t="s">
        <v>1189</v>
      </c>
      <c r="Q8" s="107" t="s">
        <v>1190</v>
      </c>
    </row>
    <row r="9" ht="39.75" customHeight="1">
      <c r="A9" s="73" t="s">
        <v>1195</v>
      </c>
      <c r="B9" s="75" t="s">
        <v>82</v>
      </c>
      <c r="C9" s="73" t="s">
        <v>339</v>
      </c>
      <c r="D9" s="77">
        <v>1.0</v>
      </c>
      <c r="E9" s="77" t="s">
        <v>146</v>
      </c>
      <c r="F9" s="77" t="s">
        <v>148</v>
      </c>
      <c r="G9" s="77" t="s">
        <v>149</v>
      </c>
      <c r="H9" s="77" t="s">
        <v>151</v>
      </c>
      <c r="I9" s="75"/>
      <c r="J9" s="81" t="s">
        <v>340</v>
      </c>
      <c r="K9" s="45" t="s">
        <v>341</v>
      </c>
      <c r="L9" s="140" t="s">
        <v>52</v>
      </c>
      <c r="M9" s="62" t="s">
        <v>92</v>
      </c>
      <c r="N9" s="43" t="s">
        <v>55</v>
      </c>
      <c r="O9" s="59" t="s">
        <v>166</v>
      </c>
      <c r="P9" s="45" t="s">
        <v>1189</v>
      </c>
      <c r="Q9" s="44" t="s">
        <v>1190</v>
      </c>
    </row>
    <row r="10" ht="39.75" customHeight="1">
      <c r="A10" s="94" t="s">
        <v>1200</v>
      </c>
      <c r="B10" s="96" t="s">
        <v>82</v>
      </c>
      <c r="C10" s="94" t="s">
        <v>339</v>
      </c>
      <c r="D10" s="97">
        <v>1.0</v>
      </c>
      <c r="E10" s="97" t="s">
        <v>146</v>
      </c>
      <c r="F10" s="97" t="s">
        <v>148</v>
      </c>
      <c r="G10" s="97" t="s">
        <v>149</v>
      </c>
      <c r="H10" s="97" t="s">
        <v>151</v>
      </c>
      <c r="I10" s="96"/>
      <c r="J10" s="100" t="s">
        <v>340</v>
      </c>
      <c r="K10" s="101" t="s">
        <v>341</v>
      </c>
      <c r="L10" s="125" t="s">
        <v>92</v>
      </c>
      <c r="M10" s="50" t="s">
        <v>64</v>
      </c>
      <c r="N10" s="43" t="s">
        <v>55</v>
      </c>
      <c r="O10" s="105" t="s">
        <v>166</v>
      </c>
      <c r="P10" s="101" t="s">
        <v>1189</v>
      </c>
      <c r="Q10" s="107" t="s">
        <v>1190</v>
      </c>
    </row>
    <row r="11" ht="39.75" customHeight="1">
      <c r="A11" s="73" t="s">
        <v>1203</v>
      </c>
      <c r="B11" s="75" t="s">
        <v>82</v>
      </c>
      <c r="C11" s="73" t="s">
        <v>339</v>
      </c>
      <c r="D11" s="77">
        <v>1.0</v>
      </c>
      <c r="E11" s="77" t="s">
        <v>146</v>
      </c>
      <c r="F11" s="77" t="s">
        <v>148</v>
      </c>
      <c r="G11" s="77" t="s">
        <v>149</v>
      </c>
      <c r="H11" s="77" t="s">
        <v>151</v>
      </c>
      <c r="I11" s="75"/>
      <c r="J11" s="81" t="s">
        <v>340</v>
      </c>
      <c r="K11" s="45" t="s">
        <v>341</v>
      </c>
      <c r="L11" s="125" t="s">
        <v>92</v>
      </c>
      <c r="M11" s="50" t="s">
        <v>64</v>
      </c>
      <c r="N11" s="43" t="s">
        <v>55</v>
      </c>
      <c r="O11" s="59" t="s">
        <v>166</v>
      </c>
      <c r="P11" s="45" t="s">
        <v>1189</v>
      </c>
      <c r="Q11" s="44" t="s">
        <v>1190</v>
      </c>
    </row>
    <row r="12" ht="39.75" customHeight="1">
      <c r="A12" s="94" t="s">
        <v>1207</v>
      </c>
      <c r="B12" s="96" t="s">
        <v>82</v>
      </c>
      <c r="C12" s="94" t="s">
        <v>339</v>
      </c>
      <c r="D12" s="97">
        <v>1.0</v>
      </c>
      <c r="E12" s="97" t="s">
        <v>146</v>
      </c>
      <c r="F12" s="97" t="s">
        <v>148</v>
      </c>
      <c r="G12" s="97" t="s">
        <v>149</v>
      </c>
      <c r="H12" s="97" t="s">
        <v>151</v>
      </c>
      <c r="I12" s="96"/>
      <c r="J12" s="100" t="s">
        <v>340</v>
      </c>
      <c r="K12" s="101" t="s">
        <v>341</v>
      </c>
      <c r="L12" s="137" t="s">
        <v>164</v>
      </c>
      <c r="M12" s="50" t="s">
        <v>64</v>
      </c>
      <c r="N12" s="43" t="s">
        <v>55</v>
      </c>
      <c r="O12" s="105" t="s">
        <v>166</v>
      </c>
      <c r="P12" s="101" t="s">
        <v>1189</v>
      </c>
      <c r="Q12" s="107" t="s">
        <v>1190</v>
      </c>
    </row>
    <row r="13" ht="30.0" customHeight="1">
      <c r="A13" s="73" t="s">
        <v>1211</v>
      </c>
      <c r="B13" s="75" t="s">
        <v>82</v>
      </c>
      <c r="C13" s="73" t="s">
        <v>339</v>
      </c>
      <c r="D13" s="77">
        <v>1.0</v>
      </c>
      <c r="E13" s="77" t="s">
        <v>146</v>
      </c>
      <c r="F13" s="77" t="s">
        <v>148</v>
      </c>
      <c r="G13" s="77" t="s">
        <v>149</v>
      </c>
      <c r="H13" s="77" t="s">
        <v>151</v>
      </c>
      <c r="I13" s="75"/>
      <c r="J13" s="81" t="s">
        <v>340</v>
      </c>
      <c r="K13" s="45" t="s">
        <v>341</v>
      </c>
      <c r="L13" s="125" t="s">
        <v>92</v>
      </c>
      <c r="M13" s="50" t="s">
        <v>64</v>
      </c>
      <c r="N13" s="43" t="s">
        <v>55</v>
      </c>
      <c r="O13" s="115" t="s">
        <v>163</v>
      </c>
      <c r="P13" s="45" t="s">
        <v>1213</v>
      </c>
      <c r="Q13" s="44"/>
    </row>
    <row r="14" ht="39.75" customHeight="1">
      <c r="A14" s="94" t="s">
        <v>1215</v>
      </c>
      <c r="B14" s="96" t="s">
        <v>82</v>
      </c>
      <c r="C14" s="94" t="s">
        <v>339</v>
      </c>
      <c r="D14" s="97">
        <v>1.0</v>
      </c>
      <c r="E14" s="97" t="s">
        <v>146</v>
      </c>
      <c r="F14" s="97" t="s">
        <v>148</v>
      </c>
      <c r="G14" s="97" t="s">
        <v>149</v>
      </c>
      <c r="H14" s="97" t="s">
        <v>151</v>
      </c>
      <c r="I14" s="96"/>
      <c r="J14" s="100" t="s">
        <v>340</v>
      </c>
      <c r="K14" s="101" t="s">
        <v>341</v>
      </c>
      <c r="L14" s="149"/>
      <c r="M14" s="149"/>
      <c r="N14" s="157" t="s">
        <v>447</v>
      </c>
      <c r="O14" s="124" t="s">
        <v>198</v>
      </c>
      <c r="P14" s="159"/>
      <c r="Q14" s="107" t="s">
        <v>448</v>
      </c>
    </row>
    <row r="15" ht="39.75" customHeight="1">
      <c r="A15" s="73" t="s">
        <v>1218</v>
      </c>
      <c r="B15" s="75" t="s">
        <v>82</v>
      </c>
      <c r="C15" s="73" t="s">
        <v>339</v>
      </c>
      <c r="D15" s="77">
        <v>1.0</v>
      </c>
      <c r="E15" s="77" t="s">
        <v>146</v>
      </c>
      <c r="F15" s="77" t="s">
        <v>148</v>
      </c>
      <c r="G15" s="77" t="s">
        <v>149</v>
      </c>
      <c r="H15" s="77" t="s">
        <v>151</v>
      </c>
      <c r="I15" s="75"/>
      <c r="J15" s="81" t="s">
        <v>340</v>
      </c>
      <c r="K15" s="45" t="s">
        <v>341</v>
      </c>
      <c r="L15" s="137" t="s">
        <v>164</v>
      </c>
      <c r="M15" s="50" t="s">
        <v>64</v>
      </c>
      <c r="N15" s="43" t="s">
        <v>55</v>
      </c>
      <c r="O15" s="59" t="s">
        <v>166</v>
      </c>
      <c r="P15" s="45" t="s">
        <v>1189</v>
      </c>
      <c r="Q15" s="44" t="s">
        <v>1190</v>
      </c>
    </row>
    <row r="16" ht="39.75" customHeight="1">
      <c r="A16" s="94" t="s">
        <v>1220</v>
      </c>
      <c r="B16" s="96" t="s">
        <v>82</v>
      </c>
      <c r="C16" s="94" t="s">
        <v>339</v>
      </c>
      <c r="D16" s="97">
        <v>1.0</v>
      </c>
      <c r="E16" s="97" t="s">
        <v>146</v>
      </c>
      <c r="F16" s="97" t="s">
        <v>148</v>
      </c>
      <c r="G16" s="97" t="s">
        <v>149</v>
      </c>
      <c r="H16" s="97" t="s">
        <v>151</v>
      </c>
      <c r="I16" s="96"/>
      <c r="J16" s="100" t="s">
        <v>340</v>
      </c>
      <c r="K16" s="101" t="s">
        <v>341</v>
      </c>
      <c r="L16" s="88" t="s">
        <v>63</v>
      </c>
      <c r="M16" s="50" t="s">
        <v>64</v>
      </c>
      <c r="N16" s="43" t="s">
        <v>55</v>
      </c>
      <c r="O16" s="105" t="s">
        <v>166</v>
      </c>
      <c r="P16" s="101" t="s">
        <v>1189</v>
      </c>
      <c r="Q16" s="107" t="s">
        <v>1190</v>
      </c>
    </row>
    <row r="17" ht="39.75" customHeight="1">
      <c r="A17" s="73" t="s">
        <v>1225</v>
      </c>
      <c r="B17" s="75" t="s">
        <v>82</v>
      </c>
      <c r="C17" s="73" t="s">
        <v>339</v>
      </c>
      <c r="D17" s="77">
        <v>1.0</v>
      </c>
      <c r="E17" s="77" t="s">
        <v>146</v>
      </c>
      <c r="F17" s="77" t="s">
        <v>148</v>
      </c>
      <c r="G17" s="77" t="s">
        <v>149</v>
      </c>
      <c r="H17" s="77" t="s">
        <v>151</v>
      </c>
      <c r="I17" s="75"/>
      <c r="J17" s="81" t="s">
        <v>340</v>
      </c>
      <c r="K17" s="45" t="s">
        <v>341</v>
      </c>
      <c r="L17" s="148" t="s">
        <v>199</v>
      </c>
      <c r="M17" s="50" t="s">
        <v>64</v>
      </c>
      <c r="N17" s="43" t="s">
        <v>55</v>
      </c>
      <c r="O17" s="59" t="s">
        <v>166</v>
      </c>
      <c r="P17" s="45" t="s">
        <v>1189</v>
      </c>
      <c r="Q17" s="44" t="s">
        <v>1190</v>
      </c>
    </row>
    <row r="18" ht="39.75" customHeight="1">
      <c r="A18" s="94" t="s">
        <v>1230</v>
      </c>
      <c r="B18" s="96" t="s">
        <v>82</v>
      </c>
      <c r="C18" s="94" t="s">
        <v>339</v>
      </c>
      <c r="D18" s="97">
        <v>1.0</v>
      </c>
      <c r="E18" s="97" t="s">
        <v>146</v>
      </c>
      <c r="F18" s="97" t="s">
        <v>148</v>
      </c>
      <c r="G18" s="97" t="s">
        <v>149</v>
      </c>
      <c r="H18" s="97" t="s">
        <v>151</v>
      </c>
      <c r="I18" s="96"/>
      <c r="J18" s="100" t="s">
        <v>340</v>
      </c>
      <c r="K18" s="101" t="s">
        <v>341</v>
      </c>
      <c r="L18" s="140" t="s">
        <v>52</v>
      </c>
      <c r="M18" s="62" t="s">
        <v>92</v>
      </c>
      <c r="N18" s="43" t="s">
        <v>55</v>
      </c>
      <c r="O18" s="105" t="s">
        <v>166</v>
      </c>
      <c r="P18" s="101" t="s">
        <v>1189</v>
      </c>
      <c r="Q18" s="107" t="s">
        <v>1190</v>
      </c>
    </row>
    <row r="19" ht="39.75" customHeight="1">
      <c r="A19" s="73" t="s">
        <v>1235</v>
      </c>
      <c r="B19" s="75" t="s">
        <v>82</v>
      </c>
      <c r="C19" s="73" t="s">
        <v>339</v>
      </c>
      <c r="D19" s="77">
        <v>1.0</v>
      </c>
      <c r="E19" s="77" t="s">
        <v>146</v>
      </c>
      <c r="F19" s="77" t="s">
        <v>148</v>
      </c>
      <c r="G19" s="77" t="s">
        <v>149</v>
      </c>
      <c r="H19" s="77" t="s">
        <v>151</v>
      </c>
      <c r="I19" s="75"/>
      <c r="J19" s="81" t="s">
        <v>340</v>
      </c>
      <c r="K19" s="45" t="s">
        <v>341</v>
      </c>
      <c r="L19" s="137" t="s">
        <v>164</v>
      </c>
      <c r="M19" s="50" t="s">
        <v>64</v>
      </c>
      <c r="N19" s="43" t="s">
        <v>55</v>
      </c>
      <c r="O19" s="59" t="s">
        <v>166</v>
      </c>
      <c r="P19" s="45" t="s">
        <v>1189</v>
      </c>
      <c r="Q19" s="44" t="s">
        <v>1190</v>
      </c>
    </row>
    <row r="20" ht="39.75" customHeight="1">
      <c r="A20" s="94" t="s">
        <v>1238</v>
      </c>
      <c r="B20" s="96" t="s">
        <v>82</v>
      </c>
      <c r="C20" s="94" t="s">
        <v>339</v>
      </c>
      <c r="D20" s="97">
        <v>1.0</v>
      </c>
      <c r="E20" s="97" t="s">
        <v>146</v>
      </c>
      <c r="F20" s="97" t="s">
        <v>148</v>
      </c>
      <c r="G20" s="97" t="s">
        <v>149</v>
      </c>
      <c r="H20" s="97" t="s">
        <v>151</v>
      </c>
      <c r="I20" s="96"/>
      <c r="J20" s="100" t="s">
        <v>340</v>
      </c>
      <c r="K20" s="101" t="s">
        <v>341</v>
      </c>
      <c r="L20" s="149"/>
      <c r="M20" s="149"/>
      <c r="N20" s="157" t="s">
        <v>447</v>
      </c>
      <c r="O20" s="124" t="s">
        <v>198</v>
      </c>
      <c r="P20" s="159"/>
      <c r="Q20" s="107" t="s">
        <v>448</v>
      </c>
    </row>
    <row r="21" ht="39.75" customHeight="1">
      <c r="A21" s="73" t="s">
        <v>1242</v>
      </c>
      <c r="B21" s="75" t="s">
        <v>82</v>
      </c>
      <c r="C21" s="73" t="s">
        <v>343</v>
      </c>
      <c r="D21" s="77">
        <v>2.0</v>
      </c>
      <c r="E21" s="77" t="s">
        <v>146</v>
      </c>
      <c r="F21" s="77" t="s">
        <v>148</v>
      </c>
      <c r="G21" s="77" t="s">
        <v>149</v>
      </c>
      <c r="H21" s="77" t="s">
        <v>151</v>
      </c>
      <c r="I21" s="75"/>
      <c r="J21" s="81" t="s">
        <v>345</v>
      </c>
      <c r="K21" s="45" t="s">
        <v>346</v>
      </c>
      <c r="L21" s="103" t="s">
        <v>76</v>
      </c>
      <c r="M21" s="50" t="s">
        <v>64</v>
      </c>
      <c r="N21" s="43" t="s">
        <v>55</v>
      </c>
      <c r="O21" s="59" t="s">
        <v>166</v>
      </c>
      <c r="P21" s="45" t="s">
        <v>1189</v>
      </c>
      <c r="Q21" s="44" t="s">
        <v>1190</v>
      </c>
    </row>
    <row r="22" ht="39.75" customHeight="1">
      <c r="A22" s="94" t="s">
        <v>1247</v>
      </c>
      <c r="B22" s="96" t="s">
        <v>82</v>
      </c>
      <c r="C22" s="94" t="s">
        <v>343</v>
      </c>
      <c r="D22" s="97">
        <v>2.0</v>
      </c>
      <c r="E22" s="97" t="s">
        <v>146</v>
      </c>
      <c r="F22" s="97" t="s">
        <v>148</v>
      </c>
      <c r="G22" s="97" t="s">
        <v>149</v>
      </c>
      <c r="H22" s="97" t="s">
        <v>151</v>
      </c>
      <c r="I22" s="96"/>
      <c r="J22" s="100" t="s">
        <v>345</v>
      </c>
      <c r="K22" s="101" t="s">
        <v>346</v>
      </c>
      <c r="L22" s="140" t="s">
        <v>52</v>
      </c>
      <c r="M22" s="86" t="s">
        <v>164</v>
      </c>
      <c r="N22" s="43" t="s">
        <v>55</v>
      </c>
      <c r="O22" s="105" t="s">
        <v>166</v>
      </c>
      <c r="P22" s="101" t="s">
        <v>1189</v>
      </c>
      <c r="Q22" s="107" t="s">
        <v>1190</v>
      </c>
    </row>
    <row r="23" ht="39.75" customHeight="1">
      <c r="A23" s="73" t="s">
        <v>1250</v>
      </c>
      <c r="B23" s="75" t="s">
        <v>82</v>
      </c>
      <c r="C23" s="73" t="s">
        <v>343</v>
      </c>
      <c r="D23" s="77">
        <v>2.0</v>
      </c>
      <c r="E23" s="77" t="s">
        <v>146</v>
      </c>
      <c r="F23" s="77" t="s">
        <v>148</v>
      </c>
      <c r="G23" s="77" t="s">
        <v>149</v>
      </c>
      <c r="H23" s="77" t="s">
        <v>151</v>
      </c>
      <c r="I23" s="75"/>
      <c r="J23" s="81" t="s">
        <v>345</v>
      </c>
      <c r="K23" s="45" t="s">
        <v>346</v>
      </c>
      <c r="L23" s="88" t="s">
        <v>63</v>
      </c>
      <c r="M23" s="86" t="s">
        <v>164</v>
      </c>
      <c r="N23" s="43" t="s">
        <v>55</v>
      </c>
      <c r="O23" s="59" t="s">
        <v>166</v>
      </c>
      <c r="P23" s="45" t="s">
        <v>1189</v>
      </c>
      <c r="Q23" s="44" t="s">
        <v>1190</v>
      </c>
    </row>
    <row r="24" ht="39.75" customHeight="1">
      <c r="A24" s="94" t="s">
        <v>1253</v>
      </c>
      <c r="B24" s="96" t="s">
        <v>82</v>
      </c>
      <c r="C24" s="94" t="s">
        <v>343</v>
      </c>
      <c r="D24" s="97">
        <v>2.0</v>
      </c>
      <c r="E24" s="97" t="s">
        <v>146</v>
      </c>
      <c r="F24" s="97" t="s">
        <v>148</v>
      </c>
      <c r="G24" s="97" t="s">
        <v>149</v>
      </c>
      <c r="H24" s="154" t="s">
        <v>466</v>
      </c>
      <c r="I24" s="96"/>
      <c r="J24" s="100" t="s">
        <v>345</v>
      </c>
      <c r="K24" s="101" t="s">
        <v>346</v>
      </c>
      <c r="L24" s="140" t="s">
        <v>52</v>
      </c>
      <c r="M24" s="62" t="s">
        <v>92</v>
      </c>
      <c r="N24" s="43" t="s">
        <v>55</v>
      </c>
      <c r="O24" s="105" t="s">
        <v>187</v>
      </c>
      <c r="P24" s="101" t="s">
        <v>1189</v>
      </c>
      <c r="Q24" s="107" t="s">
        <v>1257</v>
      </c>
    </row>
    <row r="25" ht="39.75" customHeight="1">
      <c r="A25" s="73" t="s">
        <v>1258</v>
      </c>
      <c r="B25" s="75" t="s">
        <v>82</v>
      </c>
      <c r="C25" s="73" t="s">
        <v>343</v>
      </c>
      <c r="D25" s="77">
        <v>2.0</v>
      </c>
      <c r="E25" s="77" t="s">
        <v>146</v>
      </c>
      <c r="F25" s="77" t="s">
        <v>148</v>
      </c>
      <c r="G25" s="77" t="s">
        <v>149</v>
      </c>
      <c r="H25" s="77" t="s">
        <v>151</v>
      </c>
      <c r="I25" s="75"/>
      <c r="J25" s="81" t="s">
        <v>345</v>
      </c>
      <c r="K25" s="45" t="s">
        <v>346</v>
      </c>
      <c r="L25" s="125" t="s">
        <v>92</v>
      </c>
      <c r="M25" s="50" t="s">
        <v>64</v>
      </c>
      <c r="N25" s="43" t="s">
        <v>55</v>
      </c>
      <c r="O25" s="59" t="s">
        <v>166</v>
      </c>
      <c r="P25" s="45" t="s">
        <v>1189</v>
      </c>
      <c r="Q25" s="44" t="s">
        <v>1263</v>
      </c>
    </row>
    <row r="26" ht="30.0" customHeight="1">
      <c r="A26" s="94" t="s">
        <v>1264</v>
      </c>
      <c r="B26" s="96" t="s">
        <v>82</v>
      </c>
      <c r="C26" s="94" t="s">
        <v>343</v>
      </c>
      <c r="D26" s="97">
        <v>2.0</v>
      </c>
      <c r="E26" s="97" t="s">
        <v>146</v>
      </c>
      <c r="F26" s="97" t="s">
        <v>148</v>
      </c>
      <c r="G26" s="97" t="s">
        <v>149</v>
      </c>
      <c r="H26" s="97" t="s">
        <v>151</v>
      </c>
      <c r="I26" s="96"/>
      <c r="J26" s="100" t="s">
        <v>345</v>
      </c>
      <c r="K26" s="101" t="s">
        <v>346</v>
      </c>
      <c r="L26" s="125" t="s">
        <v>92</v>
      </c>
      <c r="M26" s="50" t="s">
        <v>64</v>
      </c>
      <c r="N26" s="43" t="s">
        <v>55</v>
      </c>
      <c r="O26" s="124" t="s">
        <v>56</v>
      </c>
      <c r="P26" s="101" t="s">
        <v>1266</v>
      </c>
      <c r="Q26" s="107"/>
    </row>
    <row r="27" ht="39.75" customHeight="1">
      <c r="A27" s="73" t="s">
        <v>1269</v>
      </c>
      <c r="B27" s="75" t="s">
        <v>82</v>
      </c>
      <c r="C27" s="73" t="s">
        <v>343</v>
      </c>
      <c r="D27" s="77">
        <v>2.0</v>
      </c>
      <c r="E27" s="77" t="s">
        <v>146</v>
      </c>
      <c r="F27" s="77" t="s">
        <v>148</v>
      </c>
      <c r="G27" s="77" t="s">
        <v>149</v>
      </c>
      <c r="H27" s="77" t="s">
        <v>151</v>
      </c>
      <c r="I27" s="75"/>
      <c r="J27" s="81" t="s">
        <v>345</v>
      </c>
      <c r="K27" s="45" t="s">
        <v>346</v>
      </c>
      <c r="L27" s="148" t="s">
        <v>199</v>
      </c>
      <c r="M27" s="50" t="s">
        <v>64</v>
      </c>
      <c r="N27" s="43" t="s">
        <v>55</v>
      </c>
      <c r="O27" s="59" t="s">
        <v>166</v>
      </c>
      <c r="P27" s="45" t="s">
        <v>1189</v>
      </c>
      <c r="Q27" s="44" t="s">
        <v>1190</v>
      </c>
    </row>
    <row r="28" ht="39.75" customHeight="1">
      <c r="A28" s="94" t="s">
        <v>1273</v>
      </c>
      <c r="B28" s="96" t="s">
        <v>82</v>
      </c>
      <c r="C28" s="94" t="s">
        <v>343</v>
      </c>
      <c r="D28" s="97">
        <v>2.0</v>
      </c>
      <c r="E28" s="97" t="s">
        <v>146</v>
      </c>
      <c r="F28" s="97" t="s">
        <v>148</v>
      </c>
      <c r="G28" s="97" t="s">
        <v>149</v>
      </c>
      <c r="H28" s="97" t="s">
        <v>151</v>
      </c>
      <c r="I28" s="96"/>
      <c r="J28" s="100" t="s">
        <v>345</v>
      </c>
      <c r="K28" s="101" t="s">
        <v>346</v>
      </c>
      <c r="L28" s="125" t="s">
        <v>92</v>
      </c>
      <c r="M28" s="50" t="s">
        <v>64</v>
      </c>
      <c r="N28" s="43" t="s">
        <v>55</v>
      </c>
      <c r="O28" s="105" t="s">
        <v>166</v>
      </c>
      <c r="P28" s="101" t="s">
        <v>1189</v>
      </c>
      <c r="Q28" s="107" t="s">
        <v>1276</v>
      </c>
    </row>
    <row r="29" ht="39.75" customHeight="1">
      <c r="A29" s="73" t="s">
        <v>1277</v>
      </c>
      <c r="B29" s="75" t="s">
        <v>82</v>
      </c>
      <c r="C29" s="73" t="s">
        <v>343</v>
      </c>
      <c r="D29" s="77">
        <v>2.0</v>
      </c>
      <c r="E29" s="77" t="s">
        <v>146</v>
      </c>
      <c r="F29" s="77" t="s">
        <v>148</v>
      </c>
      <c r="G29" s="77" t="s">
        <v>149</v>
      </c>
      <c r="H29" s="77" t="s">
        <v>151</v>
      </c>
      <c r="I29" s="75"/>
      <c r="J29" s="81" t="s">
        <v>345</v>
      </c>
      <c r="K29" s="45" t="s">
        <v>346</v>
      </c>
      <c r="L29" s="125" t="s">
        <v>92</v>
      </c>
      <c r="M29" s="50" t="s">
        <v>64</v>
      </c>
      <c r="N29" s="43" t="s">
        <v>55</v>
      </c>
      <c r="O29" s="59" t="s">
        <v>166</v>
      </c>
      <c r="P29" s="45" t="s">
        <v>1189</v>
      </c>
      <c r="Q29" s="44" t="s">
        <v>1190</v>
      </c>
    </row>
    <row r="30" ht="39.75" customHeight="1">
      <c r="A30" s="94" t="s">
        <v>1282</v>
      </c>
      <c r="B30" s="96" t="s">
        <v>82</v>
      </c>
      <c r="C30" s="94" t="s">
        <v>343</v>
      </c>
      <c r="D30" s="97">
        <v>2.0</v>
      </c>
      <c r="E30" s="97" t="s">
        <v>146</v>
      </c>
      <c r="F30" s="97" t="s">
        <v>148</v>
      </c>
      <c r="G30" s="97" t="s">
        <v>149</v>
      </c>
      <c r="H30" s="154" t="s">
        <v>466</v>
      </c>
      <c r="I30" s="96"/>
      <c r="J30" s="100" t="s">
        <v>345</v>
      </c>
      <c r="K30" s="101" t="s">
        <v>346</v>
      </c>
      <c r="L30" s="88" t="s">
        <v>63</v>
      </c>
      <c r="M30" s="50" t="s">
        <v>64</v>
      </c>
      <c r="N30" s="43" t="s">
        <v>55</v>
      </c>
      <c r="O30" s="105" t="s">
        <v>187</v>
      </c>
      <c r="P30" s="101" t="s">
        <v>1189</v>
      </c>
      <c r="Q30" s="107" t="s">
        <v>1285</v>
      </c>
    </row>
    <row r="31" ht="39.75" customHeight="1">
      <c r="A31" s="73" t="s">
        <v>1286</v>
      </c>
      <c r="B31" s="75" t="s">
        <v>82</v>
      </c>
      <c r="C31" s="73" t="s">
        <v>343</v>
      </c>
      <c r="D31" s="77">
        <v>2.0</v>
      </c>
      <c r="E31" s="77" t="s">
        <v>146</v>
      </c>
      <c r="F31" s="77" t="s">
        <v>148</v>
      </c>
      <c r="G31" s="77" t="s">
        <v>149</v>
      </c>
      <c r="H31" s="77" t="s">
        <v>151</v>
      </c>
      <c r="I31" s="75"/>
      <c r="J31" s="81" t="s">
        <v>345</v>
      </c>
      <c r="K31" s="45" t="s">
        <v>346</v>
      </c>
      <c r="L31" s="125" t="s">
        <v>92</v>
      </c>
      <c r="M31" s="49" t="s">
        <v>63</v>
      </c>
      <c r="N31" s="43" t="s">
        <v>55</v>
      </c>
      <c r="O31" s="59" t="s">
        <v>166</v>
      </c>
      <c r="P31" s="45" t="s">
        <v>1189</v>
      </c>
      <c r="Q31" s="44" t="s">
        <v>1190</v>
      </c>
    </row>
    <row r="32" ht="39.75" customHeight="1">
      <c r="A32" s="94" t="s">
        <v>1288</v>
      </c>
      <c r="B32" s="96" t="s">
        <v>82</v>
      </c>
      <c r="C32" s="94" t="s">
        <v>343</v>
      </c>
      <c r="D32" s="97">
        <v>2.0</v>
      </c>
      <c r="E32" s="97" t="s">
        <v>146</v>
      </c>
      <c r="F32" s="97" t="s">
        <v>148</v>
      </c>
      <c r="G32" s="97" t="s">
        <v>149</v>
      </c>
      <c r="H32" s="97" t="s">
        <v>151</v>
      </c>
      <c r="I32" s="96"/>
      <c r="J32" s="100" t="s">
        <v>345</v>
      </c>
      <c r="K32" s="101" t="s">
        <v>346</v>
      </c>
      <c r="L32" s="88" t="s">
        <v>63</v>
      </c>
      <c r="M32" s="50" t="s">
        <v>64</v>
      </c>
      <c r="N32" s="43" t="s">
        <v>55</v>
      </c>
      <c r="O32" s="105" t="s">
        <v>166</v>
      </c>
      <c r="P32" s="101" t="s">
        <v>1189</v>
      </c>
      <c r="Q32" s="107" t="s">
        <v>1190</v>
      </c>
    </row>
    <row r="33" ht="30.0" customHeight="1">
      <c r="A33" s="73" t="s">
        <v>1291</v>
      </c>
      <c r="B33" s="75" t="s">
        <v>82</v>
      </c>
      <c r="C33" s="73" t="s">
        <v>343</v>
      </c>
      <c r="D33" s="77">
        <v>2.0</v>
      </c>
      <c r="E33" s="77" t="s">
        <v>146</v>
      </c>
      <c r="F33" s="77" t="s">
        <v>148</v>
      </c>
      <c r="G33" s="77" t="s">
        <v>149</v>
      </c>
      <c r="H33" s="77" t="s">
        <v>151</v>
      </c>
      <c r="I33" s="75"/>
      <c r="J33" s="81" t="s">
        <v>345</v>
      </c>
      <c r="K33" s="45" t="s">
        <v>346</v>
      </c>
      <c r="L33" s="148" t="s">
        <v>199</v>
      </c>
      <c r="M33" s="50" t="s">
        <v>64</v>
      </c>
      <c r="N33" s="43" t="s">
        <v>55</v>
      </c>
      <c r="O33" s="115" t="s">
        <v>56</v>
      </c>
      <c r="P33" s="45" t="s">
        <v>1292</v>
      </c>
      <c r="Q33" s="44"/>
    </row>
    <row r="34" ht="39.75" customHeight="1">
      <c r="A34" s="94" t="s">
        <v>1294</v>
      </c>
      <c r="B34" s="96" t="s">
        <v>82</v>
      </c>
      <c r="C34" s="94" t="s">
        <v>343</v>
      </c>
      <c r="D34" s="97">
        <v>2.0</v>
      </c>
      <c r="E34" s="97" t="s">
        <v>146</v>
      </c>
      <c r="F34" s="97" t="s">
        <v>148</v>
      </c>
      <c r="G34" s="97" t="s">
        <v>149</v>
      </c>
      <c r="H34" s="154" t="s">
        <v>466</v>
      </c>
      <c r="I34" s="96"/>
      <c r="J34" s="100" t="s">
        <v>345</v>
      </c>
      <c r="K34" s="101" t="s">
        <v>346</v>
      </c>
      <c r="L34" s="137" t="s">
        <v>164</v>
      </c>
      <c r="M34" s="50" t="s">
        <v>64</v>
      </c>
      <c r="N34" s="43" t="s">
        <v>55</v>
      </c>
      <c r="O34" s="105" t="s">
        <v>187</v>
      </c>
      <c r="P34" s="101" t="s">
        <v>1189</v>
      </c>
      <c r="Q34" s="107" t="s">
        <v>1296</v>
      </c>
    </row>
    <row r="35" ht="39.75" customHeight="1">
      <c r="A35" s="73" t="s">
        <v>1297</v>
      </c>
      <c r="B35" s="75" t="s">
        <v>82</v>
      </c>
      <c r="C35" s="73" t="s">
        <v>343</v>
      </c>
      <c r="D35" s="77">
        <v>2.0</v>
      </c>
      <c r="E35" s="77" t="s">
        <v>146</v>
      </c>
      <c r="F35" s="77" t="s">
        <v>148</v>
      </c>
      <c r="G35" s="77" t="s">
        <v>149</v>
      </c>
      <c r="H35" s="77" t="s">
        <v>151</v>
      </c>
      <c r="I35" s="75"/>
      <c r="J35" s="81" t="s">
        <v>345</v>
      </c>
      <c r="K35" s="45" t="s">
        <v>346</v>
      </c>
      <c r="L35" s="149"/>
      <c r="M35" s="149"/>
      <c r="N35" s="157" t="s">
        <v>447</v>
      </c>
      <c r="O35" s="115" t="s">
        <v>198</v>
      </c>
      <c r="P35" s="151"/>
      <c r="Q35" s="44" t="s">
        <v>448</v>
      </c>
    </row>
    <row r="36" ht="39.75" customHeight="1">
      <c r="A36" s="94" t="s">
        <v>1300</v>
      </c>
      <c r="B36" s="96" t="s">
        <v>82</v>
      </c>
      <c r="C36" s="94" t="s">
        <v>343</v>
      </c>
      <c r="D36" s="97">
        <v>2.0</v>
      </c>
      <c r="E36" s="97" t="s">
        <v>146</v>
      </c>
      <c r="F36" s="97" t="s">
        <v>148</v>
      </c>
      <c r="G36" s="97" t="s">
        <v>149</v>
      </c>
      <c r="H36" s="97" t="s">
        <v>151</v>
      </c>
      <c r="I36" s="96"/>
      <c r="J36" s="100" t="s">
        <v>345</v>
      </c>
      <c r="K36" s="101" t="s">
        <v>346</v>
      </c>
      <c r="L36" s="140" t="s">
        <v>52</v>
      </c>
      <c r="M36" s="62" t="s">
        <v>92</v>
      </c>
      <c r="N36" s="43" t="s">
        <v>55</v>
      </c>
      <c r="O36" s="105" t="s">
        <v>166</v>
      </c>
      <c r="P36" s="101" t="s">
        <v>1189</v>
      </c>
      <c r="Q36" s="107" t="s">
        <v>1190</v>
      </c>
    </row>
    <row r="37" ht="39.75" customHeight="1">
      <c r="A37" s="73" t="s">
        <v>1262</v>
      </c>
      <c r="B37" s="75" t="s">
        <v>82</v>
      </c>
      <c r="C37" s="73" t="s">
        <v>348</v>
      </c>
      <c r="D37" s="77">
        <v>3.0</v>
      </c>
      <c r="E37" s="77" t="s">
        <v>500</v>
      </c>
      <c r="F37" s="77" t="s">
        <v>148</v>
      </c>
      <c r="G37" s="77" t="s">
        <v>149</v>
      </c>
      <c r="H37" s="77" t="s">
        <v>151</v>
      </c>
      <c r="I37" s="173" t="s">
        <v>1303</v>
      </c>
      <c r="J37" s="81" t="s">
        <v>351</v>
      </c>
      <c r="K37" s="45" t="s">
        <v>352</v>
      </c>
      <c r="L37" s="149"/>
      <c r="M37" s="149"/>
      <c r="N37" s="157" t="s">
        <v>447</v>
      </c>
      <c r="O37" s="115" t="s">
        <v>198</v>
      </c>
      <c r="P37" s="151"/>
      <c r="Q37" s="44" t="s">
        <v>448</v>
      </c>
    </row>
    <row r="38" ht="39.75" customHeight="1">
      <c r="A38" s="94" t="s">
        <v>1287</v>
      </c>
      <c r="B38" s="96" t="s">
        <v>82</v>
      </c>
      <c r="C38" s="94" t="s">
        <v>348</v>
      </c>
      <c r="D38" s="97">
        <v>3.0</v>
      </c>
      <c r="E38" s="97" t="s">
        <v>500</v>
      </c>
      <c r="F38" s="97" t="s">
        <v>148</v>
      </c>
      <c r="G38" s="97" t="s">
        <v>149</v>
      </c>
      <c r="H38" s="97" t="s">
        <v>151</v>
      </c>
      <c r="I38" s="173" t="s">
        <v>1303</v>
      </c>
      <c r="J38" s="100" t="s">
        <v>351</v>
      </c>
      <c r="K38" s="101" t="s">
        <v>352</v>
      </c>
      <c r="L38" s="149"/>
      <c r="M38" s="149"/>
      <c r="N38" s="157" t="s">
        <v>447</v>
      </c>
      <c r="O38" s="124" t="s">
        <v>198</v>
      </c>
      <c r="P38" s="159"/>
      <c r="Q38" s="107" t="s">
        <v>448</v>
      </c>
    </row>
    <row r="39" ht="39.75" customHeight="1">
      <c r="A39" s="73" t="s">
        <v>1290</v>
      </c>
      <c r="B39" s="75" t="s">
        <v>82</v>
      </c>
      <c r="C39" s="73" t="s">
        <v>348</v>
      </c>
      <c r="D39" s="77">
        <v>3.0</v>
      </c>
      <c r="E39" s="77" t="s">
        <v>500</v>
      </c>
      <c r="F39" s="77" t="s">
        <v>148</v>
      </c>
      <c r="G39" s="77" t="s">
        <v>149</v>
      </c>
      <c r="H39" s="77" t="s">
        <v>151</v>
      </c>
      <c r="I39" s="173" t="s">
        <v>1303</v>
      </c>
      <c r="J39" s="81" t="s">
        <v>351</v>
      </c>
      <c r="K39" s="45" t="s">
        <v>352</v>
      </c>
      <c r="L39" s="149"/>
      <c r="M39" s="149"/>
      <c r="N39" s="157" t="s">
        <v>447</v>
      </c>
      <c r="O39" s="115" t="s">
        <v>198</v>
      </c>
      <c r="P39" s="151"/>
      <c r="Q39" s="44" t="s">
        <v>448</v>
      </c>
    </row>
    <row r="40" ht="39.75" customHeight="1">
      <c r="A40" s="94" t="s">
        <v>1306</v>
      </c>
      <c r="B40" s="96" t="s">
        <v>82</v>
      </c>
      <c r="C40" s="94" t="s">
        <v>348</v>
      </c>
      <c r="D40" s="97">
        <v>3.0</v>
      </c>
      <c r="E40" s="97" t="s">
        <v>500</v>
      </c>
      <c r="F40" s="97" t="s">
        <v>148</v>
      </c>
      <c r="G40" s="97" t="s">
        <v>149</v>
      </c>
      <c r="H40" s="97" t="s">
        <v>151</v>
      </c>
      <c r="I40" s="173" t="s">
        <v>1303</v>
      </c>
      <c r="J40" s="100" t="s">
        <v>351</v>
      </c>
      <c r="K40" s="101" t="s">
        <v>352</v>
      </c>
      <c r="L40" s="137" t="s">
        <v>164</v>
      </c>
      <c r="M40" s="50" t="s">
        <v>64</v>
      </c>
      <c r="N40" s="43" t="s">
        <v>55</v>
      </c>
      <c r="O40" s="105" t="s">
        <v>166</v>
      </c>
      <c r="P40" s="101" t="s">
        <v>1189</v>
      </c>
      <c r="Q40" s="107" t="s">
        <v>1190</v>
      </c>
    </row>
    <row r="41" ht="39.75" customHeight="1">
      <c r="A41" s="73" t="s">
        <v>1310</v>
      </c>
      <c r="B41" s="75" t="s">
        <v>82</v>
      </c>
      <c r="C41" s="73" t="s">
        <v>348</v>
      </c>
      <c r="D41" s="77">
        <v>3.0</v>
      </c>
      <c r="E41" s="77" t="s">
        <v>500</v>
      </c>
      <c r="F41" s="77" t="s">
        <v>148</v>
      </c>
      <c r="G41" s="77" t="s">
        <v>149</v>
      </c>
      <c r="H41" s="77" t="s">
        <v>151</v>
      </c>
      <c r="I41" s="173" t="s">
        <v>1303</v>
      </c>
      <c r="J41" s="81" t="s">
        <v>351</v>
      </c>
      <c r="K41" s="45" t="s">
        <v>352</v>
      </c>
      <c r="L41" s="149"/>
      <c r="M41" s="149"/>
      <c r="N41" s="157" t="s">
        <v>447</v>
      </c>
      <c r="O41" s="115" t="s">
        <v>198</v>
      </c>
      <c r="P41" s="151"/>
      <c r="Q41" s="44" t="s">
        <v>448</v>
      </c>
    </row>
    <row r="42" ht="30.0" customHeight="1">
      <c r="A42" s="94" t="s">
        <v>1313</v>
      </c>
      <c r="B42" s="96" t="s">
        <v>82</v>
      </c>
      <c r="C42" s="94" t="s">
        <v>348</v>
      </c>
      <c r="D42" s="97">
        <v>3.0</v>
      </c>
      <c r="E42" s="97" t="s">
        <v>500</v>
      </c>
      <c r="F42" s="97" t="s">
        <v>148</v>
      </c>
      <c r="G42" s="97" t="s">
        <v>149</v>
      </c>
      <c r="H42" s="97" t="s">
        <v>151</v>
      </c>
      <c r="I42" s="173" t="s">
        <v>1303</v>
      </c>
      <c r="J42" s="100" t="s">
        <v>351</v>
      </c>
      <c r="K42" s="101" t="s">
        <v>352</v>
      </c>
      <c r="L42" s="125" t="s">
        <v>92</v>
      </c>
      <c r="M42" s="50" t="s">
        <v>64</v>
      </c>
      <c r="N42" s="43" t="s">
        <v>55</v>
      </c>
      <c r="O42" s="124" t="s">
        <v>56</v>
      </c>
      <c r="P42" s="101" t="s">
        <v>1316</v>
      </c>
      <c r="Q42" s="107"/>
    </row>
    <row r="43" ht="39.75" customHeight="1">
      <c r="A43" s="73" t="s">
        <v>1317</v>
      </c>
      <c r="B43" s="75" t="s">
        <v>82</v>
      </c>
      <c r="C43" s="73" t="s">
        <v>348</v>
      </c>
      <c r="D43" s="77">
        <v>3.0</v>
      </c>
      <c r="E43" s="77" t="s">
        <v>500</v>
      </c>
      <c r="F43" s="77" t="s">
        <v>148</v>
      </c>
      <c r="G43" s="77" t="s">
        <v>149</v>
      </c>
      <c r="H43" s="77" t="s">
        <v>151</v>
      </c>
      <c r="I43" s="173" t="s">
        <v>1303</v>
      </c>
      <c r="J43" s="81" t="s">
        <v>351</v>
      </c>
      <c r="K43" s="45" t="s">
        <v>352</v>
      </c>
      <c r="L43" s="149"/>
      <c r="M43" s="149"/>
      <c r="N43" s="157" t="s">
        <v>447</v>
      </c>
      <c r="O43" s="115" t="s">
        <v>198</v>
      </c>
      <c r="P43" s="151"/>
      <c r="Q43" s="44" t="s">
        <v>448</v>
      </c>
    </row>
    <row r="44" ht="39.75" customHeight="1">
      <c r="A44" s="94" t="s">
        <v>1319</v>
      </c>
      <c r="B44" s="96" t="s">
        <v>82</v>
      </c>
      <c r="C44" s="94" t="s">
        <v>348</v>
      </c>
      <c r="D44" s="97">
        <v>3.0</v>
      </c>
      <c r="E44" s="97" t="s">
        <v>500</v>
      </c>
      <c r="F44" s="97" t="s">
        <v>148</v>
      </c>
      <c r="G44" s="97" t="s">
        <v>149</v>
      </c>
      <c r="H44" s="97" t="s">
        <v>151</v>
      </c>
      <c r="I44" s="173" t="s">
        <v>1303</v>
      </c>
      <c r="J44" s="100" t="s">
        <v>351</v>
      </c>
      <c r="K44" s="101" t="s">
        <v>352</v>
      </c>
      <c r="L44" s="125" t="s">
        <v>92</v>
      </c>
      <c r="M44" s="50" t="s">
        <v>64</v>
      </c>
      <c r="N44" s="43" t="s">
        <v>55</v>
      </c>
      <c r="O44" s="105" t="s">
        <v>166</v>
      </c>
      <c r="P44" s="101" t="s">
        <v>1189</v>
      </c>
      <c r="Q44" s="107" t="s">
        <v>1190</v>
      </c>
    </row>
    <row r="45" ht="39.75" customHeight="1">
      <c r="A45" s="73" t="s">
        <v>1321</v>
      </c>
      <c r="B45" s="75" t="s">
        <v>82</v>
      </c>
      <c r="C45" s="73" t="s">
        <v>348</v>
      </c>
      <c r="D45" s="77">
        <v>3.0</v>
      </c>
      <c r="E45" s="77" t="s">
        <v>500</v>
      </c>
      <c r="F45" s="77" t="s">
        <v>148</v>
      </c>
      <c r="G45" s="77" t="s">
        <v>149</v>
      </c>
      <c r="H45" s="77" t="s">
        <v>151</v>
      </c>
      <c r="I45" s="173" t="s">
        <v>1303</v>
      </c>
      <c r="J45" s="81" t="s">
        <v>351</v>
      </c>
      <c r="K45" s="45" t="s">
        <v>352</v>
      </c>
      <c r="L45" s="140" t="s">
        <v>52</v>
      </c>
      <c r="M45" s="138" t="s">
        <v>199</v>
      </c>
      <c r="N45" s="43" t="s">
        <v>55</v>
      </c>
      <c r="O45" s="59" t="s">
        <v>166</v>
      </c>
      <c r="P45" s="45" t="s">
        <v>1189</v>
      </c>
      <c r="Q45" s="44" t="s">
        <v>1323</v>
      </c>
    </row>
    <row r="46" ht="30.0" customHeight="1">
      <c r="A46" s="94" t="s">
        <v>1324</v>
      </c>
      <c r="B46" s="96" t="s">
        <v>82</v>
      </c>
      <c r="C46" s="94" t="s">
        <v>348</v>
      </c>
      <c r="D46" s="97">
        <v>3.0</v>
      </c>
      <c r="E46" s="97" t="s">
        <v>500</v>
      </c>
      <c r="F46" s="97" t="s">
        <v>148</v>
      </c>
      <c r="G46" s="97" t="s">
        <v>149</v>
      </c>
      <c r="H46" s="97" t="s">
        <v>151</v>
      </c>
      <c r="I46" s="173" t="s">
        <v>1303</v>
      </c>
      <c r="J46" s="100" t="s">
        <v>351</v>
      </c>
      <c r="K46" s="101" t="s">
        <v>352</v>
      </c>
      <c r="L46" s="88" t="s">
        <v>63</v>
      </c>
      <c r="M46" s="50" t="s">
        <v>64</v>
      </c>
      <c r="N46" s="43" t="s">
        <v>55</v>
      </c>
      <c r="O46" s="124" t="s">
        <v>56</v>
      </c>
      <c r="P46" s="101" t="s">
        <v>1327</v>
      </c>
      <c r="Q46" s="107"/>
    </row>
    <row r="47" ht="39.75" customHeight="1">
      <c r="A47" s="73" t="s">
        <v>1259</v>
      </c>
      <c r="B47" s="75" t="s">
        <v>82</v>
      </c>
      <c r="C47" s="73" t="s">
        <v>348</v>
      </c>
      <c r="D47" s="77">
        <v>3.0</v>
      </c>
      <c r="E47" s="77" t="s">
        <v>540</v>
      </c>
      <c r="F47" s="77" t="s">
        <v>148</v>
      </c>
      <c r="G47" s="77" t="s">
        <v>149</v>
      </c>
      <c r="H47" s="77" t="s">
        <v>151</v>
      </c>
      <c r="I47" s="173" t="s">
        <v>1303</v>
      </c>
      <c r="J47" s="81" t="s">
        <v>351</v>
      </c>
      <c r="K47" s="45" t="s">
        <v>352</v>
      </c>
      <c r="L47" s="137" t="s">
        <v>164</v>
      </c>
      <c r="M47" s="50" t="s">
        <v>64</v>
      </c>
      <c r="N47" s="43" t="s">
        <v>55</v>
      </c>
      <c r="O47" s="59" t="s">
        <v>166</v>
      </c>
      <c r="P47" s="45" t="s">
        <v>1189</v>
      </c>
      <c r="Q47" s="44" t="s">
        <v>1190</v>
      </c>
    </row>
    <row r="48" ht="39.75" customHeight="1">
      <c r="A48" s="94" t="s">
        <v>1270</v>
      </c>
      <c r="B48" s="96" t="s">
        <v>82</v>
      </c>
      <c r="C48" s="94" t="s">
        <v>348</v>
      </c>
      <c r="D48" s="97">
        <v>3.0</v>
      </c>
      <c r="E48" s="97" t="s">
        <v>540</v>
      </c>
      <c r="F48" s="97" t="s">
        <v>148</v>
      </c>
      <c r="G48" s="97" t="s">
        <v>149</v>
      </c>
      <c r="H48" s="97" t="s">
        <v>151</v>
      </c>
      <c r="I48" s="173" t="s">
        <v>1303</v>
      </c>
      <c r="J48" s="100" t="s">
        <v>351</v>
      </c>
      <c r="K48" s="101" t="s">
        <v>352</v>
      </c>
      <c r="L48" s="149"/>
      <c r="M48" s="149"/>
      <c r="N48" s="157" t="s">
        <v>447</v>
      </c>
      <c r="O48" s="124" t="s">
        <v>198</v>
      </c>
      <c r="P48" s="159"/>
      <c r="Q48" s="107" t="s">
        <v>448</v>
      </c>
    </row>
    <row r="49" ht="39.75" customHeight="1">
      <c r="A49" s="73" t="s">
        <v>1298</v>
      </c>
      <c r="B49" s="75" t="s">
        <v>82</v>
      </c>
      <c r="C49" s="73" t="s">
        <v>348</v>
      </c>
      <c r="D49" s="77">
        <v>3.0</v>
      </c>
      <c r="E49" s="77" t="s">
        <v>540</v>
      </c>
      <c r="F49" s="77" t="s">
        <v>148</v>
      </c>
      <c r="G49" s="77" t="s">
        <v>149</v>
      </c>
      <c r="H49" s="77" t="s">
        <v>151</v>
      </c>
      <c r="I49" s="173" t="s">
        <v>1303</v>
      </c>
      <c r="J49" s="81" t="s">
        <v>351</v>
      </c>
      <c r="K49" s="45" t="s">
        <v>352</v>
      </c>
      <c r="L49" s="149"/>
      <c r="M49" s="149"/>
      <c r="N49" s="157" t="s">
        <v>447</v>
      </c>
      <c r="O49" s="115" t="s">
        <v>198</v>
      </c>
      <c r="P49" s="151"/>
      <c r="Q49" s="44" t="s">
        <v>448</v>
      </c>
    </row>
    <row r="50" ht="39.75" customHeight="1">
      <c r="A50" s="94" t="s">
        <v>1335</v>
      </c>
      <c r="B50" s="96" t="s">
        <v>82</v>
      </c>
      <c r="C50" s="94" t="s">
        <v>348</v>
      </c>
      <c r="D50" s="97">
        <v>3.0</v>
      </c>
      <c r="E50" s="97" t="s">
        <v>540</v>
      </c>
      <c r="F50" s="97" t="s">
        <v>148</v>
      </c>
      <c r="G50" s="97" t="s">
        <v>149</v>
      </c>
      <c r="H50" s="97" t="s">
        <v>151</v>
      </c>
      <c r="I50" s="173" t="s">
        <v>1303</v>
      </c>
      <c r="J50" s="100" t="s">
        <v>351</v>
      </c>
      <c r="K50" s="101" t="s">
        <v>352</v>
      </c>
      <c r="L50" s="88" t="s">
        <v>63</v>
      </c>
      <c r="M50" s="50" t="s">
        <v>64</v>
      </c>
      <c r="N50" s="43" t="s">
        <v>55</v>
      </c>
      <c r="O50" s="105" t="s">
        <v>166</v>
      </c>
      <c r="P50" s="101" t="s">
        <v>1189</v>
      </c>
      <c r="Q50" s="107" t="s">
        <v>1190</v>
      </c>
    </row>
    <row r="51" ht="39.75" customHeight="1">
      <c r="A51" s="73" t="s">
        <v>1338</v>
      </c>
      <c r="B51" s="75" t="s">
        <v>82</v>
      </c>
      <c r="C51" s="73" t="s">
        <v>348</v>
      </c>
      <c r="D51" s="77">
        <v>3.0</v>
      </c>
      <c r="E51" s="77" t="s">
        <v>540</v>
      </c>
      <c r="F51" s="77" t="s">
        <v>148</v>
      </c>
      <c r="G51" s="77" t="s">
        <v>149</v>
      </c>
      <c r="H51" s="77" t="s">
        <v>151</v>
      </c>
      <c r="I51" s="173" t="s">
        <v>1303</v>
      </c>
      <c r="J51" s="81" t="s">
        <v>351</v>
      </c>
      <c r="K51" s="45" t="s">
        <v>352</v>
      </c>
      <c r="L51" s="149"/>
      <c r="M51" s="149"/>
      <c r="N51" s="157" t="s">
        <v>447</v>
      </c>
      <c r="O51" s="115" t="s">
        <v>198</v>
      </c>
      <c r="P51" s="151"/>
      <c r="Q51" s="44" t="s">
        <v>448</v>
      </c>
    </row>
    <row r="52" ht="39.75" customHeight="1">
      <c r="A52" s="94" t="s">
        <v>1342</v>
      </c>
      <c r="B52" s="96" t="s">
        <v>82</v>
      </c>
      <c r="C52" s="94" t="s">
        <v>348</v>
      </c>
      <c r="D52" s="97">
        <v>3.0</v>
      </c>
      <c r="E52" s="97" t="s">
        <v>540</v>
      </c>
      <c r="F52" s="97" t="s">
        <v>148</v>
      </c>
      <c r="G52" s="97" t="s">
        <v>149</v>
      </c>
      <c r="H52" s="97" t="s">
        <v>151</v>
      </c>
      <c r="I52" s="173" t="s">
        <v>1303</v>
      </c>
      <c r="J52" s="100" t="s">
        <v>351</v>
      </c>
      <c r="K52" s="101" t="s">
        <v>352</v>
      </c>
      <c r="L52" s="174" t="s">
        <v>180</v>
      </c>
      <c r="M52" s="62" t="s">
        <v>92</v>
      </c>
      <c r="N52" s="43" t="s">
        <v>55</v>
      </c>
      <c r="O52" s="105" t="s">
        <v>166</v>
      </c>
      <c r="P52" s="101" t="s">
        <v>1189</v>
      </c>
      <c r="Q52" s="107" t="s">
        <v>1190</v>
      </c>
    </row>
    <row r="53" ht="39.75" customHeight="1">
      <c r="A53" s="73" t="s">
        <v>1345</v>
      </c>
      <c r="B53" s="75" t="s">
        <v>82</v>
      </c>
      <c r="C53" s="73" t="s">
        <v>348</v>
      </c>
      <c r="D53" s="77">
        <v>3.0</v>
      </c>
      <c r="E53" s="77" t="s">
        <v>540</v>
      </c>
      <c r="F53" s="77" t="s">
        <v>148</v>
      </c>
      <c r="G53" s="77" t="s">
        <v>149</v>
      </c>
      <c r="H53" s="77" t="s">
        <v>151</v>
      </c>
      <c r="I53" s="173" t="s">
        <v>1303</v>
      </c>
      <c r="J53" s="81" t="s">
        <v>351</v>
      </c>
      <c r="K53" s="45" t="s">
        <v>352</v>
      </c>
      <c r="L53" s="148" t="s">
        <v>199</v>
      </c>
      <c r="M53" s="50" t="s">
        <v>64</v>
      </c>
      <c r="N53" s="43" t="s">
        <v>55</v>
      </c>
      <c r="O53" s="59" t="s">
        <v>166</v>
      </c>
      <c r="P53" s="45" t="s">
        <v>1189</v>
      </c>
      <c r="Q53" s="44" t="s">
        <v>1190</v>
      </c>
    </row>
    <row r="54" ht="39.75" customHeight="1">
      <c r="A54" s="94" t="s">
        <v>1347</v>
      </c>
      <c r="B54" s="96" t="s">
        <v>82</v>
      </c>
      <c r="C54" s="94" t="s">
        <v>348</v>
      </c>
      <c r="D54" s="97">
        <v>3.0</v>
      </c>
      <c r="E54" s="97" t="s">
        <v>540</v>
      </c>
      <c r="F54" s="97" t="s">
        <v>148</v>
      </c>
      <c r="G54" s="97" t="s">
        <v>149</v>
      </c>
      <c r="H54" s="97" t="s">
        <v>151</v>
      </c>
      <c r="I54" s="173" t="s">
        <v>1303</v>
      </c>
      <c r="J54" s="100" t="s">
        <v>351</v>
      </c>
      <c r="K54" s="101" t="s">
        <v>352</v>
      </c>
      <c r="L54" s="149"/>
      <c r="M54" s="149"/>
      <c r="N54" s="157" t="s">
        <v>447</v>
      </c>
      <c r="O54" s="124" t="s">
        <v>198</v>
      </c>
      <c r="P54" s="159"/>
      <c r="Q54" s="107" t="s">
        <v>448</v>
      </c>
    </row>
    <row r="55" ht="39.75" customHeight="1">
      <c r="A55" s="73" t="s">
        <v>1350</v>
      </c>
      <c r="B55" s="75" t="s">
        <v>82</v>
      </c>
      <c r="C55" s="73" t="s">
        <v>348</v>
      </c>
      <c r="D55" s="77">
        <v>3.0</v>
      </c>
      <c r="E55" s="77" t="s">
        <v>540</v>
      </c>
      <c r="F55" s="77" t="s">
        <v>148</v>
      </c>
      <c r="G55" s="77" t="s">
        <v>149</v>
      </c>
      <c r="H55" s="77" t="s">
        <v>151</v>
      </c>
      <c r="I55" s="173" t="s">
        <v>1303</v>
      </c>
      <c r="J55" s="81" t="s">
        <v>351</v>
      </c>
      <c r="K55" s="45" t="s">
        <v>352</v>
      </c>
      <c r="L55" s="149"/>
      <c r="M55" s="149"/>
      <c r="N55" s="157" t="s">
        <v>447</v>
      </c>
      <c r="O55" s="115" t="s">
        <v>198</v>
      </c>
      <c r="P55" s="151"/>
      <c r="Q55" s="44" t="s">
        <v>448</v>
      </c>
    </row>
    <row r="56" ht="39.75" customHeight="1">
      <c r="A56" s="94" t="s">
        <v>1352</v>
      </c>
      <c r="B56" s="96" t="s">
        <v>82</v>
      </c>
      <c r="C56" s="94" t="s">
        <v>348</v>
      </c>
      <c r="D56" s="97">
        <v>3.0</v>
      </c>
      <c r="E56" s="97" t="s">
        <v>540</v>
      </c>
      <c r="F56" s="97" t="s">
        <v>148</v>
      </c>
      <c r="G56" s="97" t="s">
        <v>149</v>
      </c>
      <c r="H56" s="97" t="s">
        <v>151</v>
      </c>
      <c r="I56" s="173" t="s">
        <v>1303</v>
      </c>
      <c r="J56" s="100" t="s">
        <v>351</v>
      </c>
      <c r="K56" s="101" t="s">
        <v>352</v>
      </c>
      <c r="L56" s="149"/>
      <c r="M56" s="149"/>
      <c r="N56" s="157" t="s">
        <v>447</v>
      </c>
      <c r="O56" s="124" t="s">
        <v>198</v>
      </c>
      <c r="P56" s="159"/>
      <c r="Q56" s="107" t="s">
        <v>448</v>
      </c>
    </row>
    <row r="57" ht="39.75" customHeight="1">
      <c r="A57" s="73" t="s">
        <v>1354</v>
      </c>
      <c r="B57" s="75" t="s">
        <v>82</v>
      </c>
      <c r="C57" s="73" t="s">
        <v>348</v>
      </c>
      <c r="D57" s="77">
        <v>3.0</v>
      </c>
      <c r="E57" s="77" t="s">
        <v>540</v>
      </c>
      <c r="F57" s="77" t="s">
        <v>148</v>
      </c>
      <c r="G57" s="77" t="s">
        <v>149</v>
      </c>
      <c r="H57" s="77" t="s">
        <v>151</v>
      </c>
      <c r="I57" s="173" t="s">
        <v>1303</v>
      </c>
      <c r="J57" s="81" t="s">
        <v>351</v>
      </c>
      <c r="K57" s="45" t="s">
        <v>352</v>
      </c>
      <c r="L57" s="125" t="s">
        <v>92</v>
      </c>
      <c r="M57" s="50" t="s">
        <v>64</v>
      </c>
      <c r="N57" s="43" t="s">
        <v>55</v>
      </c>
      <c r="O57" s="59" t="s">
        <v>166</v>
      </c>
      <c r="P57" s="45" t="s">
        <v>1189</v>
      </c>
      <c r="Q57" s="44" t="s">
        <v>1276</v>
      </c>
    </row>
    <row r="58" ht="39.75" customHeight="1">
      <c r="A58" s="94" t="s">
        <v>1272</v>
      </c>
      <c r="B58" s="96" t="s">
        <v>82</v>
      </c>
      <c r="C58" s="94" t="s">
        <v>348</v>
      </c>
      <c r="D58" s="97">
        <v>3.0</v>
      </c>
      <c r="E58" s="97" t="s">
        <v>1357</v>
      </c>
      <c r="F58" s="97" t="s">
        <v>148</v>
      </c>
      <c r="G58" s="97" t="s">
        <v>149</v>
      </c>
      <c r="H58" s="97" t="s">
        <v>151</v>
      </c>
      <c r="I58" s="173" t="s">
        <v>1303</v>
      </c>
      <c r="J58" s="100" t="s">
        <v>351</v>
      </c>
      <c r="K58" s="101" t="s">
        <v>352</v>
      </c>
      <c r="L58" s="137" t="s">
        <v>164</v>
      </c>
      <c r="M58" s="50" t="s">
        <v>64</v>
      </c>
      <c r="N58" s="43" t="s">
        <v>55</v>
      </c>
      <c r="O58" s="105" t="s">
        <v>166</v>
      </c>
      <c r="P58" s="101" t="s">
        <v>1189</v>
      </c>
      <c r="Q58" s="107" t="s">
        <v>1190</v>
      </c>
    </row>
    <row r="59" ht="39.75" customHeight="1">
      <c r="A59" s="73" t="s">
        <v>1295</v>
      </c>
      <c r="B59" s="75" t="s">
        <v>82</v>
      </c>
      <c r="C59" s="73" t="s">
        <v>348</v>
      </c>
      <c r="D59" s="77">
        <v>3.0</v>
      </c>
      <c r="E59" s="77" t="s">
        <v>1357</v>
      </c>
      <c r="F59" s="77" t="s">
        <v>148</v>
      </c>
      <c r="G59" s="77" t="s">
        <v>149</v>
      </c>
      <c r="H59" s="77" t="s">
        <v>151</v>
      </c>
      <c r="I59" s="173" t="s">
        <v>1303</v>
      </c>
      <c r="J59" s="81" t="s">
        <v>351</v>
      </c>
      <c r="K59" s="45" t="s">
        <v>352</v>
      </c>
      <c r="L59" s="149"/>
      <c r="M59" s="149"/>
      <c r="N59" s="157" t="s">
        <v>447</v>
      </c>
      <c r="O59" s="115" t="s">
        <v>198</v>
      </c>
      <c r="P59" s="151"/>
      <c r="Q59" s="44" t="s">
        <v>448</v>
      </c>
    </row>
    <row r="60" ht="39.75" customHeight="1">
      <c r="A60" s="94" t="s">
        <v>1318</v>
      </c>
      <c r="B60" s="96" t="s">
        <v>82</v>
      </c>
      <c r="C60" s="94" t="s">
        <v>348</v>
      </c>
      <c r="D60" s="97">
        <v>3.0</v>
      </c>
      <c r="E60" s="97" t="s">
        <v>1357</v>
      </c>
      <c r="F60" s="97" t="s">
        <v>148</v>
      </c>
      <c r="G60" s="97" t="s">
        <v>149</v>
      </c>
      <c r="H60" s="97" t="s">
        <v>151</v>
      </c>
      <c r="I60" s="173" t="s">
        <v>1303</v>
      </c>
      <c r="J60" s="100" t="s">
        <v>351</v>
      </c>
      <c r="K60" s="101" t="s">
        <v>352</v>
      </c>
      <c r="L60" s="149"/>
      <c r="M60" s="149"/>
      <c r="N60" s="157" t="s">
        <v>447</v>
      </c>
      <c r="O60" s="124" t="s">
        <v>198</v>
      </c>
      <c r="P60" s="159"/>
      <c r="Q60" s="107" t="s">
        <v>448</v>
      </c>
    </row>
    <row r="61" ht="39.75" customHeight="1">
      <c r="A61" s="73" t="s">
        <v>1326</v>
      </c>
      <c r="B61" s="75" t="s">
        <v>82</v>
      </c>
      <c r="C61" s="73" t="s">
        <v>348</v>
      </c>
      <c r="D61" s="77">
        <v>3.0</v>
      </c>
      <c r="E61" s="77" t="s">
        <v>1357</v>
      </c>
      <c r="F61" s="77" t="s">
        <v>148</v>
      </c>
      <c r="G61" s="77" t="s">
        <v>149</v>
      </c>
      <c r="H61" s="77" t="s">
        <v>151</v>
      </c>
      <c r="I61" s="173" t="s">
        <v>1303</v>
      </c>
      <c r="J61" s="81" t="s">
        <v>351</v>
      </c>
      <c r="K61" s="45" t="s">
        <v>352</v>
      </c>
      <c r="L61" s="149"/>
      <c r="M61" s="149"/>
      <c r="N61" s="157" t="s">
        <v>447</v>
      </c>
      <c r="O61" s="115" t="s">
        <v>198</v>
      </c>
      <c r="P61" s="151"/>
      <c r="Q61" s="44" t="s">
        <v>448</v>
      </c>
    </row>
    <row r="62" ht="39.75" customHeight="1">
      <c r="A62" s="94" t="s">
        <v>1353</v>
      </c>
      <c r="B62" s="96" t="s">
        <v>82</v>
      </c>
      <c r="C62" s="94" t="s">
        <v>348</v>
      </c>
      <c r="D62" s="97">
        <v>3.0</v>
      </c>
      <c r="E62" s="97" t="s">
        <v>1357</v>
      </c>
      <c r="F62" s="97" t="s">
        <v>148</v>
      </c>
      <c r="G62" s="97" t="s">
        <v>149</v>
      </c>
      <c r="H62" s="97" t="s">
        <v>151</v>
      </c>
      <c r="I62" s="173" t="s">
        <v>1303</v>
      </c>
      <c r="J62" s="100" t="s">
        <v>351</v>
      </c>
      <c r="K62" s="101" t="s">
        <v>352</v>
      </c>
      <c r="L62" s="149"/>
      <c r="M62" s="149"/>
      <c r="N62" s="157" t="s">
        <v>447</v>
      </c>
      <c r="O62" s="124" t="s">
        <v>198</v>
      </c>
      <c r="P62" s="159"/>
      <c r="Q62" s="107" t="s">
        <v>448</v>
      </c>
    </row>
    <row r="63" ht="39.75" customHeight="1">
      <c r="A63" s="73" t="s">
        <v>1362</v>
      </c>
      <c r="B63" s="75" t="s">
        <v>82</v>
      </c>
      <c r="C63" s="73" t="s">
        <v>348</v>
      </c>
      <c r="D63" s="77">
        <v>3.0</v>
      </c>
      <c r="E63" s="77" t="s">
        <v>1357</v>
      </c>
      <c r="F63" s="77" t="s">
        <v>148</v>
      </c>
      <c r="G63" s="77" t="s">
        <v>149</v>
      </c>
      <c r="H63" s="77" t="s">
        <v>151</v>
      </c>
      <c r="I63" s="173" t="s">
        <v>1303</v>
      </c>
      <c r="J63" s="81" t="s">
        <v>351</v>
      </c>
      <c r="K63" s="45" t="s">
        <v>352</v>
      </c>
      <c r="L63" s="149"/>
      <c r="M63" s="149"/>
      <c r="N63" s="157" t="s">
        <v>447</v>
      </c>
      <c r="O63" s="115" t="s">
        <v>198</v>
      </c>
      <c r="P63" s="151"/>
      <c r="Q63" s="44" t="s">
        <v>448</v>
      </c>
    </row>
    <row r="64" ht="39.75" customHeight="1">
      <c r="A64" s="94" t="s">
        <v>1363</v>
      </c>
      <c r="B64" s="96" t="s">
        <v>82</v>
      </c>
      <c r="C64" s="94" t="s">
        <v>348</v>
      </c>
      <c r="D64" s="97">
        <v>3.0</v>
      </c>
      <c r="E64" s="97" t="s">
        <v>1357</v>
      </c>
      <c r="F64" s="97" t="s">
        <v>148</v>
      </c>
      <c r="G64" s="97" t="s">
        <v>149</v>
      </c>
      <c r="H64" s="97" t="s">
        <v>151</v>
      </c>
      <c r="I64" s="173" t="s">
        <v>1303</v>
      </c>
      <c r="J64" s="100" t="s">
        <v>351</v>
      </c>
      <c r="K64" s="101" t="s">
        <v>352</v>
      </c>
      <c r="L64" s="140" t="s">
        <v>52</v>
      </c>
      <c r="M64" s="86" t="s">
        <v>164</v>
      </c>
      <c r="N64" s="43" t="s">
        <v>55</v>
      </c>
      <c r="O64" s="105" t="s">
        <v>166</v>
      </c>
      <c r="P64" s="101" t="s">
        <v>1189</v>
      </c>
      <c r="Q64" s="107" t="s">
        <v>1190</v>
      </c>
    </row>
    <row r="65" ht="39.75" customHeight="1">
      <c r="A65" s="73" t="s">
        <v>1364</v>
      </c>
      <c r="B65" s="75" t="s">
        <v>82</v>
      </c>
      <c r="C65" s="73" t="s">
        <v>348</v>
      </c>
      <c r="D65" s="77">
        <v>3.0</v>
      </c>
      <c r="E65" s="77" t="s">
        <v>1357</v>
      </c>
      <c r="F65" s="77" t="s">
        <v>148</v>
      </c>
      <c r="G65" s="77" t="s">
        <v>149</v>
      </c>
      <c r="H65" s="77" t="s">
        <v>151</v>
      </c>
      <c r="I65" s="173" t="s">
        <v>1303</v>
      </c>
      <c r="J65" s="81" t="s">
        <v>351</v>
      </c>
      <c r="K65" s="45" t="s">
        <v>352</v>
      </c>
      <c r="L65" s="125" t="s">
        <v>92</v>
      </c>
      <c r="M65" s="50" t="s">
        <v>64</v>
      </c>
      <c r="N65" s="43" t="s">
        <v>55</v>
      </c>
      <c r="O65" s="59" t="s">
        <v>166</v>
      </c>
      <c r="P65" s="45" t="s">
        <v>1189</v>
      </c>
      <c r="Q65" s="44" t="s">
        <v>1190</v>
      </c>
    </row>
    <row r="66" ht="39.75" customHeight="1">
      <c r="A66" s="94" t="s">
        <v>1366</v>
      </c>
      <c r="B66" s="96" t="s">
        <v>82</v>
      </c>
      <c r="C66" s="94" t="s">
        <v>348</v>
      </c>
      <c r="D66" s="97">
        <v>3.0</v>
      </c>
      <c r="E66" s="97" t="s">
        <v>1357</v>
      </c>
      <c r="F66" s="97" t="s">
        <v>148</v>
      </c>
      <c r="G66" s="97" t="s">
        <v>149</v>
      </c>
      <c r="H66" s="97" t="s">
        <v>151</v>
      </c>
      <c r="I66" s="173" t="s">
        <v>1303</v>
      </c>
      <c r="J66" s="100" t="s">
        <v>351</v>
      </c>
      <c r="K66" s="101" t="s">
        <v>352</v>
      </c>
      <c r="L66" s="125" t="s">
        <v>92</v>
      </c>
      <c r="M66" s="50" t="s">
        <v>64</v>
      </c>
      <c r="N66" s="43" t="s">
        <v>55</v>
      </c>
      <c r="O66" s="105" t="s">
        <v>166</v>
      </c>
      <c r="P66" s="101" t="s">
        <v>1189</v>
      </c>
      <c r="Q66" s="107" t="s">
        <v>1190</v>
      </c>
    </row>
    <row r="67" ht="39.75" customHeight="1">
      <c r="A67" s="73" t="s">
        <v>1367</v>
      </c>
      <c r="B67" s="75" t="s">
        <v>82</v>
      </c>
      <c r="C67" s="73" t="s">
        <v>348</v>
      </c>
      <c r="D67" s="77">
        <v>3.0</v>
      </c>
      <c r="E67" s="77" t="s">
        <v>1357</v>
      </c>
      <c r="F67" s="77" t="s">
        <v>148</v>
      </c>
      <c r="G67" s="77" t="s">
        <v>149</v>
      </c>
      <c r="H67" s="77" t="s">
        <v>151</v>
      </c>
      <c r="I67" s="173" t="s">
        <v>1303</v>
      </c>
      <c r="J67" s="81" t="s">
        <v>351</v>
      </c>
      <c r="K67" s="45" t="s">
        <v>352</v>
      </c>
      <c r="L67" s="149"/>
      <c r="M67" s="149"/>
      <c r="N67" s="157" t="s">
        <v>447</v>
      </c>
      <c r="O67" s="115" t="s">
        <v>198</v>
      </c>
      <c r="P67" s="151"/>
      <c r="Q67" s="44" t="s">
        <v>448</v>
      </c>
    </row>
    <row r="68" ht="39.75" customHeight="1">
      <c r="A68" s="94" t="s">
        <v>1368</v>
      </c>
      <c r="B68" s="96" t="s">
        <v>82</v>
      </c>
      <c r="C68" s="94" t="s">
        <v>348</v>
      </c>
      <c r="D68" s="97">
        <v>3.0</v>
      </c>
      <c r="E68" s="97" t="s">
        <v>1357</v>
      </c>
      <c r="F68" s="97" t="s">
        <v>148</v>
      </c>
      <c r="G68" s="97" t="s">
        <v>149</v>
      </c>
      <c r="H68" s="97" t="s">
        <v>151</v>
      </c>
      <c r="I68" s="173" t="s">
        <v>1303</v>
      </c>
      <c r="J68" s="100" t="s">
        <v>351</v>
      </c>
      <c r="K68" s="101" t="s">
        <v>352</v>
      </c>
      <c r="L68" s="125" t="s">
        <v>92</v>
      </c>
      <c r="M68" s="49" t="s">
        <v>63</v>
      </c>
      <c r="N68" s="43" t="s">
        <v>55</v>
      </c>
      <c r="O68" s="105" t="s">
        <v>166</v>
      </c>
      <c r="P68" s="101" t="s">
        <v>1189</v>
      </c>
      <c r="Q68" s="107" t="s">
        <v>1190</v>
      </c>
    </row>
    <row r="69" ht="39.75" customHeight="1">
      <c r="A69" s="73" t="s">
        <v>1255</v>
      </c>
      <c r="B69" s="75" t="s">
        <v>82</v>
      </c>
      <c r="C69" s="73" t="s">
        <v>348</v>
      </c>
      <c r="D69" s="77">
        <v>3.0</v>
      </c>
      <c r="E69" s="77" t="s">
        <v>1369</v>
      </c>
      <c r="F69" s="77" t="s">
        <v>148</v>
      </c>
      <c r="G69" s="77" t="s">
        <v>149</v>
      </c>
      <c r="H69" s="77" t="s">
        <v>151</v>
      </c>
      <c r="I69" s="173" t="s">
        <v>1303</v>
      </c>
      <c r="J69" s="81" t="s">
        <v>351</v>
      </c>
      <c r="K69" s="45" t="s">
        <v>352</v>
      </c>
      <c r="L69" s="149"/>
      <c r="M69" s="149"/>
      <c r="N69" s="157" t="s">
        <v>447</v>
      </c>
      <c r="O69" s="115" t="s">
        <v>198</v>
      </c>
      <c r="P69" s="151"/>
      <c r="Q69" s="44" t="s">
        <v>448</v>
      </c>
    </row>
    <row r="70" ht="39.75" customHeight="1">
      <c r="A70" s="94" t="s">
        <v>1280</v>
      </c>
      <c r="B70" s="96" t="s">
        <v>82</v>
      </c>
      <c r="C70" s="94" t="s">
        <v>348</v>
      </c>
      <c r="D70" s="97">
        <v>3.0</v>
      </c>
      <c r="E70" s="97" t="s">
        <v>1369</v>
      </c>
      <c r="F70" s="97" t="s">
        <v>148</v>
      </c>
      <c r="G70" s="97" t="s">
        <v>149</v>
      </c>
      <c r="H70" s="97" t="s">
        <v>151</v>
      </c>
      <c r="I70" s="173" t="s">
        <v>1303</v>
      </c>
      <c r="J70" s="100" t="s">
        <v>351</v>
      </c>
      <c r="K70" s="101" t="s">
        <v>352</v>
      </c>
      <c r="L70" s="149"/>
      <c r="M70" s="149"/>
      <c r="N70" s="157" t="s">
        <v>447</v>
      </c>
      <c r="O70" s="124" t="s">
        <v>198</v>
      </c>
      <c r="P70" s="159"/>
      <c r="Q70" s="107" t="s">
        <v>448</v>
      </c>
    </row>
    <row r="71" ht="39.75" customHeight="1">
      <c r="A71" s="73" t="s">
        <v>1315</v>
      </c>
      <c r="B71" s="75" t="s">
        <v>82</v>
      </c>
      <c r="C71" s="73" t="s">
        <v>348</v>
      </c>
      <c r="D71" s="77">
        <v>3.0</v>
      </c>
      <c r="E71" s="77" t="s">
        <v>1369</v>
      </c>
      <c r="F71" s="77" t="s">
        <v>148</v>
      </c>
      <c r="G71" s="77" t="s">
        <v>149</v>
      </c>
      <c r="H71" s="77" t="s">
        <v>151</v>
      </c>
      <c r="I71" s="173" t="s">
        <v>1303</v>
      </c>
      <c r="J71" s="81" t="s">
        <v>351</v>
      </c>
      <c r="K71" s="45" t="s">
        <v>352</v>
      </c>
      <c r="L71" s="149"/>
      <c r="M71" s="149"/>
      <c r="N71" s="157" t="s">
        <v>447</v>
      </c>
      <c r="O71" s="115" t="s">
        <v>198</v>
      </c>
      <c r="P71" s="151"/>
      <c r="Q71" s="44" t="s">
        <v>448</v>
      </c>
    </row>
    <row r="72" ht="39.75" customHeight="1">
      <c r="A72" s="94" t="s">
        <v>1325</v>
      </c>
      <c r="B72" s="96" t="s">
        <v>82</v>
      </c>
      <c r="C72" s="94" t="s">
        <v>348</v>
      </c>
      <c r="D72" s="97">
        <v>3.0</v>
      </c>
      <c r="E72" s="97" t="s">
        <v>1369</v>
      </c>
      <c r="F72" s="97" t="s">
        <v>148</v>
      </c>
      <c r="G72" s="97" t="s">
        <v>149</v>
      </c>
      <c r="H72" s="97" t="s">
        <v>151</v>
      </c>
      <c r="I72" s="173" t="s">
        <v>1303</v>
      </c>
      <c r="J72" s="100" t="s">
        <v>351</v>
      </c>
      <c r="K72" s="101" t="s">
        <v>352</v>
      </c>
      <c r="L72" s="149"/>
      <c r="M72" s="149"/>
      <c r="N72" s="157" t="s">
        <v>447</v>
      </c>
      <c r="O72" s="124" t="s">
        <v>198</v>
      </c>
      <c r="P72" s="159"/>
      <c r="Q72" s="107" t="s">
        <v>448</v>
      </c>
    </row>
    <row r="73" ht="39.75" customHeight="1">
      <c r="A73" s="73" t="s">
        <v>1330</v>
      </c>
      <c r="B73" s="75" t="s">
        <v>82</v>
      </c>
      <c r="C73" s="73" t="s">
        <v>348</v>
      </c>
      <c r="D73" s="77">
        <v>3.0</v>
      </c>
      <c r="E73" s="77" t="s">
        <v>1369</v>
      </c>
      <c r="F73" s="77" t="s">
        <v>148</v>
      </c>
      <c r="G73" s="77" t="s">
        <v>149</v>
      </c>
      <c r="H73" s="77" t="s">
        <v>151</v>
      </c>
      <c r="I73" s="173" t="s">
        <v>1303</v>
      </c>
      <c r="J73" s="81" t="s">
        <v>351</v>
      </c>
      <c r="K73" s="45" t="s">
        <v>352</v>
      </c>
      <c r="L73" s="149"/>
      <c r="M73" s="149"/>
      <c r="N73" s="157" t="s">
        <v>447</v>
      </c>
      <c r="O73" s="115" t="s">
        <v>198</v>
      </c>
      <c r="P73" s="151"/>
      <c r="Q73" s="44" t="s">
        <v>448</v>
      </c>
    </row>
    <row r="74" ht="39.75" customHeight="1">
      <c r="A74" s="94" t="s">
        <v>1333</v>
      </c>
      <c r="B74" s="96" t="s">
        <v>82</v>
      </c>
      <c r="C74" s="94" t="s">
        <v>348</v>
      </c>
      <c r="D74" s="97">
        <v>3.0</v>
      </c>
      <c r="E74" s="97" t="s">
        <v>1369</v>
      </c>
      <c r="F74" s="97" t="s">
        <v>148</v>
      </c>
      <c r="G74" s="97" t="s">
        <v>149</v>
      </c>
      <c r="H74" s="97" t="s">
        <v>151</v>
      </c>
      <c r="I74" s="173" t="s">
        <v>1303</v>
      </c>
      <c r="J74" s="100" t="s">
        <v>351</v>
      </c>
      <c r="K74" s="101" t="s">
        <v>352</v>
      </c>
      <c r="L74" s="149"/>
      <c r="M74" s="149"/>
      <c r="N74" s="157" t="s">
        <v>447</v>
      </c>
      <c r="O74" s="124" t="s">
        <v>198</v>
      </c>
      <c r="P74" s="159"/>
      <c r="Q74" s="107" t="s">
        <v>448</v>
      </c>
    </row>
    <row r="75" ht="39.75" customHeight="1">
      <c r="A75" s="73" t="s">
        <v>1346</v>
      </c>
      <c r="B75" s="75" t="s">
        <v>82</v>
      </c>
      <c r="C75" s="73" t="s">
        <v>348</v>
      </c>
      <c r="D75" s="77">
        <v>3.0</v>
      </c>
      <c r="E75" s="77" t="s">
        <v>1369</v>
      </c>
      <c r="F75" s="77" t="s">
        <v>148</v>
      </c>
      <c r="G75" s="77" t="s">
        <v>149</v>
      </c>
      <c r="H75" s="77" t="s">
        <v>151</v>
      </c>
      <c r="I75" s="173" t="s">
        <v>1303</v>
      </c>
      <c r="J75" s="81" t="s">
        <v>351</v>
      </c>
      <c r="K75" s="45" t="s">
        <v>352</v>
      </c>
      <c r="L75" s="149"/>
      <c r="M75" s="149"/>
      <c r="N75" s="157" t="s">
        <v>447</v>
      </c>
      <c r="O75" s="115" t="s">
        <v>198</v>
      </c>
      <c r="P75" s="151"/>
      <c r="Q75" s="44" t="s">
        <v>448</v>
      </c>
    </row>
    <row r="76" ht="39.75" customHeight="1">
      <c r="A76" s="94" t="s">
        <v>1375</v>
      </c>
      <c r="B76" s="96" t="s">
        <v>82</v>
      </c>
      <c r="C76" s="94" t="s">
        <v>348</v>
      </c>
      <c r="D76" s="97">
        <v>3.0</v>
      </c>
      <c r="E76" s="97" t="s">
        <v>1369</v>
      </c>
      <c r="F76" s="97" t="s">
        <v>148</v>
      </c>
      <c r="G76" s="97" t="s">
        <v>149</v>
      </c>
      <c r="H76" s="97" t="s">
        <v>151</v>
      </c>
      <c r="I76" s="173" t="s">
        <v>1303</v>
      </c>
      <c r="J76" s="100" t="s">
        <v>351</v>
      </c>
      <c r="K76" s="101" t="s">
        <v>352</v>
      </c>
      <c r="L76" s="137" t="s">
        <v>164</v>
      </c>
      <c r="M76" s="50" t="s">
        <v>64</v>
      </c>
      <c r="N76" s="43" t="s">
        <v>55</v>
      </c>
      <c r="O76" s="105" t="s">
        <v>166</v>
      </c>
      <c r="P76" s="101" t="s">
        <v>1189</v>
      </c>
      <c r="Q76" s="107" t="s">
        <v>1190</v>
      </c>
    </row>
    <row r="77" ht="39.75" customHeight="1">
      <c r="A77" s="73" t="s">
        <v>1377</v>
      </c>
      <c r="B77" s="75" t="s">
        <v>82</v>
      </c>
      <c r="C77" s="73" t="s">
        <v>348</v>
      </c>
      <c r="D77" s="77">
        <v>3.0</v>
      </c>
      <c r="E77" s="77" t="s">
        <v>1369</v>
      </c>
      <c r="F77" s="77" t="s">
        <v>148</v>
      </c>
      <c r="G77" s="77" t="s">
        <v>149</v>
      </c>
      <c r="H77" s="77" t="s">
        <v>151</v>
      </c>
      <c r="I77" s="173" t="s">
        <v>1303</v>
      </c>
      <c r="J77" s="81" t="s">
        <v>351</v>
      </c>
      <c r="K77" s="45" t="s">
        <v>352</v>
      </c>
      <c r="L77" s="125" t="s">
        <v>92</v>
      </c>
      <c r="M77" s="50" t="s">
        <v>64</v>
      </c>
      <c r="N77" s="43" t="s">
        <v>55</v>
      </c>
      <c r="O77" s="59" t="s">
        <v>166</v>
      </c>
      <c r="P77" s="45" t="s">
        <v>1189</v>
      </c>
      <c r="Q77" s="44" t="s">
        <v>1190</v>
      </c>
    </row>
    <row r="78" ht="39.75" customHeight="1">
      <c r="A78" s="94" t="s">
        <v>1378</v>
      </c>
      <c r="B78" s="96" t="s">
        <v>82</v>
      </c>
      <c r="C78" s="94" t="s">
        <v>348</v>
      </c>
      <c r="D78" s="97">
        <v>3.0</v>
      </c>
      <c r="E78" s="97" t="s">
        <v>1369</v>
      </c>
      <c r="F78" s="97" t="s">
        <v>148</v>
      </c>
      <c r="G78" s="97" t="s">
        <v>149</v>
      </c>
      <c r="H78" s="97" t="s">
        <v>151</v>
      </c>
      <c r="I78" s="173" t="s">
        <v>1303</v>
      </c>
      <c r="J78" s="100" t="s">
        <v>351</v>
      </c>
      <c r="K78" s="101" t="s">
        <v>352</v>
      </c>
      <c r="L78" s="149"/>
      <c r="M78" s="149"/>
      <c r="N78" s="157" t="s">
        <v>447</v>
      </c>
      <c r="O78" s="124" t="s">
        <v>198</v>
      </c>
      <c r="P78" s="159"/>
      <c r="Q78" s="107" t="s">
        <v>448</v>
      </c>
    </row>
    <row r="79" ht="39.75" customHeight="1">
      <c r="A79" s="73" t="s">
        <v>1379</v>
      </c>
      <c r="B79" s="75" t="s">
        <v>82</v>
      </c>
      <c r="C79" s="73" t="s">
        <v>348</v>
      </c>
      <c r="D79" s="77">
        <v>3.0</v>
      </c>
      <c r="E79" s="77" t="s">
        <v>1369</v>
      </c>
      <c r="F79" s="77" t="s">
        <v>148</v>
      </c>
      <c r="G79" s="77" t="s">
        <v>149</v>
      </c>
      <c r="H79" s="77" t="s">
        <v>151</v>
      </c>
      <c r="I79" s="173" t="s">
        <v>1303</v>
      </c>
      <c r="J79" s="81" t="s">
        <v>351</v>
      </c>
      <c r="K79" s="45" t="s">
        <v>352</v>
      </c>
      <c r="L79" s="125" t="s">
        <v>92</v>
      </c>
      <c r="M79" s="49" t="s">
        <v>63</v>
      </c>
      <c r="N79" s="43" t="s">
        <v>55</v>
      </c>
      <c r="O79" s="59" t="s">
        <v>166</v>
      </c>
      <c r="P79" s="45" t="s">
        <v>1189</v>
      </c>
      <c r="Q79" s="44" t="s">
        <v>1190</v>
      </c>
    </row>
    <row r="80" ht="39.75" customHeight="1">
      <c r="A80" s="94" t="s">
        <v>1274</v>
      </c>
      <c r="B80" s="96" t="s">
        <v>82</v>
      </c>
      <c r="C80" s="94" t="s">
        <v>348</v>
      </c>
      <c r="D80" s="97">
        <v>3.0</v>
      </c>
      <c r="E80" s="97" t="s">
        <v>1381</v>
      </c>
      <c r="F80" s="97" t="s">
        <v>148</v>
      </c>
      <c r="G80" s="97" t="s">
        <v>149</v>
      </c>
      <c r="H80" s="97" t="s">
        <v>151</v>
      </c>
      <c r="I80" s="173" t="s">
        <v>1303</v>
      </c>
      <c r="J80" s="100" t="s">
        <v>351</v>
      </c>
      <c r="K80" s="101" t="s">
        <v>352</v>
      </c>
      <c r="L80" s="149"/>
      <c r="M80" s="149"/>
      <c r="N80" s="157" t="s">
        <v>447</v>
      </c>
      <c r="O80" s="124" t="s">
        <v>198</v>
      </c>
      <c r="P80" s="159"/>
      <c r="Q80" s="107" t="s">
        <v>448</v>
      </c>
    </row>
    <row r="81" ht="39.75" customHeight="1">
      <c r="A81" s="73" t="s">
        <v>1302</v>
      </c>
      <c r="B81" s="75" t="s">
        <v>82</v>
      </c>
      <c r="C81" s="73" t="s">
        <v>348</v>
      </c>
      <c r="D81" s="77">
        <v>3.0</v>
      </c>
      <c r="E81" s="77" t="s">
        <v>1381</v>
      </c>
      <c r="F81" s="77" t="s">
        <v>148</v>
      </c>
      <c r="G81" s="77" t="s">
        <v>149</v>
      </c>
      <c r="H81" s="77" t="s">
        <v>151</v>
      </c>
      <c r="I81" s="173" t="s">
        <v>1303</v>
      </c>
      <c r="J81" s="81" t="s">
        <v>351</v>
      </c>
      <c r="K81" s="45" t="s">
        <v>352</v>
      </c>
      <c r="L81" s="149"/>
      <c r="M81" s="149"/>
      <c r="N81" s="157" t="s">
        <v>447</v>
      </c>
      <c r="O81" s="115" t="s">
        <v>198</v>
      </c>
      <c r="P81" s="151"/>
      <c r="Q81" s="44" t="s">
        <v>448</v>
      </c>
    </row>
    <row r="82" ht="39.75" customHeight="1">
      <c r="A82" s="94" t="s">
        <v>1314</v>
      </c>
      <c r="B82" s="96" t="s">
        <v>82</v>
      </c>
      <c r="C82" s="94" t="s">
        <v>348</v>
      </c>
      <c r="D82" s="97">
        <v>3.0</v>
      </c>
      <c r="E82" s="97" t="s">
        <v>1381</v>
      </c>
      <c r="F82" s="97" t="s">
        <v>148</v>
      </c>
      <c r="G82" s="97" t="s">
        <v>149</v>
      </c>
      <c r="H82" s="97" t="s">
        <v>151</v>
      </c>
      <c r="I82" s="173" t="s">
        <v>1303</v>
      </c>
      <c r="J82" s="100" t="s">
        <v>351</v>
      </c>
      <c r="K82" s="101" t="s">
        <v>352</v>
      </c>
      <c r="L82" s="149"/>
      <c r="M82" s="149"/>
      <c r="N82" s="157" t="s">
        <v>447</v>
      </c>
      <c r="O82" s="124" t="s">
        <v>198</v>
      </c>
      <c r="P82" s="159"/>
      <c r="Q82" s="107" t="s">
        <v>448</v>
      </c>
    </row>
    <row r="83" ht="39.75" customHeight="1">
      <c r="A83" s="73" t="s">
        <v>1336</v>
      </c>
      <c r="B83" s="75" t="s">
        <v>82</v>
      </c>
      <c r="C83" s="73" t="s">
        <v>348</v>
      </c>
      <c r="D83" s="77">
        <v>3.0</v>
      </c>
      <c r="E83" s="77" t="s">
        <v>1381</v>
      </c>
      <c r="F83" s="77" t="s">
        <v>148</v>
      </c>
      <c r="G83" s="77" t="s">
        <v>149</v>
      </c>
      <c r="H83" s="77" t="s">
        <v>151</v>
      </c>
      <c r="I83" s="173" t="s">
        <v>1303</v>
      </c>
      <c r="J83" s="81" t="s">
        <v>351</v>
      </c>
      <c r="K83" s="45" t="s">
        <v>352</v>
      </c>
      <c r="L83" s="125" t="s">
        <v>92</v>
      </c>
      <c r="M83" s="50" t="s">
        <v>64</v>
      </c>
      <c r="N83" s="43" t="s">
        <v>55</v>
      </c>
      <c r="O83" s="59" t="s">
        <v>166</v>
      </c>
      <c r="P83" s="45" t="s">
        <v>1189</v>
      </c>
      <c r="Q83" s="44" t="s">
        <v>1276</v>
      </c>
    </row>
    <row r="84" ht="39.75" customHeight="1">
      <c r="A84" s="94" t="s">
        <v>1351</v>
      </c>
      <c r="B84" s="96" t="s">
        <v>82</v>
      </c>
      <c r="C84" s="94" t="s">
        <v>348</v>
      </c>
      <c r="D84" s="97">
        <v>3.0</v>
      </c>
      <c r="E84" s="97" t="s">
        <v>1381</v>
      </c>
      <c r="F84" s="97" t="s">
        <v>148</v>
      </c>
      <c r="G84" s="97" t="s">
        <v>149</v>
      </c>
      <c r="H84" s="97" t="s">
        <v>151</v>
      </c>
      <c r="I84" s="173" t="s">
        <v>1303</v>
      </c>
      <c r="J84" s="100" t="s">
        <v>351</v>
      </c>
      <c r="K84" s="101" t="s">
        <v>352</v>
      </c>
      <c r="L84" s="149"/>
      <c r="M84" s="149"/>
      <c r="N84" s="157" t="s">
        <v>447</v>
      </c>
      <c r="O84" s="124" t="s">
        <v>198</v>
      </c>
      <c r="P84" s="159"/>
      <c r="Q84" s="107" t="s">
        <v>448</v>
      </c>
    </row>
    <row r="85" ht="39.75" customHeight="1">
      <c r="A85" s="73" t="s">
        <v>1355</v>
      </c>
      <c r="B85" s="75" t="s">
        <v>82</v>
      </c>
      <c r="C85" s="73" t="s">
        <v>348</v>
      </c>
      <c r="D85" s="77">
        <v>3.0</v>
      </c>
      <c r="E85" s="77" t="s">
        <v>1381</v>
      </c>
      <c r="F85" s="77" t="s">
        <v>148</v>
      </c>
      <c r="G85" s="77" t="s">
        <v>149</v>
      </c>
      <c r="H85" s="77" t="s">
        <v>151</v>
      </c>
      <c r="I85" s="173" t="s">
        <v>1303</v>
      </c>
      <c r="J85" s="81" t="s">
        <v>351</v>
      </c>
      <c r="K85" s="45" t="s">
        <v>352</v>
      </c>
      <c r="L85" s="149"/>
      <c r="M85" s="149"/>
      <c r="N85" s="157" t="s">
        <v>447</v>
      </c>
      <c r="O85" s="115" t="s">
        <v>198</v>
      </c>
      <c r="P85" s="151"/>
      <c r="Q85" s="44" t="s">
        <v>448</v>
      </c>
    </row>
    <row r="86" ht="39.75" customHeight="1">
      <c r="A86" s="94" t="s">
        <v>1359</v>
      </c>
      <c r="B86" s="96" t="s">
        <v>82</v>
      </c>
      <c r="C86" s="94" t="s">
        <v>348</v>
      </c>
      <c r="D86" s="97">
        <v>3.0</v>
      </c>
      <c r="E86" s="97" t="s">
        <v>1381</v>
      </c>
      <c r="F86" s="97" t="s">
        <v>148</v>
      </c>
      <c r="G86" s="97" t="s">
        <v>149</v>
      </c>
      <c r="H86" s="97" t="s">
        <v>151</v>
      </c>
      <c r="I86" s="173" t="s">
        <v>1303</v>
      </c>
      <c r="J86" s="100" t="s">
        <v>351</v>
      </c>
      <c r="K86" s="101" t="s">
        <v>352</v>
      </c>
      <c r="L86" s="149"/>
      <c r="M86" s="149"/>
      <c r="N86" s="157" t="s">
        <v>447</v>
      </c>
      <c r="O86" s="124" t="s">
        <v>198</v>
      </c>
      <c r="P86" s="159"/>
      <c r="Q86" s="107" t="s">
        <v>448</v>
      </c>
    </row>
    <row r="87" ht="39.75" customHeight="1">
      <c r="A87" s="73" t="s">
        <v>1360</v>
      </c>
      <c r="B87" s="75" t="s">
        <v>82</v>
      </c>
      <c r="C87" s="73" t="s">
        <v>348</v>
      </c>
      <c r="D87" s="77">
        <v>3.0</v>
      </c>
      <c r="E87" s="77" t="s">
        <v>1381</v>
      </c>
      <c r="F87" s="77" t="s">
        <v>148</v>
      </c>
      <c r="G87" s="77" t="s">
        <v>149</v>
      </c>
      <c r="H87" s="77" t="s">
        <v>151</v>
      </c>
      <c r="I87" s="173" t="s">
        <v>1303</v>
      </c>
      <c r="J87" s="81" t="s">
        <v>351</v>
      </c>
      <c r="K87" s="45" t="s">
        <v>352</v>
      </c>
      <c r="L87" s="125" t="s">
        <v>92</v>
      </c>
      <c r="M87" s="50" t="s">
        <v>64</v>
      </c>
      <c r="N87" s="43" t="s">
        <v>55</v>
      </c>
      <c r="O87" s="59" t="s">
        <v>166</v>
      </c>
      <c r="P87" s="45" t="s">
        <v>1189</v>
      </c>
      <c r="Q87" s="44" t="s">
        <v>1190</v>
      </c>
    </row>
    <row r="88" ht="39.75" customHeight="1">
      <c r="A88" s="94" t="s">
        <v>1373</v>
      </c>
      <c r="B88" s="96" t="s">
        <v>82</v>
      </c>
      <c r="C88" s="94" t="s">
        <v>348</v>
      </c>
      <c r="D88" s="97">
        <v>3.0</v>
      </c>
      <c r="E88" s="97" t="s">
        <v>1381</v>
      </c>
      <c r="F88" s="97" t="s">
        <v>148</v>
      </c>
      <c r="G88" s="97" t="s">
        <v>149</v>
      </c>
      <c r="H88" s="97" t="s">
        <v>151</v>
      </c>
      <c r="I88" s="173" t="s">
        <v>1303</v>
      </c>
      <c r="J88" s="100" t="s">
        <v>351</v>
      </c>
      <c r="K88" s="101" t="s">
        <v>352</v>
      </c>
      <c r="L88" s="88" t="s">
        <v>63</v>
      </c>
      <c r="M88" s="50" t="s">
        <v>64</v>
      </c>
      <c r="N88" s="43" t="s">
        <v>55</v>
      </c>
      <c r="O88" s="105" t="s">
        <v>166</v>
      </c>
      <c r="P88" s="101" t="s">
        <v>1189</v>
      </c>
      <c r="Q88" s="107" t="s">
        <v>1190</v>
      </c>
    </row>
    <row r="89" ht="39.75" customHeight="1">
      <c r="A89" s="73" t="s">
        <v>1392</v>
      </c>
      <c r="B89" s="75" t="s">
        <v>82</v>
      </c>
      <c r="C89" s="73" t="s">
        <v>348</v>
      </c>
      <c r="D89" s="77">
        <v>3.0</v>
      </c>
      <c r="E89" s="77" t="s">
        <v>1381</v>
      </c>
      <c r="F89" s="77" t="s">
        <v>148</v>
      </c>
      <c r="G89" s="77" t="s">
        <v>149</v>
      </c>
      <c r="H89" s="77" t="s">
        <v>151</v>
      </c>
      <c r="I89" s="173" t="s">
        <v>1303</v>
      </c>
      <c r="J89" s="81" t="s">
        <v>351</v>
      </c>
      <c r="K89" s="45" t="s">
        <v>352</v>
      </c>
      <c r="L89" s="149"/>
      <c r="M89" s="149"/>
      <c r="N89" s="157" t="s">
        <v>447</v>
      </c>
      <c r="O89" s="115" t="s">
        <v>198</v>
      </c>
      <c r="P89" s="151"/>
      <c r="Q89" s="44" t="s">
        <v>448</v>
      </c>
    </row>
    <row r="90" ht="39.75" customHeight="1">
      <c r="A90" s="94" t="s">
        <v>1393</v>
      </c>
      <c r="B90" s="96" t="s">
        <v>82</v>
      </c>
      <c r="C90" s="94" t="s">
        <v>348</v>
      </c>
      <c r="D90" s="97">
        <v>3.0</v>
      </c>
      <c r="E90" s="97" t="s">
        <v>1381</v>
      </c>
      <c r="F90" s="97" t="s">
        <v>148</v>
      </c>
      <c r="G90" s="97" t="s">
        <v>149</v>
      </c>
      <c r="H90" s="97" t="s">
        <v>151</v>
      </c>
      <c r="I90" s="173" t="s">
        <v>1303</v>
      </c>
      <c r="J90" s="100" t="s">
        <v>351</v>
      </c>
      <c r="K90" s="101" t="s">
        <v>352</v>
      </c>
      <c r="L90" s="174" t="s">
        <v>180</v>
      </c>
      <c r="M90" s="50" t="s">
        <v>64</v>
      </c>
      <c r="N90" s="43" t="s">
        <v>55</v>
      </c>
      <c r="O90" s="105" t="s">
        <v>166</v>
      </c>
      <c r="P90" s="101" t="s">
        <v>1189</v>
      </c>
      <c r="Q90" s="107" t="s">
        <v>1394</v>
      </c>
    </row>
    <row r="91" ht="39.75" customHeight="1">
      <c r="A91" s="73" t="s">
        <v>1281</v>
      </c>
      <c r="B91" s="75" t="s">
        <v>82</v>
      </c>
      <c r="C91" s="73" t="s">
        <v>348</v>
      </c>
      <c r="D91" s="77">
        <v>3.0</v>
      </c>
      <c r="E91" s="77" t="s">
        <v>1396</v>
      </c>
      <c r="F91" s="77" t="s">
        <v>148</v>
      </c>
      <c r="G91" s="77" t="s">
        <v>149</v>
      </c>
      <c r="H91" s="77" t="s">
        <v>151</v>
      </c>
      <c r="I91" s="173" t="s">
        <v>1303</v>
      </c>
      <c r="J91" s="81" t="s">
        <v>351</v>
      </c>
      <c r="K91" s="45" t="s">
        <v>352</v>
      </c>
      <c r="L91" s="149"/>
      <c r="M91" s="149"/>
      <c r="N91" s="157" t="s">
        <v>447</v>
      </c>
      <c r="O91" s="115" t="s">
        <v>198</v>
      </c>
      <c r="P91" s="151"/>
      <c r="Q91" s="44" t="s">
        <v>448</v>
      </c>
    </row>
    <row r="92" ht="39.75" customHeight="1">
      <c r="A92" s="94" t="s">
        <v>1283</v>
      </c>
      <c r="B92" s="96" t="s">
        <v>82</v>
      </c>
      <c r="C92" s="94" t="s">
        <v>348</v>
      </c>
      <c r="D92" s="97">
        <v>3.0</v>
      </c>
      <c r="E92" s="97" t="s">
        <v>1396</v>
      </c>
      <c r="F92" s="97" t="s">
        <v>148</v>
      </c>
      <c r="G92" s="97" t="s">
        <v>149</v>
      </c>
      <c r="H92" s="97" t="s">
        <v>151</v>
      </c>
      <c r="I92" s="173" t="s">
        <v>1303</v>
      </c>
      <c r="J92" s="100" t="s">
        <v>351</v>
      </c>
      <c r="K92" s="101" t="s">
        <v>352</v>
      </c>
      <c r="L92" s="149"/>
      <c r="M92" s="149"/>
      <c r="N92" s="157" t="s">
        <v>447</v>
      </c>
      <c r="O92" s="124" t="s">
        <v>198</v>
      </c>
      <c r="P92" s="159"/>
      <c r="Q92" s="107" t="s">
        <v>448</v>
      </c>
    </row>
    <row r="93" ht="39.75" customHeight="1">
      <c r="A93" s="73" t="s">
        <v>1293</v>
      </c>
      <c r="B93" s="75" t="s">
        <v>82</v>
      </c>
      <c r="C93" s="73" t="s">
        <v>348</v>
      </c>
      <c r="D93" s="77">
        <v>3.0</v>
      </c>
      <c r="E93" s="77" t="s">
        <v>1396</v>
      </c>
      <c r="F93" s="77" t="s">
        <v>148</v>
      </c>
      <c r="G93" s="77" t="s">
        <v>149</v>
      </c>
      <c r="H93" s="77" t="s">
        <v>151</v>
      </c>
      <c r="I93" s="173" t="s">
        <v>1303</v>
      </c>
      <c r="J93" s="81" t="s">
        <v>351</v>
      </c>
      <c r="K93" s="45" t="s">
        <v>352</v>
      </c>
      <c r="L93" s="149"/>
      <c r="M93" s="149"/>
      <c r="N93" s="157" t="s">
        <v>447</v>
      </c>
      <c r="O93" s="115" t="s">
        <v>198</v>
      </c>
      <c r="P93" s="151"/>
      <c r="Q93" s="44" t="s">
        <v>448</v>
      </c>
    </row>
    <row r="94" ht="39.75" customHeight="1">
      <c r="A94" s="94" t="s">
        <v>1308</v>
      </c>
      <c r="B94" s="96" t="s">
        <v>82</v>
      </c>
      <c r="C94" s="94" t="s">
        <v>348</v>
      </c>
      <c r="D94" s="97">
        <v>3.0</v>
      </c>
      <c r="E94" s="97" t="s">
        <v>1396</v>
      </c>
      <c r="F94" s="97" t="s">
        <v>148</v>
      </c>
      <c r="G94" s="97" t="s">
        <v>149</v>
      </c>
      <c r="H94" s="97" t="s">
        <v>151</v>
      </c>
      <c r="I94" s="173" t="s">
        <v>1303</v>
      </c>
      <c r="J94" s="100" t="s">
        <v>351</v>
      </c>
      <c r="K94" s="101" t="s">
        <v>352</v>
      </c>
      <c r="L94" s="153" t="s">
        <v>210</v>
      </c>
      <c r="M94" s="50" t="s">
        <v>64</v>
      </c>
      <c r="N94" s="43" t="s">
        <v>55</v>
      </c>
      <c r="O94" s="105" t="s">
        <v>166</v>
      </c>
      <c r="P94" s="101" t="s">
        <v>1189</v>
      </c>
      <c r="Q94" s="107" t="s">
        <v>1190</v>
      </c>
    </row>
    <row r="95" ht="39.75" customHeight="1">
      <c r="A95" s="73" t="s">
        <v>1361</v>
      </c>
      <c r="B95" s="75" t="s">
        <v>82</v>
      </c>
      <c r="C95" s="73" t="s">
        <v>348</v>
      </c>
      <c r="D95" s="77">
        <v>3.0</v>
      </c>
      <c r="E95" s="77" t="s">
        <v>1396</v>
      </c>
      <c r="F95" s="77" t="s">
        <v>148</v>
      </c>
      <c r="G95" s="77" t="s">
        <v>149</v>
      </c>
      <c r="H95" s="77" t="s">
        <v>151</v>
      </c>
      <c r="I95" s="173" t="s">
        <v>1303</v>
      </c>
      <c r="J95" s="81" t="s">
        <v>351</v>
      </c>
      <c r="K95" s="45" t="s">
        <v>352</v>
      </c>
      <c r="L95" s="149"/>
      <c r="M95" s="149"/>
      <c r="N95" s="157" t="s">
        <v>447</v>
      </c>
      <c r="O95" s="115" t="s">
        <v>198</v>
      </c>
      <c r="P95" s="151"/>
      <c r="Q95" s="44" t="s">
        <v>448</v>
      </c>
    </row>
    <row r="96" ht="39.75" customHeight="1">
      <c r="A96" s="94" t="s">
        <v>1376</v>
      </c>
      <c r="B96" s="96" t="s">
        <v>82</v>
      </c>
      <c r="C96" s="94" t="s">
        <v>348</v>
      </c>
      <c r="D96" s="97">
        <v>3.0</v>
      </c>
      <c r="E96" s="97" t="s">
        <v>1396</v>
      </c>
      <c r="F96" s="97" t="s">
        <v>148</v>
      </c>
      <c r="G96" s="97" t="s">
        <v>149</v>
      </c>
      <c r="H96" s="97" t="s">
        <v>151</v>
      </c>
      <c r="I96" s="173" t="s">
        <v>1303</v>
      </c>
      <c r="J96" s="100" t="s">
        <v>351</v>
      </c>
      <c r="K96" s="101" t="s">
        <v>352</v>
      </c>
      <c r="L96" s="149"/>
      <c r="M96" s="149"/>
      <c r="N96" s="157" t="s">
        <v>447</v>
      </c>
      <c r="O96" s="124" t="s">
        <v>198</v>
      </c>
      <c r="P96" s="159"/>
      <c r="Q96" s="107" t="s">
        <v>448</v>
      </c>
    </row>
    <row r="97" ht="39.75" customHeight="1">
      <c r="A97" s="73" t="s">
        <v>1382</v>
      </c>
      <c r="B97" s="75" t="s">
        <v>82</v>
      </c>
      <c r="C97" s="73" t="s">
        <v>348</v>
      </c>
      <c r="D97" s="77">
        <v>3.0</v>
      </c>
      <c r="E97" s="77" t="s">
        <v>1396</v>
      </c>
      <c r="F97" s="77" t="s">
        <v>148</v>
      </c>
      <c r="G97" s="77" t="s">
        <v>149</v>
      </c>
      <c r="H97" s="77" t="s">
        <v>151</v>
      </c>
      <c r="I97" s="173" t="s">
        <v>1303</v>
      </c>
      <c r="J97" s="81" t="s">
        <v>351</v>
      </c>
      <c r="K97" s="45" t="s">
        <v>352</v>
      </c>
      <c r="L97" s="149"/>
      <c r="M97" s="149"/>
      <c r="N97" s="157" t="s">
        <v>447</v>
      </c>
      <c r="O97" s="115" t="s">
        <v>198</v>
      </c>
      <c r="P97" s="151"/>
      <c r="Q97" s="44" t="s">
        <v>448</v>
      </c>
    </row>
    <row r="98" ht="39.75" customHeight="1">
      <c r="A98" s="94" t="s">
        <v>1383</v>
      </c>
      <c r="B98" s="96" t="s">
        <v>82</v>
      </c>
      <c r="C98" s="94" t="s">
        <v>348</v>
      </c>
      <c r="D98" s="97">
        <v>3.0</v>
      </c>
      <c r="E98" s="97" t="s">
        <v>1396</v>
      </c>
      <c r="F98" s="97" t="s">
        <v>148</v>
      </c>
      <c r="G98" s="97" t="s">
        <v>149</v>
      </c>
      <c r="H98" s="97" t="s">
        <v>151</v>
      </c>
      <c r="I98" s="173" t="s">
        <v>1303</v>
      </c>
      <c r="J98" s="100" t="s">
        <v>351</v>
      </c>
      <c r="K98" s="101" t="s">
        <v>352</v>
      </c>
      <c r="L98" s="174" t="s">
        <v>180</v>
      </c>
      <c r="M98" s="86" t="s">
        <v>164</v>
      </c>
      <c r="N98" s="43" t="s">
        <v>55</v>
      </c>
      <c r="O98" s="105" t="s">
        <v>166</v>
      </c>
      <c r="P98" s="101" t="s">
        <v>1189</v>
      </c>
      <c r="Q98" s="107" t="s">
        <v>1190</v>
      </c>
    </row>
    <row r="99" ht="39.75" customHeight="1">
      <c r="A99" s="73" t="s">
        <v>1384</v>
      </c>
      <c r="B99" s="75" t="s">
        <v>82</v>
      </c>
      <c r="C99" s="73" t="s">
        <v>348</v>
      </c>
      <c r="D99" s="77">
        <v>3.0</v>
      </c>
      <c r="E99" s="77" t="s">
        <v>1396</v>
      </c>
      <c r="F99" s="77" t="s">
        <v>148</v>
      </c>
      <c r="G99" s="77" t="s">
        <v>149</v>
      </c>
      <c r="H99" s="77" t="s">
        <v>151</v>
      </c>
      <c r="I99" s="173" t="s">
        <v>1303</v>
      </c>
      <c r="J99" s="81" t="s">
        <v>351</v>
      </c>
      <c r="K99" s="45" t="s">
        <v>352</v>
      </c>
      <c r="L99" s="149"/>
      <c r="M99" s="149"/>
      <c r="N99" s="157" t="s">
        <v>447</v>
      </c>
      <c r="O99" s="115" t="s">
        <v>198</v>
      </c>
      <c r="P99" s="151"/>
      <c r="Q99" s="44" t="s">
        <v>448</v>
      </c>
    </row>
    <row r="100" ht="39.75" customHeight="1">
      <c r="A100" s="94" t="s">
        <v>1387</v>
      </c>
      <c r="B100" s="96" t="s">
        <v>82</v>
      </c>
      <c r="C100" s="94" t="s">
        <v>348</v>
      </c>
      <c r="D100" s="97">
        <v>3.0</v>
      </c>
      <c r="E100" s="97" t="s">
        <v>1396</v>
      </c>
      <c r="F100" s="97" t="s">
        <v>148</v>
      </c>
      <c r="G100" s="97" t="s">
        <v>149</v>
      </c>
      <c r="H100" s="97" t="s">
        <v>151</v>
      </c>
      <c r="I100" s="173" t="s">
        <v>1303</v>
      </c>
      <c r="J100" s="100" t="s">
        <v>351</v>
      </c>
      <c r="K100" s="101" t="s">
        <v>352</v>
      </c>
      <c r="L100" s="137" t="s">
        <v>164</v>
      </c>
      <c r="M100" s="50" t="s">
        <v>64</v>
      </c>
      <c r="N100" s="43" t="s">
        <v>55</v>
      </c>
      <c r="O100" s="105" t="s">
        <v>166</v>
      </c>
      <c r="P100" s="101" t="s">
        <v>1189</v>
      </c>
      <c r="Q100" s="107" t="s">
        <v>1190</v>
      </c>
    </row>
    <row r="101" ht="39.75" customHeight="1">
      <c r="A101" s="73" t="s">
        <v>1401</v>
      </c>
      <c r="B101" s="75" t="s">
        <v>82</v>
      </c>
      <c r="C101" s="73" t="s">
        <v>348</v>
      </c>
      <c r="D101" s="77">
        <v>3.0</v>
      </c>
      <c r="E101" s="77" t="s">
        <v>1396</v>
      </c>
      <c r="F101" s="77" t="s">
        <v>148</v>
      </c>
      <c r="G101" s="77" t="s">
        <v>149</v>
      </c>
      <c r="H101" s="77" t="s">
        <v>151</v>
      </c>
      <c r="I101" s="173" t="s">
        <v>1303</v>
      </c>
      <c r="J101" s="81" t="s">
        <v>351</v>
      </c>
      <c r="K101" s="45" t="s">
        <v>352</v>
      </c>
      <c r="L101" s="140" t="s">
        <v>52</v>
      </c>
      <c r="M101" s="86" t="s">
        <v>164</v>
      </c>
      <c r="N101" s="43" t="s">
        <v>55</v>
      </c>
      <c r="O101" s="59" t="s">
        <v>166</v>
      </c>
      <c r="P101" s="45" t="s">
        <v>1189</v>
      </c>
      <c r="Q101" s="44" t="s">
        <v>1190</v>
      </c>
    </row>
    <row r="102" ht="39.75" customHeight="1">
      <c r="A102" s="94" t="s">
        <v>1408</v>
      </c>
      <c r="B102" s="96" t="s">
        <v>82</v>
      </c>
      <c r="C102" s="94" t="s">
        <v>348</v>
      </c>
      <c r="D102" s="97">
        <v>3.0</v>
      </c>
      <c r="E102" s="97" t="s">
        <v>1396</v>
      </c>
      <c r="F102" s="97" t="s">
        <v>148</v>
      </c>
      <c r="G102" s="97" t="s">
        <v>149</v>
      </c>
      <c r="H102" s="97" t="s">
        <v>151</v>
      </c>
      <c r="I102" s="173" t="s">
        <v>1303</v>
      </c>
      <c r="J102" s="100" t="s">
        <v>351</v>
      </c>
      <c r="K102" s="101" t="s">
        <v>352</v>
      </c>
      <c r="L102" s="125" t="s">
        <v>92</v>
      </c>
      <c r="M102" s="49" t="s">
        <v>63</v>
      </c>
      <c r="N102" s="43" t="s">
        <v>55</v>
      </c>
      <c r="O102" s="105" t="s">
        <v>166</v>
      </c>
      <c r="P102" s="101" t="s">
        <v>1189</v>
      </c>
      <c r="Q102" s="107" t="s">
        <v>1190</v>
      </c>
    </row>
    <row r="103" ht="39.75" customHeight="1">
      <c r="A103" s="73" t="s">
        <v>1299</v>
      </c>
      <c r="B103" s="75" t="s">
        <v>82</v>
      </c>
      <c r="C103" s="73" t="s">
        <v>348</v>
      </c>
      <c r="D103" s="77">
        <v>3.0</v>
      </c>
      <c r="E103" s="77" t="s">
        <v>1410</v>
      </c>
      <c r="F103" s="77" t="s">
        <v>148</v>
      </c>
      <c r="G103" s="77" t="s">
        <v>149</v>
      </c>
      <c r="H103" s="77" t="s">
        <v>151</v>
      </c>
      <c r="I103" s="173" t="s">
        <v>1303</v>
      </c>
      <c r="J103" s="81" t="s">
        <v>1411</v>
      </c>
      <c r="K103" s="45" t="s">
        <v>1412</v>
      </c>
      <c r="L103" s="174" t="s">
        <v>180</v>
      </c>
      <c r="M103" s="50" t="s">
        <v>64</v>
      </c>
      <c r="N103" s="43" t="s">
        <v>55</v>
      </c>
      <c r="O103" s="59" t="s">
        <v>166</v>
      </c>
      <c r="P103" s="45" t="s">
        <v>1189</v>
      </c>
      <c r="Q103" s="44" t="s">
        <v>1190</v>
      </c>
    </row>
    <row r="104" ht="39.75" customHeight="1">
      <c r="A104" s="94" t="s">
        <v>1305</v>
      </c>
      <c r="B104" s="96" t="s">
        <v>82</v>
      </c>
      <c r="C104" s="94" t="s">
        <v>348</v>
      </c>
      <c r="D104" s="97">
        <v>3.0</v>
      </c>
      <c r="E104" s="97" t="s">
        <v>1410</v>
      </c>
      <c r="F104" s="97" t="s">
        <v>148</v>
      </c>
      <c r="G104" s="97" t="s">
        <v>149</v>
      </c>
      <c r="H104" s="97" t="s">
        <v>151</v>
      </c>
      <c r="I104" s="173" t="s">
        <v>1303</v>
      </c>
      <c r="J104" s="100" t="s">
        <v>1411</v>
      </c>
      <c r="K104" s="101" t="s">
        <v>1412</v>
      </c>
      <c r="L104" s="125" t="s">
        <v>92</v>
      </c>
      <c r="M104" s="50" t="s">
        <v>64</v>
      </c>
      <c r="N104" s="43" t="s">
        <v>55</v>
      </c>
      <c r="O104" s="105" t="s">
        <v>166</v>
      </c>
      <c r="P104" s="101" t="s">
        <v>1189</v>
      </c>
      <c r="Q104" s="107" t="s">
        <v>1190</v>
      </c>
    </row>
    <row r="105" ht="39.75" customHeight="1">
      <c r="A105" s="73" t="s">
        <v>1331</v>
      </c>
      <c r="B105" s="75" t="s">
        <v>82</v>
      </c>
      <c r="C105" s="73" t="s">
        <v>348</v>
      </c>
      <c r="D105" s="77">
        <v>3.0</v>
      </c>
      <c r="E105" s="77" t="s">
        <v>1410</v>
      </c>
      <c r="F105" s="77" t="s">
        <v>148</v>
      </c>
      <c r="G105" s="77" t="s">
        <v>149</v>
      </c>
      <c r="H105" s="77" t="s">
        <v>151</v>
      </c>
      <c r="I105" s="173" t="s">
        <v>1303</v>
      </c>
      <c r="J105" s="81" t="s">
        <v>1411</v>
      </c>
      <c r="K105" s="45" t="s">
        <v>1412</v>
      </c>
      <c r="L105" s="149"/>
      <c r="M105" s="149"/>
      <c r="N105" s="157" t="s">
        <v>447</v>
      </c>
      <c r="O105" s="115" t="s">
        <v>198</v>
      </c>
      <c r="P105" s="151"/>
      <c r="Q105" s="44" t="s">
        <v>448</v>
      </c>
    </row>
    <row r="106" ht="39.75" customHeight="1">
      <c r="A106" s="94" t="s">
        <v>1349</v>
      </c>
      <c r="B106" s="96" t="s">
        <v>82</v>
      </c>
      <c r="C106" s="94" t="s">
        <v>348</v>
      </c>
      <c r="D106" s="97">
        <v>3.0</v>
      </c>
      <c r="E106" s="97" t="s">
        <v>1410</v>
      </c>
      <c r="F106" s="97" t="s">
        <v>148</v>
      </c>
      <c r="G106" s="97" t="s">
        <v>149</v>
      </c>
      <c r="H106" s="97" t="s">
        <v>151</v>
      </c>
      <c r="I106" s="173" t="s">
        <v>1303</v>
      </c>
      <c r="J106" s="100" t="s">
        <v>1411</v>
      </c>
      <c r="K106" s="101" t="s">
        <v>1412</v>
      </c>
      <c r="L106" s="149"/>
      <c r="M106" s="149"/>
      <c r="N106" s="157" t="s">
        <v>447</v>
      </c>
      <c r="O106" s="124" t="s">
        <v>198</v>
      </c>
      <c r="P106" s="159"/>
      <c r="Q106" s="107" t="s">
        <v>448</v>
      </c>
    </row>
    <row r="107" ht="39.75" customHeight="1">
      <c r="A107" s="73" t="s">
        <v>1365</v>
      </c>
      <c r="B107" s="75" t="s">
        <v>82</v>
      </c>
      <c r="C107" s="73" t="s">
        <v>348</v>
      </c>
      <c r="D107" s="77">
        <v>3.0</v>
      </c>
      <c r="E107" s="77" t="s">
        <v>1410</v>
      </c>
      <c r="F107" s="77" t="s">
        <v>148</v>
      </c>
      <c r="G107" s="77" t="s">
        <v>149</v>
      </c>
      <c r="H107" s="77" t="s">
        <v>151</v>
      </c>
      <c r="I107" s="173" t="s">
        <v>1303</v>
      </c>
      <c r="J107" s="81" t="s">
        <v>1411</v>
      </c>
      <c r="K107" s="45" t="s">
        <v>1412</v>
      </c>
      <c r="L107" s="149"/>
      <c r="M107" s="149"/>
      <c r="N107" s="157" t="s">
        <v>447</v>
      </c>
      <c r="O107" s="115" t="s">
        <v>198</v>
      </c>
      <c r="P107" s="151"/>
      <c r="Q107" s="44" t="s">
        <v>448</v>
      </c>
    </row>
    <row r="108" ht="39.75" customHeight="1">
      <c r="A108" s="94" t="s">
        <v>1370</v>
      </c>
      <c r="B108" s="96" t="s">
        <v>82</v>
      </c>
      <c r="C108" s="94" t="s">
        <v>348</v>
      </c>
      <c r="D108" s="97">
        <v>3.0</v>
      </c>
      <c r="E108" s="97" t="s">
        <v>1410</v>
      </c>
      <c r="F108" s="97" t="s">
        <v>148</v>
      </c>
      <c r="G108" s="97" t="s">
        <v>149</v>
      </c>
      <c r="H108" s="97" t="s">
        <v>151</v>
      </c>
      <c r="I108" s="173" t="s">
        <v>1303</v>
      </c>
      <c r="J108" s="100" t="s">
        <v>1411</v>
      </c>
      <c r="K108" s="101" t="s">
        <v>1412</v>
      </c>
      <c r="L108" s="137" t="s">
        <v>164</v>
      </c>
      <c r="M108" s="50" t="s">
        <v>64</v>
      </c>
      <c r="N108" s="43" t="s">
        <v>55</v>
      </c>
      <c r="O108" s="105" t="s">
        <v>166</v>
      </c>
      <c r="P108" s="101" t="s">
        <v>1189</v>
      </c>
      <c r="Q108" s="107" t="s">
        <v>1190</v>
      </c>
    </row>
    <row r="109" ht="39.75" customHeight="1">
      <c r="A109" s="73" t="s">
        <v>1386</v>
      </c>
      <c r="B109" s="75" t="s">
        <v>82</v>
      </c>
      <c r="C109" s="73" t="s">
        <v>348</v>
      </c>
      <c r="D109" s="77">
        <v>3.0</v>
      </c>
      <c r="E109" s="77" t="s">
        <v>1410</v>
      </c>
      <c r="F109" s="77" t="s">
        <v>148</v>
      </c>
      <c r="G109" s="77" t="s">
        <v>149</v>
      </c>
      <c r="H109" s="77" t="s">
        <v>151</v>
      </c>
      <c r="I109" s="173" t="s">
        <v>1303</v>
      </c>
      <c r="J109" s="81" t="s">
        <v>1411</v>
      </c>
      <c r="K109" s="45" t="s">
        <v>1412</v>
      </c>
      <c r="L109" s="149"/>
      <c r="M109" s="149"/>
      <c r="N109" s="157" t="s">
        <v>447</v>
      </c>
      <c r="O109" s="115" t="s">
        <v>198</v>
      </c>
      <c r="P109" s="151"/>
      <c r="Q109" s="44" t="s">
        <v>448</v>
      </c>
    </row>
    <row r="110" ht="39.75" customHeight="1">
      <c r="A110" s="94" t="s">
        <v>1389</v>
      </c>
      <c r="B110" s="96" t="s">
        <v>82</v>
      </c>
      <c r="C110" s="94" t="s">
        <v>348</v>
      </c>
      <c r="D110" s="97">
        <v>3.0</v>
      </c>
      <c r="E110" s="97" t="s">
        <v>1410</v>
      </c>
      <c r="F110" s="97" t="s">
        <v>148</v>
      </c>
      <c r="G110" s="97" t="s">
        <v>149</v>
      </c>
      <c r="H110" s="97" t="s">
        <v>151</v>
      </c>
      <c r="I110" s="173" t="s">
        <v>1303</v>
      </c>
      <c r="J110" s="100" t="s">
        <v>1411</v>
      </c>
      <c r="K110" s="101" t="s">
        <v>1412</v>
      </c>
      <c r="L110" s="149"/>
      <c r="M110" s="149"/>
      <c r="N110" s="157" t="s">
        <v>447</v>
      </c>
      <c r="O110" s="124" t="s">
        <v>198</v>
      </c>
      <c r="P110" s="159"/>
      <c r="Q110" s="107" t="s">
        <v>448</v>
      </c>
    </row>
    <row r="111" ht="39.75" customHeight="1">
      <c r="A111" s="73" t="s">
        <v>1391</v>
      </c>
      <c r="B111" s="75" t="s">
        <v>82</v>
      </c>
      <c r="C111" s="73" t="s">
        <v>348</v>
      </c>
      <c r="D111" s="77">
        <v>3.0</v>
      </c>
      <c r="E111" s="77" t="s">
        <v>1410</v>
      </c>
      <c r="F111" s="77" t="s">
        <v>148</v>
      </c>
      <c r="G111" s="77" t="s">
        <v>149</v>
      </c>
      <c r="H111" s="77" t="s">
        <v>151</v>
      </c>
      <c r="I111" s="173" t="s">
        <v>1303</v>
      </c>
      <c r="J111" s="81" t="s">
        <v>1411</v>
      </c>
      <c r="K111" s="45" t="s">
        <v>1412</v>
      </c>
      <c r="L111" s="149"/>
      <c r="M111" s="149"/>
      <c r="N111" s="157" t="s">
        <v>447</v>
      </c>
      <c r="O111" s="115" t="s">
        <v>198</v>
      </c>
      <c r="P111" s="151"/>
      <c r="Q111" s="44" t="s">
        <v>448</v>
      </c>
    </row>
    <row r="112" ht="39.75" customHeight="1">
      <c r="A112" s="94" t="s">
        <v>1397</v>
      </c>
      <c r="B112" s="96" t="s">
        <v>82</v>
      </c>
      <c r="C112" s="94" t="s">
        <v>348</v>
      </c>
      <c r="D112" s="97">
        <v>3.0</v>
      </c>
      <c r="E112" s="97" t="s">
        <v>1410</v>
      </c>
      <c r="F112" s="97" t="s">
        <v>148</v>
      </c>
      <c r="G112" s="97" t="s">
        <v>149</v>
      </c>
      <c r="H112" s="97" t="s">
        <v>151</v>
      </c>
      <c r="I112" s="173" t="s">
        <v>1303</v>
      </c>
      <c r="J112" s="100" t="s">
        <v>1411</v>
      </c>
      <c r="K112" s="101" t="s">
        <v>1412</v>
      </c>
      <c r="L112" s="149"/>
      <c r="M112" s="149"/>
      <c r="N112" s="157" t="s">
        <v>447</v>
      </c>
      <c r="O112" s="124" t="s">
        <v>198</v>
      </c>
      <c r="P112" s="159"/>
      <c r="Q112" s="107" t="s">
        <v>448</v>
      </c>
    </row>
    <row r="113" ht="39.75" customHeight="1">
      <c r="A113" s="73" t="s">
        <v>1402</v>
      </c>
      <c r="B113" s="75" t="s">
        <v>82</v>
      </c>
      <c r="C113" s="73" t="s">
        <v>348</v>
      </c>
      <c r="D113" s="77">
        <v>3.0</v>
      </c>
      <c r="E113" s="77" t="s">
        <v>1410</v>
      </c>
      <c r="F113" s="77" t="s">
        <v>148</v>
      </c>
      <c r="G113" s="77" t="s">
        <v>149</v>
      </c>
      <c r="H113" s="77" t="s">
        <v>151</v>
      </c>
      <c r="I113" s="173" t="s">
        <v>1303</v>
      </c>
      <c r="J113" s="81" t="s">
        <v>1411</v>
      </c>
      <c r="K113" s="45" t="s">
        <v>1412</v>
      </c>
      <c r="L113" s="88" t="s">
        <v>63</v>
      </c>
      <c r="M113" s="50" t="s">
        <v>64</v>
      </c>
      <c r="N113" s="43" t="s">
        <v>55</v>
      </c>
      <c r="O113" s="59" t="s">
        <v>166</v>
      </c>
      <c r="P113" s="45" t="s">
        <v>1189</v>
      </c>
      <c r="Q113" s="44" t="s">
        <v>1190</v>
      </c>
    </row>
    <row r="114" ht="39.75" customHeight="1">
      <c r="A114" s="94" t="s">
        <v>1413</v>
      </c>
      <c r="B114" s="96" t="s">
        <v>82</v>
      </c>
      <c r="C114" s="94" t="s">
        <v>348</v>
      </c>
      <c r="D114" s="97">
        <v>3.0</v>
      </c>
      <c r="E114" s="97" t="s">
        <v>1410</v>
      </c>
      <c r="F114" s="97" t="s">
        <v>148</v>
      </c>
      <c r="G114" s="97" t="s">
        <v>149</v>
      </c>
      <c r="H114" s="97" t="s">
        <v>151</v>
      </c>
      <c r="I114" s="173" t="s">
        <v>1303</v>
      </c>
      <c r="J114" s="100" t="s">
        <v>1411</v>
      </c>
      <c r="K114" s="101" t="s">
        <v>1412</v>
      </c>
      <c r="L114" s="149"/>
      <c r="M114" s="149"/>
      <c r="N114" s="157" t="s">
        <v>447</v>
      </c>
      <c r="O114" s="124" t="s">
        <v>198</v>
      </c>
      <c r="P114" s="159"/>
      <c r="Q114" s="107" t="s">
        <v>448</v>
      </c>
    </row>
    <row r="115" ht="39.75" customHeight="1">
      <c r="A115" s="73" t="s">
        <v>1265</v>
      </c>
      <c r="B115" s="75" t="s">
        <v>82</v>
      </c>
      <c r="C115" s="73" t="s">
        <v>348</v>
      </c>
      <c r="D115" s="77">
        <v>3.0</v>
      </c>
      <c r="E115" s="77" t="s">
        <v>1428</v>
      </c>
      <c r="F115" s="77" t="s">
        <v>148</v>
      </c>
      <c r="G115" s="77" t="s">
        <v>149</v>
      </c>
      <c r="H115" s="77" t="s">
        <v>151</v>
      </c>
      <c r="I115" s="173" t="s">
        <v>1303</v>
      </c>
      <c r="J115" s="81" t="s">
        <v>1429</v>
      </c>
      <c r="K115" s="45" t="s">
        <v>1430</v>
      </c>
      <c r="L115" s="149"/>
      <c r="M115" s="149"/>
      <c r="N115" s="157" t="s">
        <v>447</v>
      </c>
      <c r="O115" s="115" t="s">
        <v>198</v>
      </c>
      <c r="P115" s="151"/>
      <c r="Q115" s="44" t="s">
        <v>448</v>
      </c>
    </row>
    <row r="116" ht="39.75" customHeight="1">
      <c r="A116" s="94" t="s">
        <v>1271</v>
      </c>
      <c r="B116" s="96" t="s">
        <v>82</v>
      </c>
      <c r="C116" s="94" t="s">
        <v>348</v>
      </c>
      <c r="D116" s="97">
        <v>3.0</v>
      </c>
      <c r="E116" s="97" t="s">
        <v>1428</v>
      </c>
      <c r="F116" s="97" t="s">
        <v>148</v>
      </c>
      <c r="G116" s="97" t="s">
        <v>149</v>
      </c>
      <c r="H116" s="97" t="s">
        <v>151</v>
      </c>
      <c r="I116" s="173" t="s">
        <v>1303</v>
      </c>
      <c r="J116" s="100" t="s">
        <v>1429</v>
      </c>
      <c r="K116" s="101" t="s">
        <v>1430</v>
      </c>
      <c r="L116" s="149"/>
      <c r="M116" s="149"/>
      <c r="N116" s="157" t="s">
        <v>447</v>
      </c>
      <c r="O116" s="124" t="s">
        <v>198</v>
      </c>
      <c r="P116" s="159"/>
      <c r="Q116" s="107" t="s">
        <v>448</v>
      </c>
    </row>
    <row r="117" ht="39.75" customHeight="1">
      <c r="A117" s="73" t="s">
        <v>1284</v>
      </c>
      <c r="B117" s="75" t="s">
        <v>82</v>
      </c>
      <c r="C117" s="73" t="s">
        <v>348</v>
      </c>
      <c r="D117" s="77">
        <v>3.0</v>
      </c>
      <c r="E117" s="77" t="s">
        <v>1428</v>
      </c>
      <c r="F117" s="77" t="s">
        <v>148</v>
      </c>
      <c r="G117" s="77" t="s">
        <v>149</v>
      </c>
      <c r="H117" s="77" t="s">
        <v>151</v>
      </c>
      <c r="I117" s="173" t="s">
        <v>1303</v>
      </c>
      <c r="J117" s="81" t="s">
        <v>1429</v>
      </c>
      <c r="K117" s="45" t="s">
        <v>1430</v>
      </c>
      <c r="L117" s="140" t="s">
        <v>52</v>
      </c>
      <c r="M117" s="62" t="s">
        <v>92</v>
      </c>
      <c r="N117" s="43" t="s">
        <v>55</v>
      </c>
      <c r="O117" s="59" t="s">
        <v>166</v>
      </c>
      <c r="P117" s="45" t="s">
        <v>1189</v>
      </c>
      <c r="Q117" s="44" t="s">
        <v>1190</v>
      </c>
    </row>
    <row r="118" ht="39.75" customHeight="1">
      <c r="A118" s="94" t="s">
        <v>1289</v>
      </c>
      <c r="B118" s="96" t="s">
        <v>82</v>
      </c>
      <c r="C118" s="94" t="s">
        <v>348</v>
      </c>
      <c r="D118" s="97">
        <v>3.0</v>
      </c>
      <c r="E118" s="97" t="s">
        <v>1428</v>
      </c>
      <c r="F118" s="97" t="s">
        <v>148</v>
      </c>
      <c r="G118" s="97" t="s">
        <v>149</v>
      </c>
      <c r="H118" s="97" t="s">
        <v>151</v>
      </c>
      <c r="I118" s="173" t="s">
        <v>1303</v>
      </c>
      <c r="J118" s="100" t="s">
        <v>1429</v>
      </c>
      <c r="K118" s="101" t="s">
        <v>1430</v>
      </c>
      <c r="L118" s="125" t="s">
        <v>92</v>
      </c>
      <c r="M118" s="50" t="s">
        <v>64</v>
      </c>
      <c r="N118" s="43" t="s">
        <v>55</v>
      </c>
      <c r="O118" s="105" t="s">
        <v>166</v>
      </c>
      <c r="P118" s="101" t="s">
        <v>1189</v>
      </c>
      <c r="Q118" s="107" t="s">
        <v>1190</v>
      </c>
    </row>
    <row r="119" ht="39.75" customHeight="1">
      <c r="A119" s="73" t="s">
        <v>1312</v>
      </c>
      <c r="B119" s="75" t="s">
        <v>82</v>
      </c>
      <c r="C119" s="73" t="s">
        <v>348</v>
      </c>
      <c r="D119" s="77">
        <v>3.0</v>
      </c>
      <c r="E119" s="77" t="s">
        <v>1428</v>
      </c>
      <c r="F119" s="77" t="s">
        <v>148</v>
      </c>
      <c r="G119" s="77" t="s">
        <v>149</v>
      </c>
      <c r="H119" s="77" t="s">
        <v>151</v>
      </c>
      <c r="I119" s="173" t="s">
        <v>1303</v>
      </c>
      <c r="J119" s="81" t="s">
        <v>1429</v>
      </c>
      <c r="K119" s="45" t="s">
        <v>1430</v>
      </c>
      <c r="L119" s="125" t="s">
        <v>92</v>
      </c>
      <c r="M119" s="49" t="s">
        <v>63</v>
      </c>
      <c r="N119" s="43" t="s">
        <v>55</v>
      </c>
      <c r="O119" s="59" t="s">
        <v>166</v>
      </c>
      <c r="P119" s="45" t="s">
        <v>1189</v>
      </c>
      <c r="Q119" s="44" t="s">
        <v>1190</v>
      </c>
    </row>
    <row r="120" ht="39.75" customHeight="1">
      <c r="A120" s="94" t="s">
        <v>1320</v>
      </c>
      <c r="B120" s="96" t="s">
        <v>82</v>
      </c>
      <c r="C120" s="94" t="s">
        <v>348</v>
      </c>
      <c r="D120" s="97">
        <v>3.0</v>
      </c>
      <c r="E120" s="97" t="s">
        <v>1428</v>
      </c>
      <c r="F120" s="97" t="s">
        <v>148</v>
      </c>
      <c r="G120" s="97" t="s">
        <v>149</v>
      </c>
      <c r="H120" s="97" t="s">
        <v>151</v>
      </c>
      <c r="I120" s="173" t="s">
        <v>1303</v>
      </c>
      <c r="J120" s="100" t="s">
        <v>1429</v>
      </c>
      <c r="K120" s="101" t="s">
        <v>1430</v>
      </c>
      <c r="L120" s="149"/>
      <c r="M120" s="149"/>
      <c r="N120" s="157" t="s">
        <v>447</v>
      </c>
      <c r="O120" s="124" t="s">
        <v>198</v>
      </c>
      <c r="P120" s="159"/>
      <c r="Q120" s="107" t="s">
        <v>448</v>
      </c>
    </row>
    <row r="121" ht="39.75" customHeight="1">
      <c r="A121" s="73" t="s">
        <v>1322</v>
      </c>
      <c r="B121" s="75" t="s">
        <v>82</v>
      </c>
      <c r="C121" s="73" t="s">
        <v>348</v>
      </c>
      <c r="D121" s="77">
        <v>3.0</v>
      </c>
      <c r="E121" s="77" t="s">
        <v>1428</v>
      </c>
      <c r="F121" s="77" t="s">
        <v>148</v>
      </c>
      <c r="G121" s="77" t="s">
        <v>149</v>
      </c>
      <c r="H121" s="77" t="s">
        <v>151</v>
      </c>
      <c r="I121" s="173" t="s">
        <v>1303</v>
      </c>
      <c r="J121" s="81" t="s">
        <v>1429</v>
      </c>
      <c r="K121" s="45" t="s">
        <v>1430</v>
      </c>
      <c r="L121" s="125" t="s">
        <v>92</v>
      </c>
      <c r="M121" s="50" t="s">
        <v>64</v>
      </c>
      <c r="N121" s="43" t="s">
        <v>55</v>
      </c>
      <c r="O121" s="59" t="s">
        <v>166</v>
      </c>
      <c r="P121" s="45" t="s">
        <v>1189</v>
      </c>
      <c r="Q121" s="44" t="s">
        <v>1190</v>
      </c>
    </row>
    <row r="122" ht="39.75" customHeight="1">
      <c r="A122" s="94" t="s">
        <v>1334</v>
      </c>
      <c r="B122" s="96" t="s">
        <v>82</v>
      </c>
      <c r="C122" s="94" t="s">
        <v>348</v>
      </c>
      <c r="D122" s="97">
        <v>3.0</v>
      </c>
      <c r="E122" s="97" t="s">
        <v>1428</v>
      </c>
      <c r="F122" s="97" t="s">
        <v>148</v>
      </c>
      <c r="G122" s="97" t="s">
        <v>149</v>
      </c>
      <c r="H122" s="97" t="s">
        <v>151</v>
      </c>
      <c r="I122" s="173" t="s">
        <v>1303</v>
      </c>
      <c r="J122" s="100" t="s">
        <v>1429</v>
      </c>
      <c r="K122" s="101" t="s">
        <v>1430</v>
      </c>
      <c r="L122" s="125" t="s">
        <v>92</v>
      </c>
      <c r="M122" s="50" t="s">
        <v>64</v>
      </c>
      <c r="N122" s="43" t="s">
        <v>55</v>
      </c>
      <c r="O122" s="105" t="s">
        <v>166</v>
      </c>
      <c r="P122" s="101" t="s">
        <v>1189</v>
      </c>
      <c r="Q122" s="107" t="s">
        <v>1190</v>
      </c>
    </row>
    <row r="123" ht="39.75" customHeight="1">
      <c r="A123" s="73" t="s">
        <v>1340</v>
      </c>
      <c r="B123" s="75" t="s">
        <v>82</v>
      </c>
      <c r="C123" s="73" t="s">
        <v>348</v>
      </c>
      <c r="D123" s="77">
        <v>3.0</v>
      </c>
      <c r="E123" s="77" t="s">
        <v>1428</v>
      </c>
      <c r="F123" s="77" t="s">
        <v>148</v>
      </c>
      <c r="G123" s="77" t="s">
        <v>149</v>
      </c>
      <c r="H123" s="77" t="s">
        <v>151</v>
      </c>
      <c r="I123" s="173" t="s">
        <v>1303</v>
      </c>
      <c r="J123" s="81" t="s">
        <v>1429</v>
      </c>
      <c r="K123" s="45" t="s">
        <v>1430</v>
      </c>
      <c r="L123" s="140" t="s">
        <v>52</v>
      </c>
      <c r="M123" s="49" t="s">
        <v>63</v>
      </c>
      <c r="N123" s="43" t="s">
        <v>55</v>
      </c>
      <c r="O123" s="59" t="s">
        <v>166</v>
      </c>
      <c r="P123" s="45" t="s">
        <v>1189</v>
      </c>
      <c r="Q123" s="44" t="s">
        <v>1190</v>
      </c>
    </row>
    <row r="124" ht="39.75" customHeight="1">
      <c r="A124" s="94" t="s">
        <v>1344</v>
      </c>
      <c r="B124" s="96" t="s">
        <v>82</v>
      </c>
      <c r="C124" s="94" t="s">
        <v>348</v>
      </c>
      <c r="D124" s="97">
        <v>3.0</v>
      </c>
      <c r="E124" s="97" t="s">
        <v>1428</v>
      </c>
      <c r="F124" s="97" t="s">
        <v>148</v>
      </c>
      <c r="G124" s="97" t="s">
        <v>149</v>
      </c>
      <c r="H124" s="97" t="s">
        <v>151</v>
      </c>
      <c r="I124" s="173" t="s">
        <v>1303</v>
      </c>
      <c r="J124" s="100" t="s">
        <v>1429</v>
      </c>
      <c r="K124" s="101" t="s">
        <v>1430</v>
      </c>
      <c r="L124" s="125" t="s">
        <v>92</v>
      </c>
      <c r="M124" s="50" t="s">
        <v>64</v>
      </c>
      <c r="N124" s="43" t="s">
        <v>55</v>
      </c>
      <c r="O124" s="105" t="s">
        <v>166</v>
      </c>
      <c r="P124" s="101" t="s">
        <v>1189</v>
      </c>
      <c r="Q124" s="107" t="s">
        <v>1190</v>
      </c>
    </row>
    <row r="125" ht="39.75" customHeight="1">
      <c r="A125" s="73" t="s">
        <v>1395</v>
      </c>
      <c r="B125" s="75" t="s">
        <v>82</v>
      </c>
      <c r="C125" s="73" t="s">
        <v>348</v>
      </c>
      <c r="D125" s="77">
        <v>3.0</v>
      </c>
      <c r="E125" s="77" t="s">
        <v>1428</v>
      </c>
      <c r="F125" s="77" t="s">
        <v>148</v>
      </c>
      <c r="G125" s="77" t="s">
        <v>149</v>
      </c>
      <c r="H125" s="77" t="s">
        <v>151</v>
      </c>
      <c r="I125" s="173" t="s">
        <v>1303</v>
      </c>
      <c r="J125" s="81" t="s">
        <v>1429</v>
      </c>
      <c r="K125" s="45" t="s">
        <v>1430</v>
      </c>
      <c r="L125" s="125" t="s">
        <v>92</v>
      </c>
      <c r="M125" s="49" t="s">
        <v>63</v>
      </c>
      <c r="N125" s="43" t="s">
        <v>55</v>
      </c>
      <c r="O125" s="59" t="s">
        <v>166</v>
      </c>
      <c r="P125" s="45" t="s">
        <v>1189</v>
      </c>
      <c r="Q125" s="44" t="s">
        <v>1190</v>
      </c>
    </row>
    <row r="126" ht="30.0" customHeight="1">
      <c r="A126" s="94" t="s">
        <v>1404</v>
      </c>
      <c r="B126" s="96" t="s">
        <v>82</v>
      </c>
      <c r="C126" s="94" t="s">
        <v>348</v>
      </c>
      <c r="D126" s="97">
        <v>3.0</v>
      </c>
      <c r="E126" s="97" t="s">
        <v>1428</v>
      </c>
      <c r="F126" s="97" t="s">
        <v>148</v>
      </c>
      <c r="G126" s="97" t="s">
        <v>149</v>
      </c>
      <c r="H126" s="97" t="s">
        <v>151</v>
      </c>
      <c r="I126" s="173" t="s">
        <v>1303</v>
      </c>
      <c r="J126" s="100" t="s">
        <v>1429</v>
      </c>
      <c r="K126" s="101" t="s">
        <v>1430</v>
      </c>
      <c r="L126" s="176" t="s">
        <v>189</v>
      </c>
      <c r="M126" s="50" t="s">
        <v>64</v>
      </c>
      <c r="N126" s="43" t="s">
        <v>55</v>
      </c>
      <c r="O126" s="124" t="s">
        <v>56</v>
      </c>
      <c r="P126" s="101" t="s">
        <v>1406</v>
      </c>
      <c r="Q126" s="107"/>
    </row>
    <row r="127" ht="39.75" customHeight="1">
      <c r="A127" s="73" t="s">
        <v>1254</v>
      </c>
      <c r="B127" s="75" t="s">
        <v>82</v>
      </c>
      <c r="C127" s="73" t="s">
        <v>348</v>
      </c>
      <c r="D127" s="77">
        <v>3.0</v>
      </c>
      <c r="E127" s="77" t="s">
        <v>1470</v>
      </c>
      <c r="F127" s="77" t="s">
        <v>148</v>
      </c>
      <c r="G127" s="77" t="s">
        <v>149</v>
      </c>
      <c r="H127" s="77" t="s">
        <v>151</v>
      </c>
      <c r="I127" s="173" t="s">
        <v>1303</v>
      </c>
      <c r="J127" s="81" t="s">
        <v>351</v>
      </c>
      <c r="K127" s="45" t="s">
        <v>352</v>
      </c>
      <c r="L127" s="149"/>
      <c r="M127" s="149"/>
      <c r="N127" s="157" t="s">
        <v>447</v>
      </c>
      <c r="O127" s="115" t="s">
        <v>198</v>
      </c>
      <c r="P127" s="151"/>
      <c r="Q127" s="44" t="s">
        <v>448</v>
      </c>
    </row>
    <row r="128" ht="39.75" customHeight="1">
      <c r="A128" s="94" t="s">
        <v>1301</v>
      </c>
      <c r="B128" s="96" t="s">
        <v>82</v>
      </c>
      <c r="C128" s="94" t="s">
        <v>348</v>
      </c>
      <c r="D128" s="97">
        <v>3.0</v>
      </c>
      <c r="E128" s="97" t="s">
        <v>1470</v>
      </c>
      <c r="F128" s="97" t="s">
        <v>148</v>
      </c>
      <c r="G128" s="97" t="s">
        <v>149</v>
      </c>
      <c r="H128" s="97" t="s">
        <v>151</v>
      </c>
      <c r="I128" s="173" t="s">
        <v>1303</v>
      </c>
      <c r="J128" s="100" t="s">
        <v>351</v>
      </c>
      <c r="K128" s="101" t="s">
        <v>352</v>
      </c>
      <c r="L128" s="149"/>
      <c r="M128" s="149"/>
      <c r="N128" s="157" t="s">
        <v>447</v>
      </c>
      <c r="O128" s="124" t="s">
        <v>198</v>
      </c>
      <c r="P128" s="159"/>
      <c r="Q128" s="107" t="s">
        <v>448</v>
      </c>
    </row>
    <row r="129" ht="39.75" customHeight="1">
      <c r="A129" s="73" t="s">
        <v>1304</v>
      </c>
      <c r="B129" s="75" t="s">
        <v>82</v>
      </c>
      <c r="C129" s="73" t="s">
        <v>348</v>
      </c>
      <c r="D129" s="77">
        <v>3.0</v>
      </c>
      <c r="E129" s="77" t="s">
        <v>1470</v>
      </c>
      <c r="F129" s="77" t="s">
        <v>148</v>
      </c>
      <c r="G129" s="77" t="s">
        <v>149</v>
      </c>
      <c r="H129" s="77" t="s">
        <v>151</v>
      </c>
      <c r="I129" s="173" t="s">
        <v>1303</v>
      </c>
      <c r="J129" s="81" t="s">
        <v>351</v>
      </c>
      <c r="K129" s="45" t="s">
        <v>352</v>
      </c>
      <c r="L129" s="125" t="s">
        <v>92</v>
      </c>
      <c r="M129" s="50" t="s">
        <v>64</v>
      </c>
      <c r="N129" s="43" t="s">
        <v>55</v>
      </c>
      <c r="O129" s="59" t="s">
        <v>166</v>
      </c>
      <c r="P129" s="45" t="s">
        <v>1189</v>
      </c>
      <c r="Q129" s="44" t="s">
        <v>1190</v>
      </c>
    </row>
    <row r="130" ht="39.75" customHeight="1">
      <c r="A130" s="94" t="s">
        <v>1332</v>
      </c>
      <c r="B130" s="96" t="s">
        <v>82</v>
      </c>
      <c r="C130" s="94" t="s">
        <v>348</v>
      </c>
      <c r="D130" s="97">
        <v>3.0</v>
      </c>
      <c r="E130" s="97" t="s">
        <v>1470</v>
      </c>
      <c r="F130" s="97" t="s">
        <v>148</v>
      </c>
      <c r="G130" s="97" t="s">
        <v>149</v>
      </c>
      <c r="H130" s="97" t="s">
        <v>151</v>
      </c>
      <c r="I130" s="173" t="s">
        <v>1303</v>
      </c>
      <c r="J130" s="100" t="s">
        <v>351</v>
      </c>
      <c r="K130" s="101" t="s">
        <v>352</v>
      </c>
      <c r="L130" s="88" t="s">
        <v>63</v>
      </c>
      <c r="M130" s="50" t="s">
        <v>64</v>
      </c>
      <c r="N130" s="43" t="s">
        <v>55</v>
      </c>
      <c r="O130" s="105" t="s">
        <v>166</v>
      </c>
      <c r="P130" s="101" t="s">
        <v>1189</v>
      </c>
      <c r="Q130" s="107" t="s">
        <v>1190</v>
      </c>
    </row>
    <row r="131" ht="39.75" customHeight="1">
      <c r="A131" s="73" t="s">
        <v>1341</v>
      </c>
      <c r="B131" s="75" t="s">
        <v>82</v>
      </c>
      <c r="C131" s="73" t="s">
        <v>348</v>
      </c>
      <c r="D131" s="77">
        <v>3.0</v>
      </c>
      <c r="E131" s="77" t="s">
        <v>1470</v>
      </c>
      <c r="F131" s="77" t="s">
        <v>148</v>
      </c>
      <c r="G131" s="77" t="s">
        <v>149</v>
      </c>
      <c r="H131" s="77" t="s">
        <v>151</v>
      </c>
      <c r="I131" s="173" t="s">
        <v>1303</v>
      </c>
      <c r="J131" s="81" t="s">
        <v>351</v>
      </c>
      <c r="K131" s="45" t="s">
        <v>352</v>
      </c>
      <c r="L131" s="149"/>
      <c r="M131" s="149"/>
      <c r="N131" s="157" t="s">
        <v>447</v>
      </c>
      <c r="O131" s="115" t="s">
        <v>198</v>
      </c>
      <c r="P131" s="151"/>
      <c r="Q131" s="44" t="s">
        <v>448</v>
      </c>
    </row>
    <row r="132" ht="39.75" customHeight="1">
      <c r="A132" s="94" t="s">
        <v>1343</v>
      </c>
      <c r="B132" s="96" t="s">
        <v>82</v>
      </c>
      <c r="C132" s="94" t="s">
        <v>348</v>
      </c>
      <c r="D132" s="97">
        <v>3.0</v>
      </c>
      <c r="E132" s="97" t="s">
        <v>1470</v>
      </c>
      <c r="F132" s="97" t="s">
        <v>148</v>
      </c>
      <c r="G132" s="97" t="s">
        <v>149</v>
      </c>
      <c r="H132" s="97" t="s">
        <v>151</v>
      </c>
      <c r="I132" s="173" t="s">
        <v>1303</v>
      </c>
      <c r="J132" s="100" t="s">
        <v>351</v>
      </c>
      <c r="K132" s="101" t="s">
        <v>352</v>
      </c>
      <c r="L132" s="140" t="s">
        <v>52</v>
      </c>
      <c r="M132" s="86" t="s">
        <v>164</v>
      </c>
      <c r="N132" s="43" t="s">
        <v>55</v>
      </c>
      <c r="O132" s="105" t="s">
        <v>166</v>
      </c>
      <c r="P132" s="101" t="s">
        <v>1189</v>
      </c>
      <c r="Q132" s="107" t="s">
        <v>1190</v>
      </c>
    </row>
    <row r="133" ht="39.75" customHeight="1">
      <c r="A133" s="73" t="s">
        <v>1371</v>
      </c>
      <c r="B133" s="75" t="s">
        <v>82</v>
      </c>
      <c r="C133" s="73" t="s">
        <v>348</v>
      </c>
      <c r="D133" s="77">
        <v>3.0</v>
      </c>
      <c r="E133" s="77" t="s">
        <v>1470</v>
      </c>
      <c r="F133" s="77" t="s">
        <v>148</v>
      </c>
      <c r="G133" s="77" t="s">
        <v>149</v>
      </c>
      <c r="H133" s="77" t="s">
        <v>151</v>
      </c>
      <c r="I133" s="173" t="s">
        <v>1303</v>
      </c>
      <c r="J133" s="81" t="s">
        <v>351</v>
      </c>
      <c r="K133" s="45" t="s">
        <v>352</v>
      </c>
      <c r="L133" s="149"/>
      <c r="M133" s="149"/>
      <c r="N133" s="157" t="s">
        <v>447</v>
      </c>
      <c r="O133" s="115" t="s">
        <v>198</v>
      </c>
      <c r="P133" s="151"/>
      <c r="Q133" s="44" t="s">
        <v>448</v>
      </c>
    </row>
    <row r="134" ht="39.75" customHeight="1">
      <c r="A134" s="94" t="s">
        <v>1374</v>
      </c>
      <c r="B134" s="96" t="s">
        <v>82</v>
      </c>
      <c r="C134" s="94" t="s">
        <v>348</v>
      </c>
      <c r="D134" s="97">
        <v>3.0</v>
      </c>
      <c r="E134" s="97" t="s">
        <v>1470</v>
      </c>
      <c r="F134" s="97" t="s">
        <v>148</v>
      </c>
      <c r="G134" s="97" t="s">
        <v>149</v>
      </c>
      <c r="H134" s="97" t="s">
        <v>151</v>
      </c>
      <c r="I134" s="173" t="s">
        <v>1303</v>
      </c>
      <c r="J134" s="100" t="s">
        <v>351</v>
      </c>
      <c r="K134" s="101" t="s">
        <v>352</v>
      </c>
      <c r="L134" s="149"/>
      <c r="M134" s="149"/>
      <c r="N134" s="157" t="s">
        <v>447</v>
      </c>
      <c r="O134" s="124" t="s">
        <v>198</v>
      </c>
      <c r="P134" s="159"/>
      <c r="Q134" s="107" t="s">
        <v>448</v>
      </c>
    </row>
    <row r="135" ht="39.75" customHeight="1">
      <c r="A135" s="73" t="s">
        <v>1388</v>
      </c>
      <c r="B135" s="75" t="s">
        <v>82</v>
      </c>
      <c r="C135" s="73" t="s">
        <v>348</v>
      </c>
      <c r="D135" s="77">
        <v>3.0</v>
      </c>
      <c r="E135" s="77" t="s">
        <v>1470</v>
      </c>
      <c r="F135" s="77" t="s">
        <v>148</v>
      </c>
      <c r="G135" s="77" t="s">
        <v>149</v>
      </c>
      <c r="H135" s="77" t="s">
        <v>151</v>
      </c>
      <c r="I135" s="173" t="s">
        <v>1303</v>
      </c>
      <c r="J135" s="81" t="s">
        <v>351</v>
      </c>
      <c r="K135" s="45" t="s">
        <v>352</v>
      </c>
      <c r="L135" s="125" t="s">
        <v>92</v>
      </c>
      <c r="M135" s="50" t="s">
        <v>64</v>
      </c>
      <c r="N135" s="43" t="s">
        <v>55</v>
      </c>
      <c r="O135" s="59" t="s">
        <v>166</v>
      </c>
      <c r="P135" s="45" t="s">
        <v>1189</v>
      </c>
      <c r="Q135" s="44" t="s">
        <v>1190</v>
      </c>
    </row>
    <row r="136" ht="39.75" customHeight="1">
      <c r="A136" s="94" t="s">
        <v>1409</v>
      </c>
      <c r="B136" s="96" t="s">
        <v>82</v>
      </c>
      <c r="C136" s="94" t="s">
        <v>348</v>
      </c>
      <c r="D136" s="97">
        <v>3.0</v>
      </c>
      <c r="E136" s="97" t="s">
        <v>1470</v>
      </c>
      <c r="F136" s="97" t="s">
        <v>148</v>
      </c>
      <c r="G136" s="97" t="s">
        <v>149</v>
      </c>
      <c r="H136" s="97" t="s">
        <v>151</v>
      </c>
      <c r="I136" s="173" t="s">
        <v>1303</v>
      </c>
      <c r="J136" s="100" t="s">
        <v>351</v>
      </c>
      <c r="K136" s="101" t="s">
        <v>352</v>
      </c>
      <c r="L136" s="149"/>
      <c r="M136" s="149"/>
      <c r="N136" s="157" t="s">
        <v>447</v>
      </c>
      <c r="O136" s="124" t="s">
        <v>198</v>
      </c>
      <c r="P136" s="159"/>
      <c r="Q136" s="107" t="s">
        <v>448</v>
      </c>
    </row>
    <row r="137" ht="39.75" customHeight="1">
      <c r="A137" s="73" t="s">
        <v>1414</v>
      </c>
      <c r="B137" s="75" t="s">
        <v>82</v>
      </c>
      <c r="C137" s="73" t="s">
        <v>348</v>
      </c>
      <c r="D137" s="77">
        <v>3.0</v>
      </c>
      <c r="E137" s="77" t="s">
        <v>1470</v>
      </c>
      <c r="F137" s="77" t="s">
        <v>148</v>
      </c>
      <c r="G137" s="77" t="s">
        <v>149</v>
      </c>
      <c r="H137" s="77" t="s">
        <v>151</v>
      </c>
      <c r="I137" s="173" t="s">
        <v>1303</v>
      </c>
      <c r="J137" s="81" t="s">
        <v>351</v>
      </c>
      <c r="K137" s="45" t="s">
        <v>352</v>
      </c>
      <c r="L137" s="149"/>
      <c r="M137" s="149"/>
      <c r="N137" s="157" t="s">
        <v>447</v>
      </c>
      <c r="O137" s="115" t="s">
        <v>198</v>
      </c>
      <c r="P137" s="151"/>
      <c r="Q137" s="44" t="s">
        <v>448</v>
      </c>
    </row>
    <row r="138" ht="39.75" customHeight="1">
      <c r="A138" s="94" t="s">
        <v>1256</v>
      </c>
      <c r="B138" s="96" t="s">
        <v>82</v>
      </c>
      <c r="C138" s="94" t="s">
        <v>348</v>
      </c>
      <c r="D138" s="97">
        <v>3.0</v>
      </c>
      <c r="E138" s="97" t="s">
        <v>1501</v>
      </c>
      <c r="F138" s="97" t="s">
        <v>148</v>
      </c>
      <c r="G138" s="97" t="s">
        <v>149</v>
      </c>
      <c r="H138" s="97" t="s">
        <v>151</v>
      </c>
      <c r="I138" s="173" t="s">
        <v>1303</v>
      </c>
      <c r="J138" s="100" t="s">
        <v>1504</v>
      </c>
      <c r="K138" s="101" t="s">
        <v>1505</v>
      </c>
      <c r="L138" s="149"/>
      <c r="M138" s="149"/>
      <c r="N138" s="157" t="s">
        <v>447</v>
      </c>
      <c r="O138" s="124" t="s">
        <v>198</v>
      </c>
      <c r="P138" s="159"/>
      <c r="Q138" s="107" t="s">
        <v>448</v>
      </c>
    </row>
    <row r="139" ht="39.75" customHeight="1">
      <c r="A139" s="73" t="s">
        <v>1267</v>
      </c>
      <c r="B139" s="75" t="s">
        <v>82</v>
      </c>
      <c r="C139" s="73" t="s">
        <v>348</v>
      </c>
      <c r="D139" s="77">
        <v>3.0</v>
      </c>
      <c r="E139" s="77" t="s">
        <v>1501</v>
      </c>
      <c r="F139" s="77" t="s">
        <v>148</v>
      </c>
      <c r="G139" s="77" t="s">
        <v>149</v>
      </c>
      <c r="H139" s="77" t="s">
        <v>151</v>
      </c>
      <c r="I139" s="173" t="s">
        <v>1303</v>
      </c>
      <c r="J139" s="81" t="s">
        <v>1504</v>
      </c>
      <c r="K139" s="45" t="s">
        <v>1505</v>
      </c>
      <c r="L139" s="125" t="s">
        <v>92</v>
      </c>
      <c r="M139" s="50" t="s">
        <v>64</v>
      </c>
      <c r="N139" s="43" t="s">
        <v>55</v>
      </c>
      <c r="O139" s="59" t="s">
        <v>166</v>
      </c>
      <c r="P139" s="45" t="s">
        <v>1189</v>
      </c>
      <c r="Q139" s="44" t="s">
        <v>1190</v>
      </c>
    </row>
    <row r="140" ht="39.75" customHeight="1">
      <c r="A140" s="94" t="s">
        <v>1309</v>
      </c>
      <c r="B140" s="96" t="s">
        <v>82</v>
      </c>
      <c r="C140" s="94" t="s">
        <v>348</v>
      </c>
      <c r="D140" s="97">
        <v>3.0</v>
      </c>
      <c r="E140" s="97" t="s">
        <v>1501</v>
      </c>
      <c r="F140" s="97" t="s">
        <v>148</v>
      </c>
      <c r="G140" s="97" t="s">
        <v>149</v>
      </c>
      <c r="H140" s="97" t="s">
        <v>151</v>
      </c>
      <c r="I140" s="173" t="s">
        <v>1303</v>
      </c>
      <c r="J140" s="100" t="s">
        <v>1504</v>
      </c>
      <c r="K140" s="101" t="s">
        <v>1505</v>
      </c>
      <c r="L140" s="149"/>
      <c r="M140" s="149"/>
      <c r="N140" s="157" t="s">
        <v>447</v>
      </c>
      <c r="O140" s="124" t="s">
        <v>198</v>
      </c>
      <c r="P140" s="159"/>
      <c r="Q140" s="107" t="s">
        <v>448</v>
      </c>
    </row>
    <row r="141" ht="39.75" customHeight="1">
      <c r="A141" s="73" t="s">
        <v>1311</v>
      </c>
      <c r="B141" s="75" t="s">
        <v>82</v>
      </c>
      <c r="C141" s="73" t="s">
        <v>348</v>
      </c>
      <c r="D141" s="77">
        <v>3.0</v>
      </c>
      <c r="E141" s="77" t="s">
        <v>1501</v>
      </c>
      <c r="F141" s="77" t="s">
        <v>148</v>
      </c>
      <c r="G141" s="77" t="s">
        <v>149</v>
      </c>
      <c r="H141" s="77" t="s">
        <v>151</v>
      </c>
      <c r="I141" s="173" t="s">
        <v>1303</v>
      </c>
      <c r="J141" s="81" t="s">
        <v>1504</v>
      </c>
      <c r="K141" s="45" t="s">
        <v>1505</v>
      </c>
      <c r="L141" s="149"/>
      <c r="M141" s="149"/>
      <c r="N141" s="157" t="s">
        <v>447</v>
      </c>
      <c r="O141" s="115" t="s">
        <v>198</v>
      </c>
      <c r="P141" s="151"/>
      <c r="Q141" s="44" t="s">
        <v>448</v>
      </c>
    </row>
    <row r="142" ht="39.75" customHeight="1">
      <c r="A142" s="94" t="s">
        <v>1328</v>
      </c>
      <c r="B142" s="96" t="s">
        <v>82</v>
      </c>
      <c r="C142" s="94" t="s">
        <v>348</v>
      </c>
      <c r="D142" s="97">
        <v>3.0</v>
      </c>
      <c r="E142" s="97" t="s">
        <v>1501</v>
      </c>
      <c r="F142" s="97" t="s">
        <v>148</v>
      </c>
      <c r="G142" s="97" t="s">
        <v>149</v>
      </c>
      <c r="H142" s="97" t="s">
        <v>151</v>
      </c>
      <c r="I142" s="173" t="s">
        <v>1303</v>
      </c>
      <c r="J142" s="100" t="s">
        <v>1504</v>
      </c>
      <c r="K142" s="101" t="s">
        <v>1505</v>
      </c>
      <c r="L142" s="149"/>
      <c r="M142" s="149"/>
      <c r="N142" s="157" t="s">
        <v>447</v>
      </c>
      <c r="O142" s="124" t="s">
        <v>198</v>
      </c>
      <c r="P142" s="159"/>
      <c r="Q142" s="107" t="s">
        <v>448</v>
      </c>
    </row>
    <row r="143" ht="39.75" customHeight="1">
      <c r="A143" s="73" t="s">
        <v>1329</v>
      </c>
      <c r="B143" s="75" t="s">
        <v>82</v>
      </c>
      <c r="C143" s="73" t="s">
        <v>348</v>
      </c>
      <c r="D143" s="77">
        <v>3.0</v>
      </c>
      <c r="E143" s="77" t="s">
        <v>1501</v>
      </c>
      <c r="F143" s="77" t="s">
        <v>148</v>
      </c>
      <c r="G143" s="77" t="s">
        <v>149</v>
      </c>
      <c r="H143" s="77" t="s">
        <v>151</v>
      </c>
      <c r="I143" s="173" t="s">
        <v>1303</v>
      </c>
      <c r="J143" s="81" t="s">
        <v>1504</v>
      </c>
      <c r="K143" s="45" t="s">
        <v>1505</v>
      </c>
      <c r="L143" s="140" t="s">
        <v>52</v>
      </c>
      <c r="M143" s="86" t="s">
        <v>164</v>
      </c>
      <c r="N143" s="43" t="s">
        <v>55</v>
      </c>
      <c r="O143" s="59" t="s">
        <v>166</v>
      </c>
      <c r="P143" s="45" t="s">
        <v>1189</v>
      </c>
      <c r="Q143" s="44" t="s">
        <v>1190</v>
      </c>
    </row>
    <row r="144" ht="39.75" customHeight="1">
      <c r="A144" s="94" t="s">
        <v>1337</v>
      </c>
      <c r="B144" s="96" t="s">
        <v>82</v>
      </c>
      <c r="C144" s="94" t="s">
        <v>348</v>
      </c>
      <c r="D144" s="97">
        <v>3.0</v>
      </c>
      <c r="E144" s="97" t="s">
        <v>1501</v>
      </c>
      <c r="F144" s="97" t="s">
        <v>148</v>
      </c>
      <c r="G144" s="97" t="s">
        <v>149</v>
      </c>
      <c r="H144" s="97" t="s">
        <v>151</v>
      </c>
      <c r="I144" s="173" t="s">
        <v>1303</v>
      </c>
      <c r="J144" s="100" t="s">
        <v>1504</v>
      </c>
      <c r="K144" s="101" t="s">
        <v>1505</v>
      </c>
      <c r="L144" s="149"/>
      <c r="M144" s="149"/>
      <c r="N144" s="157" t="s">
        <v>447</v>
      </c>
      <c r="O144" s="124" t="s">
        <v>198</v>
      </c>
      <c r="P144" s="159"/>
      <c r="Q144" s="107" t="s">
        <v>448</v>
      </c>
    </row>
    <row r="145" ht="39.75" customHeight="1">
      <c r="A145" s="73" t="s">
        <v>1380</v>
      </c>
      <c r="B145" s="75" t="s">
        <v>82</v>
      </c>
      <c r="C145" s="73" t="s">
        <v>348</v>
      </c>
      <c r="D145" s="77">
        <v>3.0</v>
      </c>
      <c r="E145" s="77" t="s">
        <v>1501</v>
      </c>
      <c r="F145" s="77" t="s">
        <v>148</v>
      </c>
      <c r="G145" s="77" t="s">
        <v>149</v>
      </c>
      <c r="H145" s="77" t="s">
        <v>151</v>
      </c>
      <c r="I145" s="173" t="s">
        <v>1303</v>
      </c>
      <c r="J145" s="81" t="s">
        <v>1504</v>
      </c>
      <c r="K145" s="45" t="s">
        <v>1505</v>
      </c>
      <c r="L145" s="149"/>
      <c r="M145" s="149"/>
      <c r="N145" s="157" t="s">
        <v>447</v>
      </c>
      <c r="O145" s="115" t="s">
        <v>198</v>
      </c>
      <c r="P145" s="151"/>
      <c r="Q145" s="44" t="s">
        <v>448</v>
      </c>
    </row>
    <row r="146" ht="39.75" customHeight="1">
      <c r="A146" s="94" t="s">
        <v>1385</v>
      </c>
      <c r="B146" s="96" t="s">
        <v>82</v>
      </c>
      <c r="C146" s="94" t="s">
        <v>348</v>
      </c>
      <c r="D146" s="97">
        <v>3.0</v>
      </c>
      <c r="E146" s="97" t="s">
        <v>1501</v>
      </c>
      <c r="F146" s="97" t="s">
        <v>148</v>
      </c>
      <c r="G146" s="97" t="s">
        <v>149</v>
      </c>
      <c r="H146" s="97" t="s">
        <v>151</v>
      </c>
      <c r="I146" s="173" t="s">
        <v>1303</v>
      </c>
      <c r="J146" s="100" t="s">
        <v>1504</v>
      </c>
      <c r="K146" s="101" t="s">
        <v>1505</v>
      </c>
      <c r="L146" s="149"/>
      <c r="M146" s="149"/>
      <c r="N146" s="157" t="s">
        <v>447</v>
      </c>
      <c r="O146" s="124" t="s">
        <v>198</v>
      </c>
      <c r="P146" s="159"/>
      <c r="Q146" s="107" t="s">
        <v>448</v>
      </c>
    </row>
    <row r="147" ht="39.75" customHeight="1">
      <c r="A147" s="73" t="s">
        <v>1403</v>
      </c>
      <c r="B147" s="75" t="s">
        <v>82</v>
      </c>
      <c r="C147" s="73" t="s">
        <v>348</v>
      </c>
      <c r="D147" s="77">
        <v>3.0</v>
      </c>
      <c r="E147" s="77" t="s">
        <v>1501</v>
      </c>
      <c r="F147" s="77" t="s">
        <v>148</v>
      </c>
      <c r="G147" s="77" t="s">
        <v>149</v>
      </c>
      <c r="H147" s="77" t="s">
        <v>151</v>
      </c>
      <c r="I147" s="173" t="s">
        <v>1303</v>
      </c>
      <c r="J147" s="81" t="s">
        <v>1504</v>
      </c>
      <c r="K147" s="45" t="s">
        <v>1505</v>
      </c>
      <c r="L147" s="88" t="s">
        <v>63</v>
      </c>
      <c r="M147" s="50" t="s">
        <v>64</v>
      </c>
      <c r="N147" s="43" t="s">
        <v>55</v>
      </c>
      <c r="O147" s="59" t="s">
        <v>166</v>
      </c>
      <c r="P147" s="45" t="s">
        <v>1189</v>
      </c>
      <c r="Q147" s="44" t="s">
        <v>1190</v>
      </c>
    </row>
    <row r="148" ht="39.75" customHeight="1">
      <c r="A148" s="94" t="s">
        <v>1407</v>
      </c>
      <c r="B148" s="96" t="s">
        <v>82</v>
      </c>
      <c r="C148" s="94" t="s">
        <v>348</v>
      </c>
      <c r="D148" s="97">
        <v>3.0</v>
      </c>
      <c r="E148" s="97" t="s">
        <v>1501</v>
      </c>
      <c r="F148" s="97" t="s">
        <v>148</v>
      </c>
      <c r="G148" s="97" t="s">
        <v>149</v>
      </c>
      <c r="H148" s="97" t="s">
        <v>151</v>
      </c>
      <c r="I148" s="173" t="s">
        <v>1303</v>
      </c>
      <c r="J148" s="100" t="s">
        <v>1504</v>
      </c>
      <c r="K148" s="101" t="s">
        <v>1505</v>
      </c>
      <c r="L148" s="149"/>
      <c r="M148" s="149"/>
      <c r="N148" s="157" t="s">
        <v>447</v>
      </c>
      <c r="O148" s="124" t="s">
        <v>198</v>
      </c>
      <c r="P148" s="159"/>
      <c r="Q148" s="107" t="s">
        <v>448</v>
      </c>
    </row>
    <row r="149" ht="39.75" customHeight="1">
      <c r="A149" s="73" t="s">
        <v>1415</v>
      </c>
      <c r="B149" s="75" t="s">
        <v>82</v>
      </c>
      <c r="C149" s="73" t="s">
        <v>348</v>
      </c>
      <c r="D149" s="77">
        <v>3.0</v>
      </c>
      <c r="E149" s="77" t="s">
        <v>1501</v>
      </c>
      <c r="F149" s="77" t="s">
        <v>148</v>
      </c>
      <c r="G149" s="77" t="s">
        <v>149</v>
      </c>
      <c r="H149" s="77" t="s">
        <v>151</v>
      </c>
      <c r="I149" s="173" t="s">
        <v>1303</v>
      </c>
      <c r="J149" s="81" t="s">
        <v>1504</v>
      </c>
      <c r="K149" s="45" t="s">
        <v>1505</v>
      </c>
      <c r="L149" s="149"/>
      <c r="M149" s="149"/>
      <c r="N149" s="157" t="s">
        <v>447</v>
      </c>
      <c r="O149" s="115" t="s">
        <v>198</v>
      </c>
      <c r="P149" s="151"/>
      <c r="Q149" s="44" t="s">
        <v>448</v>
      </c>
    </row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454FD13D-7AE5-459E-BC96-1F832B864F3D}" filter="1" showAutoFilter="1">
      <autoFilter ref="$A$6:$Q$149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27" ref="J7"/>
    <hyperlink r:id="rId5" ref="K7"/>
    <hyperlink r:id="rId6" location="'Club Colours'!A506" ref="L7"/>
    <hyperlink r:id="rId7" ref="P7"/>
    <hyperlink r:id="rId8" location="'Sources'!A27" ref="J8"/>
    <hyperlink r:id="rId9" ref="K8"/>
    <hyperlink r:id="rId10" location="'Club Colours'!A523" ref="L8"/>
    <hyperlink r:id="rId11" ref="P8"/>
    <hyperlink r:id="rId12" location="'Sources'!A27" ref="J9"/>
    <hyperlink r:id="rId13" ref="K9"/>
    <hyperlink r:id="rId14" location="'Club Colours'!A530" ref="L9"/>
    <hyperlink r:id="rId15" ref="P9"/>
    <hyperlink r:id="rId16" location="'Sources'!A27" ref="J10"/>
    <hyperlink r:id="rId17" ref="K10"/>
    <hyperlink r:id="rId18" location="'Club Colours'!A535" ref="L10"/>
    <hyperlink r:id="rId19" ref="P10"/>
    <hyperlink r:id="rId20" location="'Sources'!A27" ref="J11"/>
    <hyperlink r:id="rId21" ref="K11"/>
    <hyperlink r:id="rId22" location="'Club Colours'!A564" ref="L11"/>
    <hyperlink r:id="rId23" ref="P11"/>
    <hyperlink r:id="rId24" location="'Sources'!A27" ref="J12"/>
    <hyperlink r:id="rId25" ref="K12"/>
    <hyperlink r:id="rId26" location="'Club Colours'!A568" ref="L12"/>
    <hyperlink r:id="rId27" ref="P12"/>
    <hyperlink r:id="rId28" location="'Sources'!A27" ref="J13"/>
    <hyperlink r:id="rId29" ref="K13"/>
    <hyperlink r:id="rId30" location="'Club Colours'!A573" ref="L13"/>
    <hyperlink r:id="rId31" ref="P13"/>
    <hyperlink r:id="rId32" location="'Sources'!A27" ref="J14"/>
    <hyperlink r:id="rId33" ref="K14"/>
    <hyperlink r:id="rId34" location="'Club Colours'!A578" ref="N14"/>
    <hyperlink r:id="rId35" location="'Sources'!A27" ref="J15"/>
    <hyperlink r:id="rId36" ref="K15"/>
    <hyperlink r:id="rId37" location="'Club Colours'!A594" ref="L15"/>
    <hyperlink r:id="rId38" ref="P15"/>
    <hyperlink r:id="rId39" location="'Sources'!A27" ref="J16"/>
    <hyperlink r:id="rId40" ref="K16"/>
    <hyperlink r:id="rId41" location="'Club Colours'!A595" ref="L16"/>
    <hyperlink r:id="rId42" ref="P16"/>
    <hyperlink r:id="rId43" location="'Sources'!A27" ref="J17"/>
    <hyperlink r:id="rId44" ref="K17"/>
    <hyperlink r:id="rId45" location="'Club Colours'!A604" ref="L17"/>
    <hyperlink r:id="rId46" ref="P17"/>
    <hyperlink r:id="rId47" location="'Sources'!A27" ref="J18"/>
    <hyperlink r:id="rId48" ref="K18"/>
    <hyperlink r:id="rId49" location="'Club Colours'!A606" ref="L18"/>
    <hyperlink r:id="rId50" ref="P18"/>
    <hyperlink r:id="rId51" location="'Sources'!A27" ref="J19"/>
    <hyperlink r:id="rId52" ref="K19"/>
    <hyperlink r:id="rId53" location="'Club Colours'!A616" ref="L19"/>
    <hyperlink r:id="rId54" ref="P19"/>
    <hyperlink r:id="rId55" location="'Sources'!A27" ref="J20"/>
    <hyperlink r:id="rId56" ref="K20"/>
    <hyperlink r:id="rId57" location="'Club Colours'!A641" ref="N20"/>
    <hyperlink r:id="rId58" location="'Sources'!A28" ref="J21"/>
    <hyperlink r:id="rId59" ref="K21"/>
    <hyperlink r:id="rId60" location="'Club Colours'!A507" ref="L21"/>
    <hyperlink r:id="rId61" ref="P21"/>
    <hyperlink r:id="rId62" location="'Sources'!A28" ref="J22"/>
    <hyperlink r:id="rId63" ref="K22"/>
    <hyperlink r:id="rId64" location="'Club Colours'!A513" ref="L22"/>
    <hyperlink r:id="rId65" ref="P22"/>
    <hyperlink r:id="rId66" location="'Sources'!A28" ref="J23"/>
    <hyperlink r:id="rId67" ref="K23"/>
    <hyperlink r:id="rId68" location="'Club Colours'!A518" ref="L23"/>
    <hyperlink r:id="rId69" ref="P23"/>
    <hyperlink r:id="rId70" location="'Sources'!A28" ref="J24"/>
    <hyperlink r:id="rId71" ref="K24"/>
    <hyperlink r:id="rId72" location="'Club Colours'!A531" ref="L24"/>
    <hyperlink r:id="rId73" ref="P24"/>
    <hyperlink r:id="rId74" location="'Sources'!A28" ref="J25"/>
    <hyperlink r:id="rId75" ref="K25"/>
    <hyperlink r:id="rId76" location="'Club Colours'!A534" ref="L25"/>
    <hyperlink r:id="rId77" ref="P25"/>
    <hyperlink r:id="rId78" location="'Sources'!A28" ref="J26"/>
    <hyperlink r:id="rId79" ref="K26"/>
    <hyperlink r:id="rId80" location="'Club Colours'!A559" ref="L26"/>
    <hyperlink r:id="rId81" ref="P26"/>
    <hyperlink r:id="rId82" location="'Sources'!A28" ref="J27"/>
    <hyperlink r:id="rId83" ref="K27"/>
    <hyperlink r:id="rId84" location="'Club Colours'!A582" ref="L27"/>
    <hyperlink r:id="rId85" ref="P27"/>
    <hyperlink r:id="rId86" location="'Sources'!A28" ref="J28"/>
    <hyperlink r:id="rId87" ref="K28"/>
    <hyperlink r:id="rId88" location="'Club Colours'!A591" ref="L28"/>
    <hyperlink r:id="rId89" ref="P28"/>
    <hyperlink r:id="rId90" location="'Sources'!A28" ref="J29"/>
    <hyperlink r:id="rId91" ref="K29"/>
    <hyperlink r:id="rId92" location="'Club Colours'!A592" ref="L29"/>
    <hyperlink r:id="rId93" ref="P29"/>
    <hyperlink r:id="rId94" location="'Sources'!A28" ref="J30"/>
    <hyperlink r:id="rId95" ref="K30"/>
    <hyperlink r:id="rId96" location="'Club Colours'!A596" ref="L30"/>
    <hyperlink r:id="rId97" ref="P30"/>
    <hyperlink r:id="rId98" location="'Sources'!A28" ref="J31"/>
    <hyperlink r:id="rId99" ref="K31"/>
    <hyperlink r:id="rId100" location="'Club Colours'!A607" ref="L31"/>
    <hyperlink r:id="rId101" ref="P31"/>
    <hyperlink r:id="rId102" location="'Sources'!A28" ref="J32"/>
    <hyperlink r:id="rId103" ref="K32"/>
    <hyperlink r:id="rId104" location="'Club Colours'!A609" ref="L32"/>
    <hyperlink r:id="rId105" ref="P32"/>
    <hyperlink r:id="rId106" location="'Sources'!A28" ref="J33"/>
    <hyperlink r:id="rId107" ref="K33"/>
    <hyperlink r:id="rId108" location="'Club Colours'!A611" ref="L33"/>
    <hyperlink r:id="rId109" ref="P33"/>
    <hyperlink r:id="rId110" location="'Sources'!A28" ref="J34"/>
    <hyperlink r:id="rId111" ref="K34"/>
    <hyperlink r:id="rId112" location="'Club Colours'!A617" ref="L34"/>
    <hyperlink r:id="rId113" ref="P34"/>
    <hyperlink r:id="rId114" location="'Sources'!A28" ref="J35"/>
    <hyperlink r:id="rId115" ref="K35"/>
    <hyperlink r:id="rId116" location="'Club Colours'!A622" ref="N35"/>
    <hyperlink r:id="rId117" location="'Sources'!A28" ref="J36"/>
    <hyperlink r:id="rId118" ref="K36"/>
    <hyperlink r:id="rId119" location="'Club Colours'!A643" ref="L36"/>
    <hyperlink r:id="rId120" ref="P36"/>
    <hyperlink r:id="rId121" location="'Sources'!A29" ref="J37"/>
    <hyperlink r:id="rId122" ref="K37"/>
    <hyperlink r:id="rId123" location="'Club Colours'!A505" ref="N37"/>
    <hyperlink r:id="rId124" location="'Sources'!A29" ref="J38"/>
    <hyperlink r:id="rId125" ref="K38"/>
    <hyperlink r:id="rId126" location="'Club Colours'!A520" ref="N38"/>
    <hyperlink r:id="rId127" location="'Sources'!A29" ref="J39"/>
    <hyperlink r:id="rId128" ref="K39"/>
    <hyperlink r:id="rId129" location="'Club Colours'!A522" ref="N39"/>
    <hyperlink r:id="rId130" location="'Sources'!A29" ref="J40"/>
    <hyperlink r:id="rId131" ref="K40"/>
    <hyperlink r:id="rId132" location="'Club Colours'!A542" ref="L40"/>
    <hyperlink r:id="rId133" ref="P40"/>
    <hyperlink r:id="rId134" location="'Sources'!A29" ref="J41"/>
    <hyperlink r:id="rId135" ref="K41"/>
    <hyperlink r:id="rId136" location="'Club Colours'!A544" ref="N41"/>
    <hyperlink r:id="rId137" location="'Sources'!A29" ref="J42"/>
    <hyperlink r:id="rId138" ref="K42"/>
    <hyperlink r:id="rId139" location="'Club Colours'!A572" ref="L42"/>
    <hyperlink r:id="rId140" ref="P42"/>
    <hyperlink r:id="rId141" location="'Sources'!A29" ref="J43"/>
    <hyperlink r:id="rId142" ref="K43"/>
    <hyperlink r:id="rId143" location="'Club Colours'!A583" ref="N43"/>
    <hyperlink r:id="rId144" location="'Sources'!A29" ref="J44"/>
    <hyperlink r:id="rId145" ref="K44"/>
    <hyperlink r:id="rId146" location="'Club Colours'!A598" ref="L44"/>
    <hyperlink r:id="rId147" ref="P44"/>
    <hyperlink r:id="rId148" location="'Sources'!A29" ref="J45"/>
    <hyperlink r:id="rId149" ref="K45"/>
    <hyperlink r:id="rId150" location="'Club Colours'!A614" ref="L45"/>
    <hyperlink r:id="rId151" ref="P45"/>
    <hyperlink r:id="rId152" location="'Sources'!A29" ref="J46"/>
    <hyperlink r:id="rId153" ref="K46"/>
    <hyperlink r:id="rId154" location="'Club Colours'!A642" ref="L46"/>
    <hyperlink r:id="rId155" ref="P46"/>
    <hyperlink r:id="rId156" location="'Sources'!A29" ref="J47"/>
    <hyperlink r:id="rId157" ref="K47"/>
    <hyperlink r:id="rId158" location="'Club Colours'!A504" ref="L47"/>
    <hyperlink r:id="rId159" ref="P47"/>
    <hyperlink r:id="rId160" location="'Sources'!A29" ref="J48"/>
    <hyperlink r:id="rId161" ref="K48"/>
    <hyperlink r:id="rId162" location="'Club Colours'!A510" ref="N48"/>
    <hyperlink r:id="rId163" location="'Sources'!A29" ref="J49"/>
    <hyperlink r:id="rId164" ref="K49"/>
    <hyperlink r:id="rId165" location="'Club Colours'!A526" ref="N49"/>
    <hyperlink r:id="rId166" location="'Sources'!A29" ref="J50"/>
    <hyperlink r:id="rId167" ref="K50"/>
    <hyperlink r:id="rId168" location="'Club Colours'!A556" ref="L50"/>
    <hyperlink r:id="rId169" ref="P50"/>
    <hyperlink r:id="rId170" location="'Sources'!A29" ref="J51"/>
    <hyperlink r:id="rId171" ref="K51"/>
    <hyperlink r:id="rId172" location="'Club Colours'!A566" ref="N51"/>
    <hyperlink r:id="rId173" location="'Sources'!A29" ref="J52"/>
    <hyperlink r:id="rId174" ref="K52"/>
    <hyperlink r:id="rId175" location="'Club Colours'!A575" ref="L52"/>
    <hyperlink r:id="rId176" ref="P52"/>
    <hyperlink r:id="rId177" location="'Sources'!A29" ref="J53"/>
    <hyperlink r:id="rId178" ref="K53"/>
    <hyperlink r:id="rId179" location="'Club Colours'!A580" ref="L53"/>
    <hyperlink r:id="rId180" ref="P53"/>
    <hyperlink r:id="rId181" location="'Sources'!A29" ref="J54"/>
    <hyperlink r:id="rId182" ref="K54"/>
    <hyperlink r:id="rId183" location="'Club Colours'!A586" ref="N54"/>
    <hyperlink r:id="rId184" location="'Sources'!A29" ref="J55"/>
    <hyperlink r:id="rId185" ref="K55"/>
    <hyperlink r:id="rId186" location="'Club Colours'!A613" ref="N55"/>
    <hyperlink r:id="rId187" location="'Sources'!A29" ref="J56"/>
    <hyperlink r:id="rId188" ref="K56"/>
    <hyperlink r:id="rId189" location="'Club Colours'!A620" ref="N56"/>
    <hyperlink r:id="rId190" location="'Sources'!A29" ref="J57"/>
    <hyperlink r:id="rId191" ref="K57"/>
    <hyperlink r:id="rId192" location="'Club Colours'!A626" ref="L57"/>
    <hyperlink r:id="rId193" ref="P57"/>
    <hyperlink r:id="rId194" location="'Sources'!A29" ref="J58"/>
    <hyperlink r:id="rId195" ref="K58"/>
    <hyperlink r:id="rId196" location="'Club Colours'!A512" ref="L58"/>
    <hyperlink r:id="rId197" ref="P58"/>
    <hyperlink r:id="rId198" location="'Sources'!A29" ref="J59"/>
    <hyperlink r:id="rId199" ref="K59"/>
    <hyperlink r:id="rId200" location="'Club Colours'!A525" ref="N59"/>
    <hyperlink r:id="rId201" location="'Sources'!A29" ref="J60"/>
    <hyperlink r:id="rId202" ref="K60"/>
    <hyperlink r:id="rId203" location="'Club Colours'!A543" ref="N60"/>
    <hyperlink r:id="rId204" location="'Sources'!A29" ref="J61"/>
    <hyperlink r:id="rId205" ref="K61"/>
    <hyperlink r:id="rId206" location="'Club Colours'!A548" ref="N61"/>
    <hyperlink r:id="rId207" location="'Sources'!A29" ref="J62"/>
    <hyperlink r:id="rId208" ref="K62"/>
    <hyperlink r:id="rId209" location="'Club Colours'!A570" ref="N62"/>
    <hyperlink r:id="rId210" location="'Sources'!A29" ref="J63"/>
    <hyperlink r:id="rId211" ref="K63"/>
    <hyperlink r:id="rId212" location="'Club Colours'!A581" ref="N63"/>
    <hyperlink r:id="rId213" location="'Sources'!A29" ref="J64"/>
    <hyperlink r:id="rId214" ref="K64"/>
    <hyperlink r:id="rId215" location="'Club Colours'!A584" ref="L64"/>
    <hyperlink r:id="rId216" ref="P64"/>
    <hyperlink r:id="rId217" location="'Sources'!A29" ref="J65"/>
    <hyperlink r:id="rId218" ref="K65"/>
    <hyperlink r:id="rId219" location="'Club Colours'!A588" ref="L65"/>
    <hyperlink r:id="rId220" ref="P65"/>
    <hyperlink r:id="rId221" location="'Sources'!A29" ref="J66"/>
    <hyperlink r:id="rId222" ref="K66"/>
    <hyperlink r:id="rId223" location="'Club Colours'!A618" ref="L66"/>
    <hyperlink r:id="rId224" ref="P66"/>
    <hyperlink r:id="rId225" location="'Sources'!A29" ref="J67"/>
    <hyperlink r:id="rId226" ref="K67"/>
    <hyperlink r:id="rId227" location="'Club Colours'!A635" ref="N67"/>
    <hyperlink r:id="rId228" location="'Sources'!A29" ref="J68"/>
    <hyperlink r:id="rId229" ref="K68"/>
    <hyperlink r:id="rId230" location="'Club Colours'!A640" ref="L68"/>
    <hyperlink r:id="rId231" ref="P68"/>
    <hyperlink r:id="rId232" location="'Sources'!A29" ref="J69"/>
    <hyperlink r:id="rId233" ref="K69"/>
    <hyperlink r:id="rId234" location="'Club Colours'!A502" ref="N69"/>
    <hyperlink r:id="rId235" location="'Sources'!A29" ref="J70"/>
    <hyperlink r:id="rId236" ref="K70"/>
    <hyperlink r:id="rId237" location="'Club Colours'!A515" ref="N70"/>
    <hyperlink r:id="rId238" location="'Sources'!A29" ref="J71"/>
    <hyperlink r:id="rId239" ref="K71"/>
    <hyperlink r:id="rId240" location="'Club Colours'!A541" ref="N71"/>
    <hyperlink r:id="rId241" location="'Sources'!A29" ref="J72"/>
    <hyperlink r:id="rId242" ref="K72"/>
    <hyperlink r:id="rId243" location="'Club Colours'!A547" ref="N72"/>
    <hyperlink r:id="rId244" location="'Sources'!A29" ref="J73"/>
    <hyperlink r:id="rId245" ref="K73"/>
    <hyperlink r:id="rId246" location="'Club Colours'!A551" ref="N73"/>
    <hyperlink r:id="rId247" location="'Sources'!A29" ref="J74"/>
    <hyperlink r:id="rId248" ref="K74"/>
    <hyperlink r:id="rId249" location="'Club Colours'!A554" ref="N74"/>
    <hyperlink r:id="rId250" location="'Sources'!A29" ref="J75"/>
    <hyperlink r:id="rId251" ref="K75"/>
    <hyperlink r:id="rId252" location="'Club Colours'!A565" ref="N75"/>
    <hyperlink r:id="rId253" location="'Sources'!A29" ref="J76"/>
    <hyperlink r:id="rId254" ref="K76"/>
    <hyperlink r:id="rId255" location="'Club Colours'!A624" ref="L76"/>
    <hyperlink r:id="rId256" ref="P76"/>
    <hyperlink r:id="rId257" location="'Sources'!A29" ref="J77"/>
    <hyperlink r:id="rId258" ref="K77"/>
    <hyperlink r:id="rId259" location="'Club Colours'!A629" ref="L77"/>
    <hyperlink r:id="rId260" ref="P77"/>
    <hyperlink r:id="rId261" location="'Sources'!A29" ref="J78"/>
    <hyperlink r:id="rId262" ref="K78"/>
    <hyperlink r:id="rId263" location="'Club Colours'!A630" ref="N78"/>
    <hyperlink r:id="rId264" location="'Sources'!A29" ref="J79"/>
    <hyperlink r:id="rId265" ref="K79"/>
    <hyperlink r:id="rId266" location="'Club Colours'!A638" ref="L79"/>
    <hyperlink r:id="rId267" ref="P79"/>
    <hyperlink r:id="rId268" location="'Sources'!A29" ref="J80"/>
    <hyperlink r:id="rId269" ref="K80"/>
    <hyperlink r:id="rId270" location="'Club Colours'!A514" ref="N80"/>
    <hyperlink r:id="rId271" location="'Sources'!A29" ref="J81"/>
    <hyperlink r:id="rId272" ref="K81"/>
    <hyperlink r:id="rId273" location="'Club Colours'!A529" ref="N81"/>
    <hyperlink r:id="rId274" location="'Sources'!A29" ref="J82"/>
    <hyperlink r:id="rId275" ref="K82"/>
    <hyperlink r:id="rId276" location="'Club Colours'!A540" ref="N82"/>
    <hyperlink r:id="rId277" location="'Sources'!A29" ref="J83"/>
    <hyperlink r:id="rId278" ref="K83"/>
    <hyperlink r:id="rId279" location="'Club Colours'!A557" ref="L83"/>
    <hyperlink r:id="rId280" ref="P83"/>
    <hyperlink r:id="rId281" location="'Sources'!A29" ref="J84"/>
    <hyperlink r:id="rId282" ref="K84"/>
    <hyperlink r:id="rId283" location="'Club Colours'!A569" ref="N84"/>
    <hyperlink r:id="rId284" location="'Sources'!A29" ref="J85"/>
    <hyperlink r:id="rId285" ref="K85"/>
    <hyperlink r:id="rId286" location="'Club Colours'!A571" ref="N85"/>
    <hyperlink r:id="rId287" location="'Sources'!A29" ref="J86"/>
    <hyperlink r:id="rId288" ref="K86"/>
    <hyperlink r:id="rId289" location="'Club Colours'!A574" ref="N86"/>
    <hyperlink r:id="rId290" location="'Sources'!A29" ref="J87"/>
    <hyperlink r:id="rId291" ref="K87"/>
    <hyperlink r:id="rId292" location="'Club Colours'!A576" ref="L87"/>
    <hyperlink r:id="rId293" ref="P87"/>
    <hyperlink r:id="rId294" location="'Sources'!A29" ref="J88"/>
    <hyperlink r:id="rId295" ref="K88"/>
    <hyperlink r:id="rId296" location="'Club Colours'!A589" ref="L88"/>
    <hyperlink r:id="rId297" ref="P88"/>
    <hyperlink r:id="rId298" location="'Sources'!A29" ref="J89"/>
    <hyperlink r:id="rId299" ref="K89"/>
    <hyperlink r:id="rId300" location="'Club Colours'!A632" ref="N89"/>
    <hyperlink r:id="rId301" location="'Sources'!A29" ref="J90"/>
    <hyperlink r:id="rId302" ref="K90"/>
    <hyperlink r:id="rId303" location="'Club Colours'!A634" ref="L90"/>
    <hyperlink r:id="rId304" ref="P90"/>
    <hyperlink r:id="rId305" location="'Sources'!A29" ref="J91"/>
    <hyperlink r:id="rId306" ref="K91"/>
    <hyperlink r:id="rId307" location="'Club Colours'!A516" ref="N91"/>
    <hyperlink r:id="rId308" location="'Sources'!A29" ref="J92"/>
    <hyperlink r:id="rId309" ref="K92"/>
    <hyperlink r:id="rId310" location="'Club Colours'!A517" ref="N92"/>
    <hyperlink r:id="rId311" location="'Sources'!A29" ref="J93"/>
    <hyperlink r:id="rId312" ref="K93"/>
    <hyperlink r:id="rId313" location="'Club Colours'!A524" ref="N93"/>
    <hyperlink r:id="rId314" location="'Sources'!A29" ref="J94"/>
    <hyperlink r:id="rId315" ref="K94"/>
    <hyperlink r:id="rId316" location="'Club Colours'!A536" ref="L94"/>
    <hyperlink r:id="rId317" ref="P94"/>
    <hyperlink r:id="rId318" location="'Sources'!A29" ref="J95"/>
    <hyperlink r:id="rId319" ref="K95"/>
    <hyperlink r:id="rId320" location="'Club Colours'!A577" ref="N95"/>
    <hyperlink r:id="rId321" location="'Sources'!A29" ref="J96"/>
    <hyperlink r:id="rId322" ref="K96"/>
    <hyperlink r:id="rId323" location="'Club Colours'!A593" ref="N96"/>
    <hyperlink r:id="rId324" location="'Sources'!A29" ref="J97"/>
    <hyperlink r:id="rId325" ref="K97"/>
    <hyperlink r:id="rId326" location="'Club Colours'!A599" ref="N97"/>
    <hyperlink r:id="rId327" location="'Sources'!A29" ref="J98"/>
    <hyperlink r:id="rId328" ref="K98"/>
    <hyperlink r:id="rId329" location="'Club Colours'!A600" ref="L98"/>
    <hyperlink r:id="rId330" ref="P98"/>
    <hyperlink r:id="rId331" location="'Sources'!A29" ref="J99"/>
    <hyperlink r:id="rId332" ref="K99"/>
    <hyperlink r:id="rId333" location="'Club Colours'!A601" ref="N99"/>
    <hyperlink r:id="rId334" location="'Sources'!A29" ref="J100"/>
    <hyperlink r:id="rId335" ref="K100"/>
    <hyperlink r:id="rId336" location="'Club Colours'!A605" ref="L100"/>
    <hyperlink r:id="rId337" ref="P100"/>
    <hyperlink r:id="rId338" location="'Sources'!A29" ref="J101"/>
    <hyperlink r:id="rId339" ref="K101"/>
    <hyperlink r:id="rId340" location="'Club Colours'!A621" ref="L101"/>
    <hyperlink r:id="rId341" ref="P101"/>
    <hyperlink r:id="rId342" location="'Sources'!A29" ref="J102"/>
    <hyperlink r:id="rId343" ref="K102"/>
    <hyperlink r:id="rId344" location="'Club Colours'!A637" ref="L102"/>
    <hyperlink r:id="rId345" ref="P102"/>
    <hyperlink r:id="rId346" location="'Sources'!A31" ref="J103"/>
    <hyperlink r:id="rId347" ref="K103"/>
    <hyperlink r:id="rId348" location="'Club Colours'!A527" ref="L103"/>
    <hyperlink r:id="rId349" ref="P103"/>
    <hyperlink r:id="rId350" location="'Sources'!A31" ref="J104"/>
    <hyperlink r:id="rId351" ref="K104"/>
    <hyperlink r:id="rId352" location="'Club Colours'!A533" ref="L104"/>
    <hyperlink r:id="rId353" ref="P104"/>
    <hyperlink r:id="rId354" location="'Sources'!A31" ref="J105"/>
    <hyperlink r:id="rId355" ref="K105"/>
    <hyperlink r:id="rId356" location="'Club Colours'!A552" ref="N105"/>
    <hyperlink r:id="rId357" location="'Sources'!A31" ref="J106"/>
    <hyperlink r:id="rId358" ref="K106"/>
    <hyperlink r:id="rId359" location="'Club Colours'!A567" ref="N106"/>
    <hyperlink r:id="rId360" location="'Sources'!A31" ref="J107"/>
    <hyperlink r:id="rId361" ref="K107"/>
    <hyperlink r:id="rId362" location="'Club Colours'!A579" ref="N107"/>
    <hyperlink r:id="rId363" location="'Sources'!A31" ref="J108"/>
    <hyperlink r:id="rId364" ref="K108"/>
    <hyperlink r:id="rId365" location="'Club Colours'!A585" ref="L108"/>
    <hyperlink r:id="rId366" ref="P108"/>
    <hyperlink r:id="rId367" location="'Sources'!A31" ref="J109"/>
    <hyperlink r:id="rId368" ref="K109"/>
    <hyperlink r:id="rId369" location="'Club Colours'!A603" ref="N109"/>
    <hyperlink r:id="rId370" location="'Sources'!A31" ref="J110"/>
    <hyperlink r:id="rId371" ref="K110"/>
    <hyperlink r:id="rId372" location="'Club Colours'!A610" ref="N110"/>
    <hyperlink r:id="rId373" location="'Sources'!A31" ref="J111"/>
    <hyperlink r:id="rId374" ref="K111"/>
    <hyperlink r:id="rId375" location="'Club Colours'!A612" ref="N111"/>
    <hyperlink r:id="rId376" location="'Sources'!A31" ref="J112"/>
    <hyperlink r:id="rId377" ref="K112"/>
    <hyperlink r:id="rId378" location="'Club Colours'!A619" ref="N112"/>
    <hyperlink r:id="rId379" location="'Sources'!A31" ref="J113"/>
    <hyperlink r:id="rId380" ref="K113"/>
    <hyperlink r:id="rId381" location="'Club Colours'!A623" ref="L113"/>
    <hyperlink r:id="rId382" ref="P113"/>
    <hyperlink r:id="rId383" location="'Sources'!A31" ref="J114"/>
    <hyperlink r:id="rId384" ref="K114"/>
    <hyperlink r:id="rId385" location="'Club Colours'!A633" ref="N114"/>
    <hyperlink r:id="rId386" location="'Sources'!A30" ref="J115"/>
    <hyperlink r:id="rId387" ref="K115"/>
    <hyperlink r:id="rId388" location="'Club Colours'!A508" ref="N115"/>
    <hyperlink r:id="rId389" location="'Sources'!A30" ref="J116"/>
    <hyperlink r:id="rId390" ref="K116"/>
    <hyperlink r:id="rId391" location="'Club Colours'!A511" ref="N116"/>
    <hyperlink r:id="rId392" location="'Sources'!A30" ref="J117"/>
    <hyperlink r:id="rId393" ref="K117"/>
    <hyperlink r:id="rId394" location="'Club Colours'!A519" ref="L117"/>
    <hyperlink r:id="rId395" ref="P117"/>
    <hyperlink r:id="rId396" location="'Sources'!A30" ref="J118"/>
    <hyperlink r:id="rId397" ref="K118"/>
    <hyperlink r:id="rId398" location="'Club Colours'!A521" ref="L118"/>
    <hyperlink r:id="rId399" ref="P118"/>
    <hyperlink r:id="rId400" location="'Sources'!A30" ref="J119"/>
    <hyperlink r:id="rId401" ref="K119"/>
    <hyperlink r:id="rId402" location="'Club Colours'!A539" ref="L119"/>
    <hyperlink r:id="rId403" ref="P119"/>
    <hyperlink r:id="rId404" location="'Sources'!A30" ref="J120"/>
    <hyperlink r:id="rId405" ref="K120"/>
    <hyperlink r:id="rId406" location="'Club Colours'!A545" ref="N120"/>
    <hyperlink r:id="rId407" location="'Sources'!A30" ref="J121"/>
    <hyperlink r:id="rId408" ref="K121"/>
    <hyperlink r:id="rId409" location="'Club Colours'!A546" ref="L121"/>
    <hyperlink r:id="rId410" ref="P121"/>
    <hyperlink r:id="rId411" location="'Sources'!A30" ref="J122"/>
    <hyperlink r:id="rId412" ref="K122"/>
    <hyperlink r:id="rId413" location="'Club Colours'!A555" ref="L122"/>
    <hyperlink r:id="rId414" ref="P122"/>
    <hyperlink r:id="rId415" location="'Sources'!A30" ref="J123"/>
    <hyperlink r:id="rId416" ref="K123"/>
    <hyperlink r:id="rId417" location="'Club Colours'!A560" ref="L123"/>
    <hyperlink r:id="rId418" ref="P123"/>
    <hyperlink r:id="rId419" location="'Sources'!A30" ref="J124"/>
    <hyperlink r:id="rId420" ref="K124"/>
    <hyperlink r:id="rId421" location="'Club Colours'!A563" ref="L124"/>
    <hyperlink r:id="rId422" ref="P124"/>
    <hyperlink r:id="rId423" location="'Sources'!A30" ref="J125"/>
    <hyperlink r:id="rId424" ref="K125"/>
    <hyperlink r:id="rId425" location="'Club Colours'!A615" ref="L125"/>
    <hyperlink r:id="rId426" ref="P125"/>
    <hyperlink r:id="rId427" location="'Sources'!A30" ref="J126"/>
    <hyperlink r:id="rId428" ref="K126"/>
    <hyperlink r:id="rId429" location="'Club Colours'!A627" ref="L126"/>
    <hyperlink r:id="rId430" ref="P126"/>
    <hyperlink r:id="rId431" location="'Sources'!A29" ref="J127"/>
    <hyperlink r:id="rId432" ref="K127"/>
    <hyperlink r:id="rId433" location="'Club Colours'!A501" ref="N127"/>
    <hyperlink r:id="rId434" location="'Sources'!A29" ref="J128"/>
    <hyperlink r:id="rId435" ref="K128"/>
    <hyperlink r:id="rId436" location="'Club Colours'!A528" ref="N128"/>
    <hyperlink r:id="rId437" location="'Sources'!A29" ref="J129"/>
    <hyperlink r:id="rId438" ref="K129"/>
    <hyperlink r:id="rId439" location="'Club Colours'!A532" ref="L129"/>
    <hyperlink r:id="rId440" ref="P129"/>
    <hyperlink r:id="rId441" location="'Sources'!A29" ref="J130"/>
    <hyperlink r:id="rId442" ref="K130"/>
    <hyperlink r:id="rId443" location="'Club Colours'!A553" ref="L130"/>
    <hyperlink r:id="rId444" ref="P130"/>
    <hyperlink r:id="rId445" location="'Sources'!A29" ref="J131"/>
    <hyperlink r:id="rId446" ref="K131"/>
    <hyperlink r:id="rId447" location="'Club Colours'!A561" ref="N131"/>
    <hyperlink r:id="rId448" location="'Sources'!A29" ref="J132"/>
    <hyperlink r:id="rId449" ref="K132"/>
    <hyperlink r:id="rId450" location="'Club Colours'!A562" ref="L132"/>
    <hyperlink r:id="rId451" ref="P132"/>
    <hyperlink r:id="rId452" location="'Sources'!A29" ref="J133"/>
    <hyperlink r:id="rId453" ref="K133"/>
    <hyperlink r:id="rId454" location="'Club Colours'!A587" ref="N133"/>
    <hyperlink r:id="rId455" location="'Sources'!A29" ref="J134"/>
    <hyperlink r:id="rId456" ref="K134"/>
    <hyperlink r:id="rId457" location="'Club Colours'!A590" ref="N134"/>
    <hyperlink r:id="rId458" location="'Sources'!A29" ref="J135"/>
    <hyperlink r:id="rId459" ref="K135"/>
    <hyperlink r:id="rId460" location="'Club Colours'!A608" ref="L135"/>
    <hyperlink r:id="rId461" ref="P135"/>
    <hyperlink r:id="rId462" location="'Sources'!A29" ref="J136"/>
    <hyperlink r:id="rId463" ref="K136"/>
    <hyperlink r:id="rId464" location="'Club Colours'!A631" ref="N136"/>
    <hyperlink r:id="rId465" location="'Sources'!A29" ref="J137"/>
    <hyperlink r:id="rId466" ref="K137"/>
    <hyperlink r:id="rId467" location="'Club Colours'!A636" ref="N137"/>
    <hyperlink r:id="rId468" location="'Sources'!A32" ref="J138"/>
    <hyperlink r:id="rId469" ref="K138"/>
    <hyperlink r:id="rId470" location="'Club Colours'!A503" ref="N138"/>
    <hyperlink r:id="rId471" location="'Sources'!A32" ref="J139"/>
    <hyperlink r:id="rId472" ref="K139"/>
    <hyperlink r:id="rId473" location="'Club Colours'!A509" ref="L139"/>
    <hyperlink r:id="rId474" ref="P139"/>
    <hyperlink r:id="rId475" location="'Sources'!A32" ref="J140"/>
    <hyperlink r:id="rId476" ref="K140"/>
    <hyperlink r:id="rId477" location="'Club Colours'!A537" ref="N140"/>
    <hyperlink r:id="rId478" location="'Sources'!A32" ref="J141"/>
    <hyperlink r:id="rId479" ref="K141"/>
    <hyperlink r:id="rId480" location="'Club Colours'!A538" ref="N141"/>
    <hyperlink r:id="rId481" location="'Sources'!A32" ref="J142"/>
    <hyperlink r:id="rId482" ref="K142"/>
    <hyperlink r:id="rId483" location="'Club Colours'!A549" ref="N142"/>
    <hyperlink r:id="rId484" location="'Sources'!A32" ref="J143"/>
    <hyperlink r:id="rId485" ref="K143"/>
    <hyperlink r:id="rId486" location="'Club Colours'!A550" ref="L143"/>
    <hyperlink r:id="rId487" ref="P143"/>
    <hyperlink r:id="rId488" location="'Sources'!A32" ref="J144"/>
    <hyperlink r:id="rId489" ref="K144"/>
    <hyperlink r:id="rId490" location="'Club Colours'!A558" ref="N144"/>
    <hyperlink r:id="rId491" location="'Sources'!A32" ref="J145"/>
    <hyperlink r:id="rId492" ref="K145"/>
    <hyperlink r:id="rId493" location="'Club Colours'!A597" ref="N145"/>
    <hyperlink r:id="rId494" location="'Sources'!A32" ref="J146"/>
    <hyperlink r:id="rId495" ref="K146"/>
    <hyperlink r:id="rId496" location="'Club Colours'!A602" ref="N146"/>
    <hyperlink r:id="rId497" location="'Sources'!A32" ref="J147"/>
    <hyperlink r:id="rId498" ref="K147"/>
    <hyperlink r:id="rId499" location="'Club Colours'!A625" ref="L147"/>
    <hyperlink r:id="rId500" ref="P147"/>
    <hyperlink r:id="rId501" location="'Sources'!A32" ref="J148"/>
    <hyperlink r:id="rId502" ref="K148"/>
    <hyperlink r:id="rId503" location="'Club Colours'!A628" ref="N148"/>
    <hyperlink r:id="rId504" location="'Sources'!A32" ref="J149"/>
    <hyperlink r:id="rId505" ref="K149"/>
    <hyperlink r:id="rId506" location="'Club Colours'!A639" ref="N149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507"/>
  <legacyDrawing r:id="rId508"/>
  <tableParts count="1">
    <tablePart r:id="rId510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1662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1666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0.0" customHeight="1">
      <c r="A7" s="73" t="s">
        <v>1418</v>
      </c>
      <c r="B7" s="75" t="s">
        <v>88</v>
      </c>
      <c r="C7" s="73" t="s">
        <v>354</v>
      </c>
      <c r="D7" s="77">
        <v>1.0</v>
      </c>
      <c r="E7" s="77" t="s">
        <v>146</v>
      </c>
      <c r="F7" s="77" t="s">
        <v>355</v>
      </c>
      <c r="G7" s="77" t="s">
        <v>149</v>
      </c>
      <c r="H7" s="77" t="s">
        <v>151</v>
      </c>
      <c r="I7" s="75"/>
      <c r="J7" s="81" t="s">
        <v>356</v>
      </c>
      <c r="K7" s="45" t="s">
        <v>357</v>
      </c>
      <c r="L7" s="143" t="s">
        <v>150</v>
      </c>
      <c r="M7" s="50" t="s">
        <v>64</v>
      </c>
      <c r="N7" s="43" t="s">
        <v>55</v>
      </c>
      <c r="O7" s="115" t="s">
        <v>56</v>
      </c>
      <c r="P7" s="45" t="s">
        <v>1420</v>
      </c>
      <c r="Q7" s="44"/>
    </row>
    <row r="8" ht="30.0" customHeight="1">
      <c r="A8" s="94" t="s">
        <v>1427</v>
      </c>
      <c r="B8" s="96" t="s">
        <v>88</v>
      </c>
      <c r="C8" s="94" t="s">
        <v>354</v>
      </c>
      <c r="D8" s="97">
        <v>1.0</v>
      </c>
      <c r="E8" s="97" t="s">
        <v>146</v>
      </c>
      <c r="F8" s="97" t="s">
        <v>355</v>
      </c>
      <c r="G8" s="97" t="s">
        <v>149</v>
      </c>
      <c r="H8" s="97" t="s">
        <v>151</v>
      </c>
      <c r="I8" s="96"/>
      <c r="J8" s="100" t="s">
        <v>356</v>
      </c>
      <c r="K8" s="101" t="s">
        <v>357</v>
      </c>
      <c r="L8" s="125" t="s">
        <v>92</v>
      </c>
      <c r="M8" s="86" t="s">
        <v>164</v>
      </c>
      <c r="N8" s="43" t="s">
        <v>55</v>
      </c>
      <c r="O8" s="124" t="s">
        <v>56</v>
      </c>
      <c r="P8" s="101" t="s">
        <v>1432</v>
      </c>
      <c r="Q8" s="107" t="s">
        <v>881</v>
      </c>
    </row>
    <row r="9" ht="30.0" customHeight="1">
      <c r="A9" s="73" t="s">
        <v>1438</v>
      </c>
      <c r="B9" s="75" t="s">
        <v>88</v>
      </c>
      <c r="C9" s="73" t="s">
        <v>354</v>
      </c>
      <c r="D9" s="77">
        <v>1.0</v>
      </c>
      <c r="E9" s="77" t="s">
        <v>146</v>
      </c>
      <c r="F9" s="77" t="s">
        <v>355</v>
      </c>
      <c r="G9" s="77" t="s">
        <v>149</v>
      </c>
      <c r="H9" s="77" t="s">
        <v>151</v>
      </c>
      <c r="I9" s="75"/>
      <c r="J9" s="81" t="s">
        <v>356</v>
      </c>
      <c r="K9" s="45" t="s">
        <v>357</v>
      </c>
      <c r="L9" s="137" t="s">
        <v>164</v>
      </c>
      <c r="M9" s="50" t="s">
        <v>64</v>
      </c>
      <c r="N9" s="43" t="s">
        <v>55</v>
      </c>
      <c r="O9" s="115" t="s">
        <v>173</v>
      </c>
      <c r="P9" s="45" t="s">
        <v>1440</v>
      </c>
      <c r="Q9" s="44" t="s">
        <v>1441</v>
      </c>
    </row>
    <row r="10" ht="30.0" customHeight="1">
      <c r="A10" s="94" t="s">
        <v>1442</v>
      </c>
      <c r="B10" s="96" t="s">
        <v>88</v>
      </c>
      <c r="C10" s="94" t="s">
        <v>354</v>
      </c>
      <c r="D10" s="97">
        <v>1.0</v>
      </c>
      <c r="E10" s="97" t="s">
        <v>146</v>
      </c>
      <c r="F10" s="97" t="s">
        <v>355</v>
      </c>
      <c r="G10" s="97" t="s">
        <v>149</v>
      </c>
      <c r="H10" s="97" t="s">
        <v>151</v>
      </c>
      <c r="I10" s="96"/>
      <c r="J10" s="100" t="s">
        <v>356</v>
      </c>
      <c r="K10" s="101" t="s">
        <v>357</v>
      </c>
      <c r="L10" s="88" t="s">
        <v>63</v>
      </c>
      <c r="M10" s="50" t="s">
        <v>64</v>
      </c>
      <c r="N10" s="43" t="s">
        <v>55</v>
      </c>
      <c r="O10" s="124" t="s">
        <v>56</v>
      </c>
      <c r="P10" s="101" t="s">
        <v>1444</v>
      </c>
      <c r="Q10" s="107"/>
    </row>
    <row r="11" ht="30.0" customHeight="1">
      <c r="A11" s="73" t="s">
        <v>1445</v>
      </c>
      <c r="B11" s="75" t="s">
        <v>88</v>
      </c>
      <c r="C11" s="73" t="s">
        <v>354</v>
      </c>
      <c r="D11" s="77">
        <v>1.0</v>
      </c>
      <c r="E11" s="77" t="s">
        <v>146</v>
      </c>
      <c r="F11" s="77" t="s">
        <v>355</v>
      </c>
      <c r="G11" s="77" t="s">
        <v>149</v>
      </c>
      <c r="H11" s="77" t="s">
        <v>151</v>
      </c>
      <c r="I11" s="75"/>
      <c r="J11" s="81" t="s">
        <v>356</v>
      </c>
      <c r="K11" s="45" t="s">
        <v>357</v>
      </c>
      <c r="L11" s="125" t="s">
        <v>92</v>
      </c>
      <c r="M11" s="50" t="s">
        <v>64</v>
      </c>
      <c r="N11" s="43" t="s">
        <v>55</v>
      </c>
      <c r="O11" s="115" t="s">
        <v>56</v>
      </c>
      <c r="P11" s="45" t="s">
        <v>1447</v>
      </c>
      <c r="Q11" s="44"/>
    </row>
    <row r="12" ht="30.0" customHeight="1">
      <c r="A12" s="94" t="s">
        <v>1450</v>
      </c>
      <c r="B12" s="96" t="s">
        <v>88</v>
      </c>
      <c r="C12" s="94" t="s">
        <v>354</v>
      </c>
      <c r="D12" s="97">
        <v>1.0</v>
      </c>
      <c r="E12" s="97" t="s">
        <v>146</v>
      </c>
      <c r="F12" s="97" t="s">
        <v>355</v>
      </c>
      <c r="G12" s="97" t="s">
        <v>149</v>
      </c>
      <c r="H12" s="97" t="s">
        <v>151</v>
      </c>
      <c r="I12" s="96"/>
      <c r="J12" s="100" t="s">
        <v>356</v>
      </c>
      <c r="K12" s="101" t="s">
        <v>357</v>
      </c>
      <c r="L12" s="140" t="s">
        <v>52</v>
      </c>
      <c r="M12" s="62" t="s">
        <v>92</v>
      </c>
      <c r="N12" s="43" t="s">
        <v>55</v>
      </c>
      <c r="O12" s="124" t="s">
        <v>56</v>
      </c>
      <c r="P12" s="101" t="s">
        <v>1452</v>
      </c>
      <c r="Q12" s="107"/>
    </row>
    <row r="13" ht="30.0" customHeight="1">
      <c r="A13" s="73" t="s">
        <v>1453</v>
      </c>
      <c r="B13" s="75" t="s">
        <v>88</v>
      </c>
      <c r="C13" s="73" t="s">
        <v>354</v>
      </c>
      <c r="D13" s="77">
        <v>1.0</v>
      </c>
      <c r="E13" s="77" t="s">
        <v>146</v>
      </c>
      <c r="F13" s="77" t="s">
        <v>355</v>
      </c>
      <c r="G13" s="77" t="s">
        <v>149</v>
      </c>
      <c r="H13" s="77" t="s">
        <v>151</v>
      </c>
      <c r="I13" s="75"/>
      <c r="J13" s="81" t="s">
        <v>356</v>
      </c>
      <c r="K13" s="45" t="s">
        <v>357</v>
      </c>
      <c r="L13" s="148" t="s">
        <v>199</v>
      </c>
      <c r="M13" s="50" t="s">
        <v>64</v>
      </c>
      <c r="N13" s="43" t="s">
        <v>55</v>
      </c>
      <c r="O13" s="115" t="s">
        <v>56</v>
      </c>
      <c r="P13" s="45" t="s">
        <v>1455</v>
      </c>
      <c r="Q13" s="44"/>
    </row>
    <row r="14" ht="30.0" customHeight="1">
      <c r="A14" s="94" t="s">
        <v>1456</v>
      </c>
      <c r="B14" s="96" t="s">
        <v>88</v>
      </c>
      <c r="C14" s="94" t="s">
        <v>354</v>
      </c>
      <c r="D14" s="97">
        <v>1.0</v>
      </c>
      <c r="E14" s="97" t="s">
        <v>146</v>
      </c>
      <c r="F14" s="97" t="s">
        <v>355</v>
      </c>
      <c r="G14" s="97" t="s">
        <v>149</v>
      </c>
      <c r="H14" s="97" t="s">
        <v>151</v>
      </c>
      <c r="I14" s="96"/>
      <c r="J14" s="100" t="s">
        <v>356</v>
      </c>
      <c r="K14" s="101" t="s">
        <v>357</v>
      </c>
      <c r="L14" s="140" t="s">
        <v>52</v>
      </c>
      <c r="M14" s="138" t="s">
        <v>199</v>
      </c>
      <c r="N14" s="43" t="s">
        <v>55</v>
      </c>
      <c r="O14" s="124" t="s">
        <v>173</v>
      </c>
      <c r="P14" s="101" t="s">
        <v>1458</v>
      </c>
      <c r="Q14" s="107" t="s">
        <v>1459</v>
      </c>
    </row>
    <row r="15" ht="30.0" customHeight="1">
      <c r="A15" s="73" t="s">
        <v>1477</v>
      </c>
      <c r="B15" s="75" t="s">
        <v>88</v>
      </c>
      <c r="C15" s="73" t="s">
        <v>354</v>
      </c>
      <c r="D15" s="77">
        <v>1.0</v>
      </c>
      <c r="E15" s="77" t="s">
        <v>146</v>
      </c>
      <c r="F15" s="77" t="s">
        <v>355</v>
      </c>
      <c r="G15" s="77" t="s">
        <v>149</v>
      </c>
      <c r="H15" s="77" t="s">
        <v>151</v>
      </c>
      <c r="I15" s="75"/>
      <c r="J15" s="81" t="s">
        <v>356</v>
      </c>
      <c r="K15" s="45" t="s">
        <v>357</v>
      </c>
      <c r="L15" s="140" t="s">
        <v>52</v>
      </c>
      <c r="M15" s="86" t="s">
        <v>164</v>
      </c>
      <c r="N15" s="43" t="s">
        <v>55</v>
      </c>
      <c r="O15" s="115" t="s">
        <v>56</v>
      </c>
      <c r="P15" s="45" t="s">
        <v>1479</v>
      </c>
      <c r="Q15" s="44"/>
    </row>
    <row r="16" ht="30.0" customHeight="1">
      <c r="A16" s="94" t="s">
        <v>1508</v>
      </c>
      <c r="B16" s="96" t="s">
        <v>88</v>
      </c>
      <c r="C16" s="94" t="s">
        <v>354</v>
      </c>
      <c r="D16" s="97">
        <v>1.0</v>
      </c>
      <c r="E16" s="97" t="s">
        <v>146</v>
      </c>
      <c r="F16" s="97" t="s">
        <v>355</v>
      </c>
      <c r="G16" s="97" t="s">
        <v>149</v>
      </c>
      <c r="H16" s="97" t="s">
        <v>151</v>
      </c>
      <c r="I16" s="96"/>
      <c r="J16" s="100" t="s">
        <v>356</v>
      </c>
      <c r="K16" s="101" t="s">
        <v>357</v>
      </c>
      <c r="L16" s="137" t="s">
        <v>164</v>
      </c>
      <c r="M16" s="164" t="s">
        <v>196</v>
      </c>
      <c r="N16" s="43" t="s">
        <v>55</v>
      </c>
      <c r="O16" s="124" t="s">
        <v>56</v>
      </c>
      <c r="P16" s="101" t="s">
        <v>1510</v>
      </c>
      <c r="Q16" s="107" t="s">
        <v>269</v>
      </c>
    </row>
    <row r="17" ht="30.0" customHeight="1">
      <c r="A17" s="73" t="s">
        <v>1516</v>
      </c>
      <c r="B17" s="75" t="s">
        <v>88</v>
      </c>
      <c r="C17" s="73" t="s">
        <v>354</v>
      </c>
      <c r="D17" s="77">
        <v>1.0</v>
      </c>
      <c r="E17" s="77" t="s">
        <v>146</v>
      </c>
      <c r="F17" s="77" t="s">
        <v>355</v>
      </c>
      <c r="G17" s="77" t="s">
        <v>149</v>
      </c>
      <c r="H17" s="77" t="s">
        <v>151</v>
      </c>
      <c r="I17" s="75"/>
      <c r="J17" s="81" t="s">
        <v>356</v>
      </c>
      <c r="K17" s="45" t="s">
        <v>357</v>
      </c>
      <c r="L17" s="137" t="s">
        <v>164</v>
      </c>
      <c r="M17" s="50" t="s">
        <v>64</v>
      </c>
      <c r="N17" s="43" t="s">
        <v>55</v>
      </c>
      <c r="O17" s="115" t="s">
        <v>56</v>
      </c>
      <c r="P17" s="45" t="s">
        <v>1518</v>
      </c>
      <c r="Q17" s="44"/>
    </row>
    <row r="18" ht="30.0" customHeight="1">
      <c r="A18" s="94" t="s">
        <v>1527</v>
      </c>
      <c r="B18" s="96" t="s">
        <v>88</v>
      </c>
      <c r="C18" s="94" t="s">
        <v>354</v>
      </c>
      <c r="D18" s="97">
        <v>1.0</v>
      </c>
      <c r="E18" s="97" t="s">
        <v>146</v>
      </c>
      <c r="F18" s="97" t="s">
        <v>355</v>
      </c>
      <c r="G18" s="97" t="s">
        <v>149</v>
      </c>
      <c r="H18" s="97" t="s">
        <v>151</v>
      </c>
      <c r="I18" s="96"/>
      <c r="J18" s="100" t="s">
        <v>356</v>
      </c>
      <c r="K18" s="101" t="s">
        <v>357</v>
      </c>
      <c r="L18" s="137" t="s">
        <v>164</v>
      </c>
      <c r="M18" s="50" t="s">
        <v>64</v>
      </c>
      <c r="N18" s="43" t="s">
        <v>55</v>
      </c>
      <c r="O18" s="124" t="s">
        <v>56</v>
      </c>
      <c r="P18" s="101" t="s">
        <v>1529</v>
      </c>
      <c r="Q18" s="107"/>
    </row>
    <row r="19" ht="30.0" customHeight="1">
      <c r="A19" s="73" t="s">
        <v>1421</v>
      </c>
      <c r="B19" s="75" t="s">
        <v>88</v>
      </c>
      <c r="C19" s="73" t="s">
        <v>359</v>
      </c>
      <c r="D19" s="77">
        <v>2.0</v>
      </c>
      <c r="E19" s="77" t="s">
        <v>146</v>
      </c>
      <c r="F19" s="77" t="s">
        <v>355</v>
      </c>
      <c r="G19" s="77" t="s">
        <v>149</v>
      </c>
      <c r="H19" s="77" t="s">
        <v>151</v>
      </c>
      <c r="I19" s="75"/>
      <c r="J19" s="81" t="s">
        <v>360</v>
      </c>
      <c r="K19" s="45" t="s">
        <v>361</v>
      </c>
      <c r="L19" s="148" t="s">
        <v>199</v>
      </c>
      <c r="M19" s="50" t="s">
        <v>64</v>
      </c>
      <c r="N19" s="43" t="s">
        <v>55</v>
      </c>
      <c r="O19" s="115" t="s">
        <v>56</v>
      </c>
      <c r="P19" s="45" t="s">
        <v>1423</v>
      </c>
      <c r="Q19" s="44"/>
    </row>
    <row r="20" ht="30.0" customHeight="1">
      <c r="A20" s="94" t="s">
        <v>1424</v>
      </c>
      <c r="B20" s="96" t="s">
        <v>88</v>
      </c>
      <c r="C20" s="94" t="s">
        <v>359</v>
      </c>
      <c r="D20" s="97">
        <v>2.0</v>
      </c>
      <c r="E20" s="97" t="s">
        <v>146</v>
      </c>
      <c r="F20" s="97" t="s">
        <v>355</v>
      </c>
      <c r="G20" s="97" t="s">
        <v>149</v>
      </c>
      <c r="H20" s="97" t="s">
        <v>151</v>
      </c>
      <c r="I20" s="96"/>
      <c r="J20" s="100" t="s">
        <v>360</v>
      </c>
      <c r="K20" s="101" t="s">
        <v>361</v>
      </c>
      <c r="L20" s="127" t="s">
        <v>64</v>
      </c>
      <c r="M20" s="86" t="s">
        <v>164</v>
      </c>
      <c r="N20" s="43" t="s">
        <v>55</v>
      </c>
      <c r="O20" s="124" t="s">
        <v>56</v>
      </c>
      <c r="P20" s="101" t="s">
        <v>1426</v>
      </c>
      <c r="Q20" s="107"/>
    </row>
    <row r="21" ht="30.0" customHeight="1">
      <c r="A21" s="73" t="s">
        <v>1448</v>
      </c>
      <c r="B21" s="75" t="s">
        <v>88</v>
      </c>
      <c r="C21" s="73" t="s">
        <v>359</v>
      </c>
      <c r="D21" s="77">
        <v>2.0</v>
      </c>
      <c r="E21" s="77" t="s">
        <v>146</v>
      </c>
      <c r="F21" s="77" t="s">
        <v>355</v>
      </c>
      <c r="G21" s="77" t="s">
        <v>149</v>
      </c>
      <c r="H21" s="158" t="s">
        <v>466</v>
      </c>
      <c r="I21" s="75"/>
      <c r="J21" s="81" t="s">
        <v>360</v>
      </c>
      <c r="K21" s="45" t="s">
        <v>361</v>
      </c>
      <c r="L21" s="125" t="s">
        <v>92</v>
      </c>
      <c r="M21" s="50" t="s">
        <v>64</v>
      </c>
      <c r="N21" s="43" t="s">
        <v>55</v>
      </c>
      <c r="O21" s="59" t="s">
        <v>187</v>
      </c>
      <c r="P21" s="45" t="s">
        <v>1447</v>
      </c>
      <c r="Q21" s="44" t="s">
        <v>1449</v>
      </c>
    </row>
    <row r="22" ht="30.0" customHeight="1">
      <c r="A22" s="94" t="s">
        <v>1460</v>
      </c>
      <c r="B22" s="96" t="s">
        <v>88</v>
      </c>
      <c r="C22" s="94" t="s">
        <v>359</v>
      </c>
      <c r="D22" s="97">
        <v>2.0</v>
      </c>
      <c r="E22" s="97" t="s">
        <v>146</v>
      </c>
      <c r="F22" s="97" t="s">
        <v>355</v>
      </c>
      <c r="G22" s="97" t="s">
        <v>149</v>
      </c>
      <c r="H22" s="97" t="s">
        <v>151</v>
      </c>
      <c r="I22" s="96"/>
      <c r="J22" s="100" t="s">
        <v>360</v>
      </c>
      <c r="K22" s="101" t="s">
        <v>361</v>
      </c>
      <c r="L22" s="88" t="s">
        <v>63</v>
      </c>
      <c r="M22" s="86" t="s">
        <v>164</v>
      </c>
      <c r="N22" s="43" t="s">
        <v>55</v>
      </c>
      <c r="O22" s="124" t="s">
        <v>56</v>
      </c>
      <c r="P22" s="101" t="s">
        <v>1462</v>
      </c>
      <c r="Q22" s="107"/>
    </row>
    <row r="23" ht="30.0" customHeight="1">
      <c r="A23" s="73" t="s">
        <v>1467</v>
      </c>
      <c r="B23" s="75" t="s">
        <v>88</v>
      </c>
      <c r="C23" s="73" t="s">
        <v>359</v>
      </c>
      <c r="D23" s="77">
        <v>2.0</v>
      </c>
      <c r="E23" s="77" t="s">
        <v>146</v>
      </c>
      <c r="F23" s="77" t="s">
        <v>355</v>
      </c>
      <c r="G23" s="77" t="s">
        <v>149</v>
      </c>
      <c r="H23" s="77" t="s">
        <v>151</v>
      </c>
      <c r="I23" s="75"/>
      <c r="J23" s="81" t="s">
        <v>360</v>
      </c>
      <c r="K23" s="45" t="s">
        <v>361</v>
      </c>
      <c r="L23" s="125" t="s">
        <v>92</v>
      </c>
      <c r="M23" s="50" t="s">
        <v>64</v>
      </c>
      <c r="N23" s="43" t="s">
        <v>55</v>
      </c>
      <c r="O23" s="115" t="s">
        <v>56</v>
      </c>
      <c r="P23" s="45" t="s">
        <v>1469</v>
      </c>
      <c r="Q23" s="44"/>
    </row>
    <row r="24" ht="30.0" customHeight="1">
      <c r="A24" s="94" t="s">
        <v>1474</v>
      </c>
      <c r="B24" s="96" t="s">
        <v>88</v>
      </c>
      <c r="C24" s="94" t="s">
        <v>359</v>
      </c>
      <c r="D24" s="97">
        <v>2.0</v>
      </c>
      <c r="E24" s="97" t="s">
        <v>146</v>
      </c>
      <c r="F24" s="97" t="s">
        <v>355</v>
      </c>
      <c r="G24" s="97" t="s">
        <v>149</v>
      </c>
      <c r="H24" s="97" t="s">
        <v>151</v>
      </c>
      <c r="I24" s="96"/>
      <c r="J24" s="100" t="s">
        <v>360</v>
      </c>
      <c r="K24" s="101" t="s">
        <v>361</v>
      </c>
      <c r="L24" s="148" t="s">
        <v>199</v>
      </c>
      <c r="M24" s="50" t="s">
        <v>64</v>
      </c>
      <c r="N24" s="43" t="s">
        <v>55</v>
      </c>
      <c r="O24" s="124" t="s">
        <v>191</v>
      </c>
      <c r="P24" s="101" t="s">
        <v>1476</v>
      </c>
      <c r="Q24" s="107"/>
    </row>
    <row r="25" ht="30.0" customHeight="1">
      <c r="A25" s="73" t="s">
        <v>1482</v>
      </c>
      <c r="B25" s="75" t="s">
        <v>88</v>
      </c>
      <c r="C25" s="73" t="s">
        <v>359</v>
      </c>
      <c r="D25" s="77">
        <v>2.0</v>
      </c>
      <c r="E25" s="77" t="s">
        <v>146</v>
      </c>
      <c r="F25" s="77" t="s">
        <v>355</v>
      </c>
      <c r="G25" s="77" t="s">
        <v>149</v>
      </c>
      <c r="H25" s="77" t="s">
        <v>151</v>
      </c>
      <c r="I25" s="75"/>
      <c r="J25" s="81" t="s">
        <v>360</v>
      </c>
      <c r="K25" s="45" t="s">
        <v>361</v>
      </c>
      <c r="L25" s="137" t="s">
        <v>164</v>
      </c>
      <c r="M25" s="50" t="s">
        <v>64</v>
      </c>
      <c r="N25" s="43" t="s">
        <v>55</v>
      </c>
      <c r="O25" s="115" t="s">
        <v>191</v>
      </c>
      <c r="P25" s="45" t="s">
        <v>1484</v>
      </c>
      <c r="Q25" s="44" t="s">
        <v>1485</v>
      </c>
    </row>
    <row r="26" ht="30.0" customHeight="1">
      <c r="A26" s="94" t="s">
        <v>1486</v>
      </c>
      <c r="B26" s="96" t="s">
        <v>88</v>
      </c>
      <c r="C26" s="94" t="s">
        <v>359</v>
      </c>
      <c r="D26" s="97">
        <v>2.0</v>
      </c>
      <c r="E26" s="97" t="s">
        <v>146</v>
      </c>
      <c r="F26" s="97" t="s">
        <v>355</v>
      </c>
      <c r="G26" s="97" t="s">
        <v>149</v>
      </c>
      <c r="H26" s="97" t="s">
        <v>151</v>
      </c>
      <c r="I26" s="96"/>
      <c r="J26" s="100" t="s">
        <v>360</v>
      </c>
      <c r="K26" s="101" t="s">
        <v>361</v>
      </c>
      <c r="L26" s="125" t="s">
        <v>92</v>
      </c>
      <c r="M26" s="50" t="s">
        <v>64</v>
      </c>
      <c r="N26" s="43" t="s">
        <v>55</v>
      </c>
      <c r="O26" s="124" t="s">
        <v>173</v>
      </c>
      <c r="P26" s="101" t="s">
        <v>1488</v>
      </c>
      <c r="Q26" s="107"/>
    </row>
    <row r="27" ht="30.0" customHeight="1">
      <c r="A27" s="73" t="s">
        <v>1493</v>
      </c>
      <c r="B27" s="75" t="s">
        <v>88</v>
      </c>
      <c r="C27" s="73" t="s">
        <v>359</v>
      </c>
      <c r="D27" s="77">
        <v>2.0</v>
      </c>
      <c r="E27" s="77" t="s">
        <v>146</v>
      </c>
      <c r="F27" s="77" t="s">
        <v>355</v>
      </c>
      <c r="G27" s="77" t="s">
        <v>149</v>
      </c>
      <c r="H27" s="77" t="s">
        <v>151</v>
      </c>
      <c r="I27" s="75"/>
      <c r="J27" s="81" t="s">
        <v>360</v>
      </c>
      <c r="K27" s="45" t="s">
        <v>361</v>
      </c>
      <c r="L27" s="88" t="s">
        <v>63</v>
      </c>
      <c r="M27" s="86" t="s">
        <v>164</v>
      </c>
      <c r="N27" s="43" t="s">
        <v>55</v>
      </c>
      <c r="O27" s="115" t="s">
        <v>173</v>
      </c>
      <c r="P27" s="45" t="s">
        <v>1495</v>
      </c>
      <c r="Q27" s="44"/>
    </row>
    <row r="28" ht="30.0" customHeight="1">
      <c r="A28" s="94" t="s">
        <v>1511</v>
      </c>
      <c r="B28" s="96" t="s">
        <v>88</v>
      </c>
      <c r="C28" s="94" t="s">
        <v>359</v>
      </c>
      <c r="D28" s="97">
        <v>2.0</v>
      </c>
      <c r="E28" s="97" t="s">
        <v>146</v>
      </c>
      <c r="F28" s="97" t="s">
        <v>355</v>
      </c>
      <c r="G28" s="97" t="s">
        <v>149</v>
      </c>
      <c r="H28" s="154" t="s">
        <v>466</v>
      </c>
      <c r="I28" s="96"/>
      <c r="J28" s="100" t="s">
        <v>360</v>
      </c>
      <c r="K28" s="101" t="s">
        <v>361</v>
      </c>
      <c r="L28" s="137" t="s">
        <v>164</v>
      </c>
      <c r="M28" s="164" t="s">
        <v>196</v>
      </c>
      <c r="N28" s="43" t="s">
        <v>55</v>
      </c>
      <c r="O28" s="105" t="s">
        <v>187</v>
      </c>
      <c r="P28" s="101" t="s">
        <v>1510</v>
      </c>
      <c r="Q28" s="107" t="s">
        <v>1512</v>
      </c>
    </row>
    <row r="29" ht="39.75" customHeight="1">
      <c r="A29" s="73" t="s">
        <v>1433</v>
      </c>
      <c r="B29" s="75" t="s">
        <v>88</v>
      </c>
      <c r="C29" s="73" t="s">
        <v>364</v>
      </c>
      <c r="D29" s="77">
        <v>3.0</v>
      </c>
      <c r="E29" s="77" t="s">
        <v>146</v>
      </c>
      <c r="F29" s="77" t="s">
        <v>355</v>
      </c>
      <c r="G29" s="77" t="s">
        <v>149</v>
      </c>
      <c r="H29" s="158" t="s">
        <v>466</v>
      </c>
      <c r="I29" s="75"/>
      <c r="J29" s="81" t="s">
        <v>367</v>
      </c>
      <c r="K29" s="45" t="s">
        <v>368</v>
      </c>
      <c r="L29" s="125" t="s">
        <v>92</v>
      </c>
      <c r="M29" s="86" t="s">
        <v>164</v>
      </c>
      <c r="N29" s="43" t="s">
        <v>55</v>
      </c>
      <c r="O29" s="59" t="s">
        <v>187</v>
      </c>
      <c r="P29" s="45" t="s">
        <v>1432</v>
      </c>
      <c r="Q29" s="44" t="s">
        <v>1434</v>
      </c>
    </row>
    <row r="30" ht="30.0" customHeight="1">
      <c r="A30" s="94" t="s">
        <v>1435</v>
      </c>
      <c r="B30" s="96" t="s">
        <v>88</v>
      </c>
      <c r="C30" s="94" t="s">
        <v>364</v>
      </c>
      <c r="D30" s="97">
        <v>3.0</v>
      </c>
      <c r="E30" s="97" t="s">
        <v>146</v>
      </c>
      <c r="F30" s="97" t="s">
        <v>355</v>
      </c>
      <c r="G30" s="97" t="s">
        <v>149</v>
      </c>
      <c r="H30" s="97" t="s">
        <v>151</v>
      </c>
      <c r="I30" s="96"/>
      <c r="J30" s="100" t="s">
        <v>367</v>
      </c>
      <c r="K30" s="101" t="s">
        <v>368</v>
      </c>
      <c r="L30" s="88" t="s">
        <v>63</v>
      </c>
      <c r="M30" s="50" t="s">
        <v>64</v>
      </c>
      <c r="N30" s="43" t="s">
        <v>55</v>
      </c>
      <c r="O30" s="124" t="s">
        <v>56</v>
      </c>
      <c r="P30" s="101" t="s">
        <v>1437</v>
      </c>
      <c r="Q30" s="107"/>
    </row>
    <row r="31" ht="30.0" customHeight="1">
      <c r="A31" s="73" t="s">
        <v>1464</v>
      </c>
      <c r="B31" s="75" t="s">
        <v>88</v>
      </c>
      <c r="C31" s="73" t="s">
        <v>364</v>
      </c>
      <c r="D31" s="77">
        <v>3.0</v>
      </c>
      <c r="E31" s="77" t="s">
        <v>146</v>
      </c>
      <c r="F31" s="77" t="s">
        <v>355</v>
      </c>
      <c r="G31" s="77" t="s">
        <v>149</v>
      </c>
      <c r="H31" s="77" t="s">
        <v>151</v>
      </c>
      <c r="I31" s="75"/>
      <c r="J31" s="81" t="s">
        <v>367</v>
      </c>
      <c r="K31" s="45" t="s">
        <v>368</v>
      </c>
      <c r="L31" s="143" t="s">
        <v>150</v>
      </c>
      <c r="M31" s="49" t="s">
        <v>63</v>
      </c>
      <c r="N31" s="43" t="s">
        <v>55</v>
      </c>
      <c r="O31" s="115" t="s">
        <v>191</v>
      </c>
      <c r="P31" s="45" t="s">
        <v>1466</v>
      </c>
      <c r="Q31" s="44"/>
    </row>
    <row r="32" ht="30.0" customHeight="1">
      <c r="A32" s="94" t="s">
        <v>1471</v>
      </c>
      <c r="B32" s="96" t="s">
        <v>88</v>
      </c>
      <c r="C32" s="94" t="s">
        <v>364</v>
      </c>
      <c r="D32" s="97">
        <v>3.0</v>
      </c>
      <c r="E32" s="97" t="s">
        <v>146</v>
      </c>
      <c r="F32" s="97" t="s">
        <v>355</v>
      </c>
      <c r="G32" s="97" t="s">
        <v>149</v>
      </c>
      <c r="H32" s="97" t="s">
        <v>151</v>
      </c>
      <c r="I32" s="96"/>
      <c r="J32" s="100" t="s">
        <v>367</v>
      </c>
      <c r="K32" s="101" t="s">
        <v>368</v>
      </c>
      <c r="L32" s="148" t="s">
        <v>199</v>
      </c>
      <c r="M32" s="50" t="s">
        <v>64</v>
      </c>
      <c r="N32" s="43" t="s">
        <v>55</v>
      </c>
      <c r="O32" s="124" t="s">
        <v>56</v>
      </c>
      <c r="P32" s="101" t="s">
        <v>1473</v>
      </c>
      <c r="Q32" s="107"/>
    </row>
    <row r="33" ht="30.0" customHeight="1">
      <c r="A33" s="73" t="s">
        <v>1480</v>
      </c>
      <c r="B33" s="75" t="s">
        <v>88</v>
      </c>
      <c r="C33" s="73" t="s">
        <v>364</v>
      </c>
      <c r="D33" s="77">
        <v>3.0</v>
      </c>
      <c r="E33" s="77" t="s">
        <v>146</v>
      </c>
      <c r="F33" s="77" t="s">
        <v>355</v>
      </c>
      <c r="G33" s="77" t="s">
        <v>149</v>
      </c>
      <c r="H33" s="158" t="s">
        <v>466</v>
      </c>
      <c r="I33" s="75"/>
      <c r="J33" s="81" t="s">
        <v>367</v>
      </c>
      <c r="K33" s="45" t="s">
        <v>368</v>
      </c>
      <c r="L33" s="140" t="s">
        <v>52</v>
      </c>
      <c r="M33" s="86" t="s">
        <v>164</v>
      </c>
      <c r="N33" s="43" t="s">
        <v>55</v>
      </c>
      <c r="O33" s="59" t="s">
        <v>187</v>
      </c>
      <c r="P33" s="45" t="s">
        <v>1479</v>
      </c>
      <c r="Q33" s="44" t="s">
        <v>1481</v>
      </c>
    </row>
    <row r="34" ht="39.75" customHeight="1">
      <c r="A34" s="94" t="s">
        <v>1489</v>
      </c>
      <c r="B34" s="96" t="s">
        <v>88</v>
      </c>
      <c r="C34" s="94" t="s">
        <v>364</v>
      </c>
      <c r="D34" s="97">
        <v>3.0</v>
      </c>
      <c r="E34" s="97" t="s">
        <v>146</v>
      </c>
      <c r="F34" s="97" t="s">
        <v>355</v>
      </c>
      <c r="G34" s="97" t="s">
        <v>149</v>
      </c>
      <c r="H34" s="97" t="s">
        <v>151</v>
      </c>
      <c r="I34" s="96"/>
      <c r="J34" s="100" t="s">
        <v>367</v>
      </c>
      <c r="K34" s="101" t="s">
        <v>368</v>
      </c>
      <c r="L34" s="140" t="s">
        <v>52</v>
      </c>
      <c r="M34" s="62" t="s">
        <v>92</v>
      </c>
      <c r="N34" s="43" t="s">
        <v>55</v>
      </c>
      <c r="O34" s="124" t="s">
        <v>191</v>
      </c>
      <c r="P34" s="101" t="s">
        <v>1491</v>
      </c>
      <c r="Q34" s="107" t="s">
        <v>1492</v>
      </c>
    </row>
    <row r="35" ht="39.75" customHeight="1">
      <c r="A35" s="73" t="s">
        <v>1497</v>
      </c>
      <c r="B35" s="75" t="s">
        <v>88</v>
      </c>
      <c r="C35" s="73" t="s">
        <v>364</v>
      </c>
      <c r="D35" s="77">
        <v>3.0</v>
      </c>
      <c r="E35" s="77" t="s">
        <v>146</v>
      </c>
      <c r="F35" s="77" t="s">
        <v>355</v>
      </c>
      <c r="G35" s="77" t="s">
        <v>149</v>
      </c>
      <c r="H35" s="77" t="s">
        <v>151</v>
      </c>
      <c r="I35" s="75"/>
      <c r="J35" s="81" t="s">
        <v>367</v>
      </c>
      <c r="K35" s="45" t="s">
        <v>368</v>
      </c>
      <c r="L35" s="149"/>
      <c r="M35" s="149"/>
      <c r="N35" s="157" t="s">
        <v>447</v>
      </c>
      <c r="O35" s="115" t="s">
        <v>198</v>
      </c>
      <c r="P35" s="151"/>
      <c r="Q35" s="44" t="s">
        <v>448</v>
      </c>
    </row>
    <row r="36" ht="30.0" customHeight="1">
      <c r="A36" s="94" t="s">
        <v>1498</v>
      </c>
      <c r="B36" s="96" t="s">
        <v>88</v>
      </c>
      <c r="C36" s="94" t="s">
        <v>364</v>
      </c>
      <c r="D36" s="97">
        <v>3.0</v>
      </c>
      <c r="E36" s="97" t="s">
        <v>146</v>
      </c>
      <c r="F36" s="97" t="s">
        <v>355</v>
      </c>
      <c r="G36" s="97" t="s">
        <v>149</v>
      </c>
      <c r="H36" s="97" t="s">
        <v>151</v>
      </c>
      <c r="I36" s="96"/>
      <c r="J36" s="100" t="s">
        <v>367</v>
      </c>
      <c r="K36" s="101" t="s">
        <v>368</v>
      </c>
      <c r="L36" s="125" t="s">
        <v>92</v>
      </c>
      <c r="M36" s="50" t="s">
        <v>64</v>
      </c>
      <c r="N36" s="43" t="s">
        <v>55</v>
      </c>
      <c r="O36" s="124" t="s">
        <v>191</v>
      </c>
      <c r="P36" s="101" t="s">
        <v>1500</v>
      </c>
      <c r="Q36" s="107"/>
    </row>
    <row r="37" ht="30.0" customHeight="1">
      <c r="A37" s="73" t="s">
        <v>1502</v>
      </c>
      <c r="B37" s="75" t="s">
        <v>88</v>
      </c>
      <c r="C37" s="73" t="s">
        <v>364</v>
      </c>
      <c r="D37" s="77">
        <v>3.0</v>
      </c>
      <c r="E37" s="77" t="s">
        <v>146</v>
      </c>
      <c r="F37" s="77" t="s">
        <v>355</v>
      </c>
      <c r="G37" s="77" t="s">
        <v>149</v>
      </c>
      <c r="H37" s="77" t="s">
        <v>151</v>
      </c>
      <c r="I37" s="75"/>
      <c r="J37" s="81" t="s">
        <v>367</v>
      </c>
      <c r="K37" s="45" t="s">
        <v>368</v>
      </c>
      <c r="L37" s="125" t="s">
        <v>92</v>
      </c>
      <c r="M37" s="50" t="s">
        <v>64</v>
      </c>
      <c r="N37" s="43" t="s">
        <v>55</v>
      </c>
      <c r="O37" s="115" t="s">
        <v>56</v>
      </c>
      <c r="P37" s="45" t="s">
        <v>1507</v>
      </c>
      <c r="Q37" s="44"/>
    </row>
    <row r="38" ht="30.0" customHeight="1">
      <c r="A38" s="94" t="s">
        <v>1513</v>
      </c>
      <c r="B38" s="96" t="s">
        <v>88</v>
      </c>
      <c r="C38" s="94" t="s">
        <v>364</v>
      </c>
      <c r="D38" s="97">
        <v>3.0</v>
      </c>
      <c r="E38" s="97" t="s">
        <v>146</v>
      </c>
      <c r="F38" s="97" t="s">
        <v>355</v>
      </c>
      <c r="G38" s="97" t="s">
        <v>149</v>
      </c>
      <c r="H38" s="97" t="s">
        <v>151</v>
      </c>
      <c r="I38" s="96"/>
      <c r="J38" s="100" t="s">
        <v>367</v>
      </c>
      <c r="K38" s="101" t="s">
        <v>368</v>
      </c>
      <c r="L38" s="125" t="s">
        <v>92</v>
      </c>
      <c r="M38" s="138" t="s">
        <v>199</v>
      </c>
      <c r="N38" s="43" t="s">
        <v>55</v>
      </c>
      <c r="O38" s="124" t="s">
        <v>56</v>
      </c>
      <c r="P38" s="101" t="s">
        <v>1515</v>
      </c>
      <c r="Q38" s="107" t="s">
        <v>269</v>
      </c>
    </row>
    <row r="39" ht="30.0" customHeight="1">
      <c r="A39" s="73" t="s">
        <v>1519</v>
      </c>
      <c r="B39" s="75" t="s">
        <v>88</v>
      </c>
      <c r="C39" s="73" t="s">
        <v>364</v>
      </c>
      <c r="D39" s="77">
        <v>3.0</v>
      </c>
      <c r="E39" s="77" t="s">
        <v>146</v>
      </c>
      <c r="F39" s="77" t="s">
        <v>355</v>
      </c>
      <c r="G39" s="77" t="s">
        <v>149</v>
      </c>
      <c r="H39" s="77" t="s">
        <v>151</v>
      </c>
      <c r="I39" s="75"/>
      <c r="J39" s="81" t="s">
        <v>367</v>
      </c>
      <c r="K39" s="45" t="s">
        <v>368</v>
      </c>
      <c r="L39" s="88" t="s">
        <v>63</v>
      </c>
      <c r="M39" s="138" t="s">
        <v>199</v>
      </c>
      <c r="N39" s="43" t="s">
        <v>55</v>
      </c>
      <c r="O39" s="115" t="s">
        <v>56</v>
      </c>
      <c r="P39" s="45" t="s">
        <v>1521</v>
      </c>
      <c r="Q39" s="44" t="s">
        <v>1522</v>
      </c>
    </row>
    <row r="40" ht="39.75" customHeight="1">
      <c r="A40" s="94" t="s">
        <v>1523</v>
      </c>
      <c r="B40" s="96" t="s">
        <v>88</v>
      </c>
      <c r="C40" s="94" t="s">
        <v>364</v>
      </c>
      <c r="D40" s="97">
        <v>3.0</v>
      </c>
      <c r="E40" s="97" t="s">
        <v>146</v>
      </c>
      <c r="F40" s="97" t="s">
        <v>355</v>
      </c>
      <c r="G40" s="97" t="s">
        <v>149</v>
      </c>
      <c r="H40" s="97" t="s">
        <v>151</v>
      </c>
      <c r="I40" s="96"/>
      <c r="J40" s="100" t="s">
        <v>367</v>
      </c>
      <c r="K40" s="101" t="s">
        <v>368</v>
      </c>
      <c r="L40" s="127" t="s">
        <v>64</v>
      </c>
      <c r="M40" s="86" t="s">
        <v>164</v>
      </c>
      <c r="N40" s="43" t="s">
        <v>55</v>
      </c>
      <c r="O40" s="124" t="s">
        <v>179</v>
      </c>
      <c r="P40" s="101" t="s">
        <v>1525</v>
      </c>
      <c r="Q40" s="107" t="s">
        <v>1526</v>
      </c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BC0D48F-5319-419F-A792-E5B80657EAAA}" filter="1" showAutoFilter="1">
      <autoFilter ref="$A$6:$Q$40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34" ref="J7"/>
    <hyperlink r:id="rId5" ref="K7"/>
    <hyperlink r:id="rId6" location="'Club Colours'!A644" ref="L7"/>
    <hyperlink r:id="rId7" ref="P7"/>
    <hyperlink r:id="rId8" location="'Sources'!A34" ref="J8"/>
    <hyperlink r:id="rId9" ref="K8"/>
    <hyperlink r:id="rId10" location="'Club Colours'!A647" ref="L8"/>
    <hyperlink r:id="rId11" ref="P8"/>
    <hyperlink r:id="rId12" location="'Sources'!A34" ref="J9"/>
    <hyperlink r:id="rId13" ref="K9"/>
    <hyperlink r:id="rId14" location="'Club Colours'!A650" ref="L9"/>
    <hyperlink r:id="rId15" ref="P9"/>
    <hyperlink r:id="rId16" location="'Sources'!A34" ref="J10"/>
    <hyperlink r:id="rId17" ref="K10"/>
    <hyperlink r:id="rId18" location="'Club Colours'!A651" ref="L10"/>
    <hyperlink r:id="rId19" ref="P10"/>
    <hyperlink r:id="rId20" location="'Sources'!A34" ref="J11"/>
    <hyperlink r:id="rId21" ref="K11"/>
    <hyperlink r:id="rId22" location="'Club Colours'!A652" ref="L11"/>
    <hyperlink r:id="rId23" ref="P11"/>
    <hyperlink r:id="rId24" location="'Sources'!A34" ref="J12"/>
    <hyperlink r:id="rId25" ref="K12"/>
    <hyperlink r:id="rId26" location="'Club Colours'!A654" ref="L12"/>
    <hyperlink r:id="rId27" ref="P12"/>
    <hyperlink r:id="rId28" location="'Sources'!A34" ref="J13"/>
    <hyperlink r:id="rId29" ref="K13"/>
    <hyperlink r:id="rId30" location="'Club Colours'!A655" ref="L13"/>
    <hyperlink r:id="rId31" ref="P13"/>
    <hyperlink r:id="rId32" location="'Sources'!A34" ref="J14"/>
    <hyperlink r:id="rId33" ref="K14"/>
    <hyperlink r:id="rId34" location="'Club Colours'!A656" ref="L14"/>
    <hyperlink r:id="rId35" ref="P14"/>
    <hyperlink r:id="rId36" location="'Sources'!A34" ref="J15"/>
    <hyperlink r:id="rId37" ref="K15"/>
    <hyperlink r:id="rId38" location="'Club Colours'!A662" ref="L15"/>
    <hyperlink r:id="rId39" ref="P15"/>
    <hyperlink r:id="rId40" location="'Sources'!A34" ref="J16"/>
    <hyperlink r:id="rId41" ref="K16"/>
    <hyperlink r:id="rId42" location="'Club Colours'!A671" ref="L16"/>
    <hyperlink r:id="rId43" ref="P16"/>
    <hyperlink r:id="rId44" location="'Sources'!A34" ref="J17"/>
    <hyperlink r:id="rId45" ref="K17"/>
    <hyperlink r:id="rId46" location="'Club Colours'!A674" ref="L17"/>
    <hyperlink r:id="rId47" ref="P17"/>
    <hyperlink r:id="rId48" location="'Sources'!A34" ref="J18"/>
    <hyperlink r:id="rId49" ref="K18"/>
    <hyperlink r:id="rId50" location="'Club Colours'!A677" ref="L18"/>
    <hyperlink r:id="rId51" ref="P18"/>
    <hyperlink r:id="rId52" location="'Sources'!A35" ref="J19"/>
    <hyperlink r:id="rId53" ref="K19"/>
    <hyperlink r:id="rId54" location="'Club Colours'!A645" ref="L19"/>
    <hyperlink r:id="rId55" ref="P19"/>
    <hyperlink r:id="rId56" location="'Sources'!A35" ref="J20"/>
    <hyperlink r:id="rId57" ref="K20"/>
    <hyperlink r:id="rId58" location="'Club Colours'!A646" ref="L20"/>
    <hyperlink r:id="rId59" ref="P20"/>
    <hyperlink r:id="rId60" location="'Sources'!A35" ref="J21"/>
    <hyperlink r:id="rId61" ref="K21"/>
    <hyperlink r:id="rId62" location="'Club Colours'!A653" ref="L21"/>
    <hyperlink r:id="rId63" ref="P21"/>
    <hyperlink r:id="rId64" location="'Sources'!A35" ref="J22"/>
    <hyperlink r:id="rId65" ref="K22"/>
    <hyperlink r:id="rId66" location="'Club Colours'!A657" ref="L22"/>
    <hyperlink r:id="rId67" ref="P22"/>
    <hyperlink r:id="rId68" location="'Sources'!A35" ref="J23"/>
    <hyperlink r:id="rId69" ref="K23"/>
    <hyperlink r:id="rId70" location="'Club Colours'!A659" ref="L23"/>
    <hyperlink r:id="rId71" ref="P23"/>
    <hyperlink r:id="rId72" location="'Sources'!A35" ref="J24"/>
    <hyperlink r:id="rId73" ref="K24"/>
    <hyperlink r:id="rId74" location="'Club Colours'!A661" ref="L24"/>
    <hyperlink r:id="rId75" ref="P24"/>
    <hyperlink r:id="rId76" location="'Sources'!A35" ref="J25"/>
    <hyperlink r:id="rId77" ref="K25"/>
    <hyperlink r:id="rId78" location="'Club Colours'!A664" ref="L25"/>
    <hyperlink r:id="rId79" ref="P25"/>
    <hyperlink r:id="rId80" location="'Sources'!A35" ref="J26"/>
    <hyperlink r:id="rId81" ref="K26"/>
    <hyperlink r:id="rId82" location="'Club Colours'!A665" ref="L26"/>
    <hyperlink r:id="rId83" ref="P26"/>
    <hyperlink r:id="rId84" location="'Sources'!A35" ref="J27"/>
    <hyperlink r:id="rId85" ref="K27"/>
    <hyperlink r:id="rId86" location="'Club Colours'!A667" ref="L27"/>
    <hyperlink r:id="rId87" ref="P27"/>
    <hyperlink r:id="rId88" location="'Sources'!A35" ref="J28"/>
    <hyperlink r:id="rId89" ref="K28"/>
    <hyperlink r:id="rId90" location="'Club Colours'!A672" ref="L28"/>
    <hyperlink r:id="rId91" ref="P28"/>
    <hyperlink r:id="rId92" location="'Sources'!A36" ref="J29"/>
    <hyperlink r:id="rId93" ref="K29"/>
    <hyperlink r:id="rId94" location="'Club Colours'!A648" ref="L29"/>
    <hyperlink r:id="rId95" ref="P29"/>
    <hyperlink r:id="rId96" location="'Sources'!A36" ref="J30"/>
    <hyperlink r:id="rId97" ref="K30"/>
    <hyperlink r:id="rId98" location="'Club Colours'!A649" ref="L30"/>
    <hyperlink r:id="rId99" ref="P30"/>
    <hyperlink r:id="rId100" location="'Sources'!A36" ref="J31"/>
    <hyperlink r:id="rId101" ref="K31"/>
    <hyperlink r:id="rId102" location="'Club Colours'!A658" ref="L31"/>
    <hyperlink r:id="rId103" ref="P31"/>
    <hyperlink r:id="rId104" location="'Sources'!A36" ref="J32"/>
    <hyperlink r:id="rId105" ref="K32"/>
    <hyperlink r:id="rId106" location="'Club Colours'!A660" ref="L32"/>
    <hyperlink r:id="rId107" ref="P32"/>
    <hyperlink r:id="rId108" location="'Sources'!A36" ref="J33"/>
    <hyperlink r:id="rId109" ref="K33"/>
    <hyperlink r:id="rId110" location="'Club Colours'!A663" ref="L33"/>
    <hyperlink r:id="rId111" ref="P33"/>
    <hyperlink r:id="rId112" location="'Sources'!A36" ref="J34"/>
    <hyperlink r:id="rId113" ref="K34"/>
    <hyperlink r:id="rId114" location="'Club Colours'!A666" ref="L34"/>
    <hyperlink r:id="rId115" ref="P34"/>
    <hyperlink r:id="rId116" location="'Sources'!A36" ref="J35"/>
    <hyperlink r:id="rId117" ref="K35"/>
    <hyperlink r:id="rId118" location="'Club Colours'!A668" ref="N35"/>
    <hyperlink r:id="rId119" location="'Sources'!A36" ref="J36"/>
    <hyperlink r:id="rId120" ref="K36"/>
    <hyperlink r:id="rId121" location="'Club Colours'!A669" ref="L36"/>
    <hyperlink r:id="rId122" ref="P36"/>
    <hyperlink r:id="rId123" location="'Sources'!A36" ref="J37"/>
    <hyperlink r:id="rId124" ref="K37"/>
    <hyperlink r:id="rId125" location="'Club Colours'!A670" ref="L37"/>
    <hyperlink r:id="rId126" ref="P37"/>
    <hyperlink r:id="rId127" location="'Sources'!A36" ref="J38"/>
    <hyperlink r:id="rId128" ref="K38"/>
    <hyperlink r:id="rId129" location="'Club Colours'!A673" ref="L38"/>
    <hyperlink r:id="rId130" ref="P38"/>
    <hyperlink r:id="rId131" location="'Sources'!A36" ref="J39"/>
    <hyperlink r:id="rId132" ref="K39"/>
    <hyperlink r:id="rId133" location="'Club Colours'!A675" ref="L39"/>
    <hyperlink r:id="rId134" ref="P39"/>
    <hyperlink r:id="rId135" location="'Sources'!A36" ref="J40"/>
    <hyperlink r:id="rId136" ref="K40"/>
    <hyperlink r:id="rId137" location="'Club Colours'!A676" ref="L40"/>
    <hyperlink r:id="rId138" ref="P40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139"/>
  <legacyDrawing r:id="rId140"/>
  <tableParts count="1">
    <tablePart r:id="rId14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36.0"/>
    <col customWidth="1" min="2" max="2" width="23.0"/>
    <col customWidth="1" min="3" max="3" width="30.0"/>
    <col customWidth="1" min="4" max="4" width="8.0"/>
    <col customWidth="1" min="5" max="5" width="18.0"/>
    <col customWidth="1" min="6" max="7" width="13.0"/>
    <col customWidth="1" min="8" max="8" width="17.0"/>
    <col customWidth="1" min="9" max="9" width="57.0"/>
    <col customWidth="1" min="10" max="10" width="12.0"/>
    <col customWidth="1" min="11" max="11" width="88.0"/>
    <col customWidth="1" min="12" max="13" width="19.0"/>
    <col customWidth="1" min="14" max="14" width="24.0"/>
    <col customWidth="1" min="15" max="15" width="36.0"/>
    <col customWidth="1" min="16" max="16" width="85.0"/>
    <col customWidth="1" min="17" max="17" width="100.0"/>
    <col customWidth="1" min="18" max="26" width="8.71"/>
  </cols>
  <sheetData>
    <row r="1" ht="22.5" customHeight="1">
      <c r="A1" s="1" t="s">
        <v>1673</v>
      </c>
      <c r="B1" s="2"/>
      <c r="C1" s="2"/>
      <c r="D1" s="2"/>
      <c r="E1" s="2"/>
      <c r="F1" s="2"/>
      <c r="G1" s="2"/>
      <c r="H1" s="2"/>
      <c r="I1" s="2"/>
      <c r="J1" s="2"/>
      <c r="K1" s="3"/>
      <c r="L1" s="24" t="s">
        <v>77</v>
      </c>
      <c r="M1" s="2"/>
      <c r="N1" s="2"/>
      <c r="O1" s="2"/>
      <c r="P1" s="2"/>
      <c r="Q1" s="3"/>
    </row>
    <row r="2" ht="21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4"/>
      <c r="M2" s="5"/>
      <c r="N2" s="5"/>
      <c r="O2" s="5"/>
      <c r="P2" s="5"/>
      <c r="Q2" s="6"/>
    </row>
    <row r="3" ht="24.0" customHeight="1">
      <c r="A3" s="7" t="s">
        <v>1678</v>
      </c>
      <c r="L3" s="13" t="s">
        <v>84</v>
      </c>
    </row>
    <row r="4" ht="21.75" customHeight="1">
      <c r="A4" s="60" t="s">
        <v>85</v>
      </c>
      <c r="L4" s="61" t="s">
        <v>87</v>
      </c>
    </row>
    <row r="5" ht="9.0" customHeight="1"/>
    <row r="6" ht="30.75" customHeight="1">
      <c r="A6" s="30" t="s">
        <v>29</v>
      </c>
      <c r="B6" s="30" t="s">
        <v>31</v>
      </c>
      <c r="C6" s="30" t="s">
        <v>22</v>
      </c>
      <c r="D6" s="30" t="s">
        <v>91</v>
      </c>
      <c r="E6" s="30" t="s">
        <v>93</v>
      </c>
      <c r="F6" s="30" t="s">
        <v>94</v>
      </c>
      <c r="G6" s="30" t="s">
        <v>96</v>
      </c>
      <c r="H6" s="30" t="s">
        <v>99</v>
      </c>
      <c r="I6" s="30" t="s">
        <v>105</v>
      </c>
      <c r="J6" s="30" t="s">
        <v>109</v>
      </c>
      <c r="K6" s="30" t="s">
        <v>111</v>
      </c>
      <c r="L6" s="30" t="s">
        <v>33</v>
      </c>
      <c r="M6" s="30" t="s">
        <v>38</v>
      </c>
      <c r="N6" s="30" t="s">
        <v>117</v>
      </c>
      <c r="O6" s="30" t="s">
        <v>120</v>
      </c>
      <c r="P6" s="30" t="s">
        <v>45</v>
      </c>
      <c r="Q6" s="30" t="s">
        <v>47</v>
      </c>
    </row>
    <row r="7" ht="39.75" customHeight="1">
      <c r="A7" s="73" t="s">
        <v>1186</v>
      </c>
      <c r="B7" s="75" t="s">
        <v>82</v>
      </c>
      <c r="C7" s="73" t="s">
        <v>369</v>
      </c>
      <c r="D7" s="77" t="s">
        <v>370</v>
      </c>
      <c r="E7" s="77" t="s">
        <v>1688</v>
      </c>
      <c r="F7" s="77" t="s">
        <v>148</v>
      </c>
      <c r="G7" s="77" t="s">
        <v>106</v>
      </c>
      <c r="H7" s="77" t="s">
        <v>151</v>
      </c>
      <c r="I7" s="75"/>
      <c r="J7" s="81" t="s">
        <v>373</v>
      </c>
      <c r="K7" s="45" t="s">
        <v>374</v>
      </c>
      <c r="L7" s="140" t="s">
        <v>52</v>
      </c>
      <c r="M7" s="86" t="s">
        <v>164</v>
      </c>
      <c r="N7" s="43" t="s">
        <v>55</v>
      </c>
      <c r="O7" s="59" t="s">
        <v>166</v>
      </c>
      <c r="P7" s="45" t="s">
        <v>1189</v>
      </c>
      <c r="Q7" s="44" t="s">
        <v>1190</v>
      </c>
    </row>
    <row r="8" ht="31.5" customHeight="1">
      <c r="A8" s="94" t="s">
        <v>61</v>
      </c>
      <c r="B8" s="96" t="s">
        <v>24</v>
      </c>
      <c r="C8" s="94" t="s">
        <v>369</v>
      </c>
      <c r="D8" s="97" t="s">
        <v>370</v>
      </c>
      <c r="E8" s="97" t="s">
        <v>1688</v>
      </c>
      <c r="F8" s="97" t="s">
        <v>148</v>
      </c>
      <c r="G8" s="97" t="s">
        <v>106</v>
      </c>
      <c r="H8" s="97" t="s">
        <v>151</v>
      </c>
      <c r="I8" s="96"/>
      <c r="J8" s="100" t="s">
        <v>373</v>
      </c>
      <c r="K8" s="179" t="s">
        <v>374</v>
      </c>
      <c r="L8" s="88" t="s">
        <v>63</v>
      </c>
      <c r="M8" s="50" t="s">
        <v>64</v>
      </c>
      <c r="N8" s="43" t="s">
        <v>55</v>
      </c>
      <c r="O8" s="105" t="s">
        <v>68</v>
      </c>
      <c r="P8" s="101" t="s">
        <v>70</v>
      </c>
      <c r="Q8" s="107" t="s">
        <v>74</v>
      </c>
    </row>
    <row r="9" ht="31.5" customHeight="1">
      <c r="A9" s="73" t="s">
        <v>75</v>
      </c>
      <c r="B9" s="75" t="s">
        <v>24</v>
      </c>
      <c r="C9" s="73" t="s">
        <v>369</v>
      </c>
      <c r="D9" s="77" t="s">
        <v>370</v>
      </c>
      <c r="E9" s="77" t="s">
        <v>1688</v>
      </c>
      <c r="F9" s="77" t="s">
        <v>148</v>
      </c>
      <c r="G9" s="77" t="s">
        <v>106</v>
      </c>
      <c r="H9" s="77" t="s">
        <v>151</v>
      </c>
      <c r="I9" s="75"/>
      <c r="J9" s="81" t="s">
        <v>373</v>
      </c>
      <c r="K9" s="45" t="s">
        <v>374</v>
      </c>
      <c r="L9" s="103" t="s">
        <v>76</v>
      </c>
      <c r="M9" s="57" t="s">
        <v>78</v>
      </c>
      <c r="N9" s="43" t="s">
        <v>55</v>
      </c>
      <c r="O9" s="59" t="s">
        <v>68</v>
      </c>
      <c r="P9" s="45" t="s">
        <v>70</v>
      </c>
      <c r="Q9" s="44" t="s">
        <v>74</v>
      </c>
    </row>
    <row r="10" ht="39.75" customHeight="1">
      <c r="A10" s="94" t="s">
        <v>407</v>
      </c>
      <c r="B10" s="96" t="s">
        <v>39</v>
      </c>
      <c r="C10" s="94" t="s">
        <v>369</v>
      </c>
      <c r="D10" s="97" t="s">
        <v>370</v>
      </c>
      <c r="E10" s="97" t="s">
        <v>1688</v>
      </c>
      <c r="F10" s="97" t="s">
        <v>148</v>
      </c>
      <c r="G10" s="97" t="s">
        <v>106</v>
      </c>
      <c r="H10" s="97" t="s">
        <v>151</v>
      </c>
      <c r="I10" s="96"/>
      <c r="J10" s="100" t="s">
        <v>373</v>
      </c>
      <c r="K10" s="101" t="s">
        <v>374</v>
      </c>
      <c r="L10" s="88" t="s">
        <v>63</v>
      </c>
      <c r="M10" s="50" t="s">
        <v>64</v>
      </c>
      <c r="N10" s="43" t="s">
        <v>55</v>
      </c>
      <c r="O10" s="105" t="s">
        <v>68</v>
      </c>
      <c r="P10" s="101" t="s">
        <v>404</v>
      </c>
      <c r="Q10" s="107" t="s">
        <v>411</v>
      </c>
    </row>
    <row r="11" ht="39.75" customHeight="1">
      <c r="A11" s="73" t="s">
        <v>412</v>
      </c>
      <c r="B11" s="75" t="s">
        <v>39</v>
      </c>
      <c r="C11" s="73" t="s">
        <v>369</v>
      </c>
      <c r="D11" s="77" t="s">
        <v>370</v>
      </c>
      <c r="E11" s="77" t="s">
        <v>1688</v>
      </c>
      <c r="F11" s="77" t="s">
        <v>148</v>
      </c>
      <c r="G11" s="77" t="s">
        <v>106</v>
      </c>
      <c r="H11" s="77" t="s">
        <v>151</v>
      </c>
      <c r="I11" s="75"/>
      <c r="J11" s="81" t="s">
        <v>373</v>
      </c>
      <c r="K11" s="45" t="s">
        <v>374</v>
      </c>
      <c r="L11" s="125" t="s">
        <v>92</v>
      </c>
      <c r="M11" s="56" t="s">
        <v>76</v>
      </c>
      <c r="N11" s="43" t="s">
        <v>55</v>
      </c>
      <c r="O11" s="59" t="s">
        <v>68</v>
      </c>
      <c r="P11" s="45" t="s">
        <v>404</v>
      </c>
      <c r="Q11" s="44" t="s">
        <v>409</v>
      </c>
    </row>
    <row r="12" ht="39.75" customHeight="1">
      <c r="A12" s="94" t="s">
        <v>717</v>
      </c>
      <c r="B12" s="96" t="s">
        <v>60</v>
      </c>
      <c r="C12" s="94" t="s">
        <v>369</v>
      </c>
      <c r="D12" s="97" t="s">
        <v>370</v>
      </c>
      <c r="E12" s="97" t="s">
        <v>1688</v>
      </c>
      <c r="F12" s="97" t="s">
        <v>148</v>
      </c>
      <c r="G12" s="97" t="s">
        <v>106</v>
      </c>
      <c r="H12" s="97" t="s">
        <v>151</v>
      </c>
      <c r="I12" s="96"/>
      <c r="J12" s="100" t="s">
        <v>373</v>
      </c>
      <c r="K12" s="101" t="s">
        <v>374</v>
      </c>
      <c r="L12" s="88" t="s">
        <v>63</v>
      </c>
      <c r="M12" s="50" t="s">
        <v>64</v>
      </c>
      <c r="N12" s="43" t="s">
        <v>55</v>
      </c>
      <c r="O12" s="105" t="s">
        <v>68</v>
      </c>
      <c r="P12" s="101" t="s">
        <v>706</v>
      </c>
      <c r="Q12" s="107" t="s">
        <v>709</v>
      </c>
    </row>
    <row r="13" ht="31.5" customHeight="1">
      <c r="A13" s="73" t="s">
        <v>1530</v>
      </c>
      <c r="B13" s="75" t="s">
        <v>1531</v>
      </c>
      <c r="C13" s="73" t="s">
        <v>369</v>
      </c>
      <c r="D13" s="77" t="s">
        <v>370</v>
      </c>
      <c r="E13" s="77" t="s">
        <v>1688</v>
      </c>
      <c r="F13" s="77" t="s">
        <v>148</v>
      </c>
      <c r="G13" s="77" t="s">
        <v>106</v>
      </c>
      <c r="H13" s="77" t="s">
        <v>151</v>
      </c>
      <c r="I13" s="75"/>
      <c r="J13" s="81" t="s">
        <v>373</v>
      </c>
      <c r="K13" s="45" t="s">
        <v>374</v>
      </c>
      <c r="L13" s="140" t="s">
        <v>52</v>
      </c>
      <c r="M13" s="86" t="s">
        <v>164</v>
      </c>
      <c r="N13" s="43" t="s">
        <v>55</v>
      </c>
      <c r="O13" s="115" t="s">
        <v>56</v>
      </c>
      <c r="P13" s="45" t="s">
        <v>1533</v>
      </c>
      <c r="Q13" s="44"/>
    </row>
    <row r="14" ht="39.75" customHeight="1">
      <c r="A14" s="94" t="s">
        <v>720</v>
      </c>
      <c r="B14" s="96" t="s">
        <v>60</v>
      </c>
      <c r="C14" s="94" t="s">
        <v>369</v>
      </c>
      <c r="D14" s="97" t="s">
        <v>370</v>
      </c>
      <c r="E14" s="97" t="s">
        <v>1688</v>
      </c>
      <c r="F14" s="97" t="s">
        <v>148</v>
      </c>
      <c r="G14" s="97" t="s">
        <v>106</v>
      </c>
      <c r="H14" s="97" t="s">
        <v>151</v>
      </c>
      <c r="I14" s="96"/>
      <c r="J14" s="100" t="s">
        <v>373</v>
      </c>
      <c r="K14" s="101" t="s">
        <v>374</v>
      </c>
      <c r="L14" s="140" t="s">
        <v>52</v>
      </c>
      <c r="M14" s="86" t="s">
        <v>164</v>
      </c>
      <c r="N14" s="43" t="s">
        <v>55</v>
      </c>
      <c r="O14" s="105" t="s">
        <v>68</v>
      </c>
      <c r="P14" s="101" t="s">
        <v>706</v>
      </c>
      <c r="Q14" s="107" t="s">
        <v>709</v>
      </c>
    </row>
    <row r="15" ht="31.5" customHeight="1">
      <c r="A15" s="73" t="s">
        <v>1546</v>
      </c>
      <c r="B15" s="75" t="s">
        <v>1541</v>
      </c>
      <c r="C15" s="73" t="s">
        <v>369</v>
      </c>
      <c r="D15" s="77" t="s">
        <v>370</v>
      </c>
      <c r="E15" s="77" t="s">
        <v>1688</v>
      </c>
      <c r="F15" s="77" t="s">
        <v>148</v>
      </c>
      <c r="G15" s="77" t="s">
        <v>106</v>
      </c>
      <c r="H15" s="77" t="s">
        <v>151</v>
      </c>
      <c r="I15" s="75"/>
      <c r="J15" s="81" t="s">
        <v>373</v>
      </c>
      <c r="K15" s="45" t="s">
        <v>374</v>
      </c>
      <c r="L15" s="125" t="s">
        <v>92</v>
      </c>
      <c r="M15" s="86" t="s">
        <v>164</v>
      </c>
      <c r="N15" s="43" t="s">
        <v>55</v>
      </c>
      <c r="O15" s="59" t="s">
        <v>166</v>
      </c>
      <c r="P15" s="45" t="s">
        <v>1543</v>
      </c>
      <c r="Q15" s="44" t="s">
        <v>1545</v>
      </c>
    </row>
    <row r="16" ht="39.75" customHeight="1">
      <c r="A16" s="94" t="s">
        <v>596</v>
      </c>
      <c r="B16" s="96" t="s">
        <v>51</v>
      </c>
      <c r="C16" s="94" t="s">
        <v>369</v>
      </c>
      <c r="D16" s="97" t="s">
        <v>370</v>
      </c>
      <c r="E16" s="97" t="s">
        <v>1688</v>
      </c>
      <c r="F16" s="97" t="s">
        <v>148</v>
      </c>
      <c r="G16" s="97" t="s">
        <v>106</v>
      </c>
      <c r="H16" s="97" t="s">
        <v>151</v>
      </c>
      <c r="I16" s="96"/>
      <c r="J16" s="100" t="s">
        <v>373</v>
      </c>
      <c r="K16" s="101" t="s">
        <v>374</v>
      </c>
      <c r="L16" s="125" t="s">
        <v>92</v>
      </c>
      <c r="M16" s="50" t="s">
        <v>64</v>
      </c>
      <c r="N16" s="43" t="s">
        <v>55</v>
      </c>
      <c r="O16" s="105" t="s">
        <v>68</v>
      </c>
      <c r="P16" s="101" t="s">
        <v>550</v>
      </c>
      <c r="Q16" s="107" t="s">
        <v>552</v>
      </c>
    </row>
    <row r="17" ht="31.5" customHeight="1">
      <c r="A17" s="73" t="s">
        <v>1557</v>
      </c>
      <c r="B17" s="75" t="s">
        <v>1553</v>
      </c>
      <c r="C17" s="73" t="s">
        <v>369</v>
      </c>
      <c r="D17" s="77" t="s">
        <v>370</v>
      </c>
      <c r="E17" s="77" t="s">
        <v>1688</v>
      </c>
      <c r="F17" s="77" t="s">
        <v>148</v>
      </c>
      <c r="G17" s="77" t="s">
        <v>106</v>
      </c>
      <c r="H17" s="77" t="s">
        <v>151</v>
      </c>
      <c r="I17" s="75"/>
      <c r="J17" s="81" t="s">
        <v>373</v>
      </c>
      <c r="K17" s="45" t="s">
        <v>374</v>
      </c>
      <c r="L17" s="140" t="s">
        <v>52</v>
      </c>
      <c r="M17" s="79" t="s">
        <v>150</v>
      </c>
      <c r="N17" s="43" t="s">
        <v>55</v>
      </c>
      <c r="O17" s="59" t="s">
        <v>166</v>
      </c>
      <c r="P17" s="45" t="s">
        <v>1555</v>
      </c>
      <c r="Q17" s="44" t="s">
        <v>1556</v>
      </c>
    </row>
    <row r="18" ht="39.75" customHeight="1">
      <c r="A18" s="94" t="s">
        <v>1572</v>
      </c>
      <c r="B18" s="96" t="s">
        <v>1563</v>
      </c>
      <c r="C18" s="94" t="s">
        <v>369</v>
      </c>
      <c r="D18" s="97" t="s">
        <v>370</v>
      </c>
      <c r="E18" s="97" t="s">
        <v>1688</v>
      </c>
      <c r="F18" s="97" t="s">
        <v>148</v>
      </c>
      <c r="G18" s="97" t="s">
        <v>106</v>
      </c>
      <c r="H18" s="97" t="s">
        <v>151</v>
      </c>
      <c r="I18" s="96"/>
      <c r="J18" s="100" t="s">
        <v>373</v>
      </c>
      <c r="K18" s="101" t="s">
        <v>374</v>
      </c>
      <c r="L18" s="88" t="s">
        <v>63</v>
      </c>
      <c r="M18" s="50" t="s">
        <v>64</v>
      </c>
      <c r="N18" s="43" t="s">
        <v>55</v>
      </c>
      <c r="O18" s="105" t="s">
        <v>68</v>
      </c>
      <c r="P18" s="101" t="s">
        <v>1565</v>
      </c>
      <c r="Q18" s="107" t="s">
        <v>1573</v>
      </c>
    </row>
    <row r="19" ht="31.5" customHeight="1">
      <c r="A19" s="73" t="s">
        <v>1558</v>
      </c>
      <c r="B19" s="75" t="s">
        <v>1553</v>
      </c>
      <c r="C19" s="73" t="s">
        <v>369</v>
      </c>
      <c r="D19" s="77" t="s">
        <v>370</v>
      </c>
      <c r="E19" s="77" t="s">
        <v>1688</v>
      </c>
      <c r="F19" s="77" t="s">
        <v>148</v>
      </c>
      <c r="G19" s="77" t="s">
        <v>106</v>
      </c>
      <c r="H19" s="77" t="s">
        <v>151</v>
      </c>
      <c r="I19" s="75"/>
      <c r="J19" s="81" t="s">
        <v>373</v>
      </c>
      <c r="K19" s="45" t="s">
        <v>374</v>
      </c>
      <c r="L19" s="88" t="s">
        <v>63</v>
      </c>
      <c r="M19" s="41" t="s">
        <v>52</v>
      </c>
      <c r="N19" s="43" t="s">
        <v>55</v>
      </c>
      <c r="O19" s="59" t="s">
        <v>166</v>
      </c>
      <c r="P19" s="45" t="s">
        <v>1555</v>
      </c>
      <c r="Q19" s="44" t="s">
        <v>1556</v>
      </c>
    </row>
    <row r="20" ht="39.75" customHeight="1">
      <c r="A20" s="94" t="s">
        <v>627</v>
      </c>
      <c r="B20" s="96" t="s">
        <v>51</v>
      </c>
      <c r="C20" s="94" t="s">
        <v>369</v>
      </c>
      <c r="D20" s="97" t="s">
        <v>370</v>
      </c>
      <c r="E20" s="97" t="s">
        <v>1688</v>
      </c>
      <c r="F20" s="97" t="s">
        <v>148</v>
      </c>
      <c r="G20" s="97" t="s">
        <v>106</v>
      </c>
      <c r="H20" s="97" t="s">
        <v>151</v>
      </c>
      <c r="I20" s="96"/>
      <c r="J20" s="100" t="s">
        <v>373</v>
      </c>
      <c r="K20" s="101" t="s">
        <v>374</v>
      </c>
      <c r="L20" s="125" t="s">
        <v>92</v>
      </c>
      <c r="M20" s="86" t="s">
        <v>164</v>
      </c>
      <c r="N20" s="43" t="s">
        <v>55</v>
      </c>
      <c r="O20" s="105" t="s">
        <v>68</v>
      </c>
      <c r="P20" s="101" t="s">
        <v>550</v>
      </c>
      <c r="Q20" s="107" t="s">
        <v>552</v>
      </c>
    </row>
    <row r="21" ht="31.5" customHeight="1">
      <c r="A21" s="73" t="s">
        <v>1579</v>
      </c>
      <c r="B21" s="75" t="s">
        <v>1580</v>
      </c>
      <c r="C21" s="73" t="s">
        <v>369</v>
      </c>
      <c r="D21" s="77" t="s">
        <v>370</v>
      </c>
      <c r="E21" s="77" t="s">
        <v>1688</v>
      </c>
      <c r="F21" s="77" t="s">
        <v>148</v>
      </c>
      <c r="G21" s="77" t="s">
        <v>106</v>
      </c>
      <c r="H21" s="77" t="s">
        <v>151</v>
      </c>
      <c r="I21" s="75"/>
      <c r="J21" s="81" t="s">
        <v>373</v>
      </c>
      <c r="K21" s="45" t="s">
        <v>374</v>
      </c>
      <c r="L21" s="137" t="s">
        <v>164</v>
      </c>
      <c r="M21" s="50" t="s">
        <v>64</v>
      </c>
      <c r="N21" s="43" t="s">
        <v>55</v>
      </c>
      <c r="O21" s="115" t="s">
        <v>56</v>
      </c>
      <c r="P21" s="45" t="s">
        <v>1582</v>
      </c>
      <c r="Q21" s="44" t="s">
        <v>1583</v>
      </c>
    </row>
    <row r="22" ht="39.75" customHeight="1">
      <c r="A22" s="94" t="s">
        <v>940</v>
      </c>
      <c r="B22" s="96" t="s">
        <v>66</v>
      </c>
      <c r="C22" s="94" t="s">
        <v>369</v>
      </c>
      <c r="D22" s="97" t="s">
        <v>370</v>
      </c>
      <c r="E22" s="97" t="s">
        <v>1688</v>
      </c>
      <c r="F22" s="97" t="s">
        <v>148</v>
      </c>
      <c r="G22" s="97" t="s">
        <v>106</v>
      </c>
      <c r="H22" s="97" t="s">
        <v>151</v>
      </c>
      <c r="I22" s="96"/>
      <c r="J22" s="100" t="s">
        <v>373</v>
      </c>
      <c r="K22" s="101" t="s">
        <v>374</v>
      </c>
      <c r="L22" s="88" t="s">
        <v>63</v>
      </c>
      <c r="M22" s="41" t="s">
        <v>52</v>
      </c>
      <c r="N22" s="43" t="s">
        <v>55</v>
      </c>
      <c r="O22" s="105" t="s">
        <v>68</v>
      </c>
      <c r="P22" s="101" t="s">
        <v>891</v>
      </c>
      <c r="Q22" s="107" t="s">
        <v>893</v>
      </c>
    </row>
    <row r="23" ht="39.75" customHeight="1">
      <c r="A23" s="73" t="s">
        <v>941</v>
      </c>
      <c r="B23" s="75" t="s">
        <v>66</v>
      </c>
      <c r="C23" s="73" t="s">
        <v>369</v>
      </c>
      <c r="D23" s="77" t="s">
        <v>370</v>
      </c>
      <c r="E23" s="77" t="s">
        <v>1688</v>
      </c>
      <c r="F23" s="77" t="s">
        <v>148</v>
      </c>
      <c r="G23" s="77" t="s">
        <v>106</v>
      </c>
      <c r="H23" s="77" t="s">
        <v>151</v>
      </c>
      <c r="I23" s="75"/>
      <c r="J23" s="81" t="s">
        <v>373</v>
      </c>
      <c r="K23" s="45" t="s">
        <v>374</v>
      </c>
      <c r="L23" s="88" t="s">
        <v>63</v>
      </c>
      <c r="M23" s="50" t="s">
        <v>64</v>
      </c>
      <c r="N23" s="43" t="s">
        <v>55</v>
      </c>
      <c r="O23" s="59" t="s">
        <v>68</v>
      </c>
      <c r="P23" s="45" t="s">
        <v>891</v>
      </c>
      <c r="Q23" s="44" t="s">
        <v>893</v>
      </c>
    </row>
    <row r="24" ht="31.5" customHeight="1">
      <c r="A24" s="94" t="s">
        <v>258</v>
      </c>
      <c r="B24" s="96" t="s">
        <v>24</v>
      </c>
      <c r="C24" s="94" t="s">
        <v>369</v>
      </c>
      <c r="D24" s="97" t="s">
        <v>370</v>
      </c>
      <c r="E24" s="97" t="s">
        <v>1688</v>
      </c>
      <c r="F24" s="97" t="s">
        <v>148</v>
      </c>
      <c r="G24" s="97" t="s">
        <v>106</v>
      </c>
      <c r="H24" s="97" t="s">
        <v>151</v>
      </c>
      <c r="I24" s="96"/>
      <c r="J24" s="100" t="s">
        <v>373</v>
      </c>
      <c r="K24" s="101" t="s">
        <v>374</v>
      </c>
      <c r="L24" s="88" t="s">
        <v>63</v>
      </c>
      <c r="M24" s="50" t="s">
        <v>64</v>
      </c>
      <c r="N24" s="43" t="s">
        <v>55</v>
      </c>
      <c r="O24" s="124" t="s">
        <v>56</v>
      </c>
      <c r="P24" s="101" t="s">
        <v>261</v>
      </c>
      <c r="Q24" s="107" t="s">
        <v>262</v>
      </c>
    </row>
    <row r="25" ht="31.5" customHeight="1">
      <c r="A25" s="73" t="s">
        <v>270</v>
      </c>
      <c r="B25" s="75" t="s">
        <v>24</v>
      </c>
      <c r="C25" s="73" t="s">
        <v>369</v>
      </c>
      <c r="D25" s="77" t="s">
        <v>370</v>
      </c>
      <c r="E25" s="77" t="s">
        <v>1688</v>
      </c>
      <c r="F25" s="77" t="s">
        <v>148</v>
      </c>
      <c r="G25" s="77" t="s">
        <v>106</v>
      </c>
      <c r="H25" s="77" t="s">
        <v>151</v>
      </c>
      <c r="I25" s="75"/>
      <c r="J25" s="81" t="s">
        <v>373</v>
      </c>
      <c r="K25" s="45" t="s">
        <v>374</v>
      </c>
      <c r="L25" s="126" t="s">
        <v>78</v>
      </c>
      <c r="M25" s="50" t="s">
        <v>64</v>
      </c>
      <c r="N25" s="43" t="s">
        <v>55</v>
      </c>
      <c r="O25" s="59" t="s">
        <v>68</v>
      </c>
      <c r="P25" s="45" t="s">
        <v>70</v>
      </c>
      <c r="Q25" s="44" t="s">
        <v>74</v>
      </c>
    </row>
    <row r="26" ht="39.75" customHeight="1">
      <c r="A26" s="94" t="s">
        <v>275</v>
      </c>
      <c r="B26" s="96" t="s">
        <v>24</v>
      </c>
      <c r="C26" s="94" t="s">
        <v>369</v>
      </c>
      <c r="D26" s="97" t="s">
        <v>370</v>
      </c>
      <c r="E26" s="97" t="s">
        <v>1688</v>
      </c>
      <c r="F26" s="97" t="s">
        <v>148</v>
      </c>
      <c r="G26" s="97" t="s">
        <v>106</v>
      </c>
      <c r="H26" s="97" t="s">
        <v>151</v>
      </c>
      <c r="I26" s="96"/>
      <c r="J26" s="100" t="s">
        <v>373</v>
      </c>
      <c r="K26" s="101" t="s">
        <v>374</v>
      </c>
      <c r="L26" s="88" t="s">
        <v>63</v>
      </c>
      <c r="M26" s="50" t="s">
        <v>64</v>
      </c>
      <c r="N26" s="43" t="s">
        <v>55</v>
      </c>
      <c r="O26" s="105" t="s">
        <v>68</v>
      </c>
      <c r="P26" s="101" t="s">
        <v>70</v>
      </c>
      <c r="Q26" s="107" t="s">
        <v>277</v>
      </c>
    </row>
    <row r="27" ht="39.75" customHeight="1">
      <c r="A27" s="73" t="s">
        <v>652</v>
      </c>
      <c r="B27" s="75" t="s">
        <v>51</v>
      </c>
      <c r="C27" s="73" t="s">
        <v>369</v>
      </c>
      <c r="D27" s="77" t="s">
        <v>370</v>
      </c>
      <c r="E27" s="77" t="s">
        <v>1688</v>
      </c>
      <c r="F27" s="77" t="s">
        <v>148</v>
      </c>
      <c r="G27" s="77" t="s">
        <v>106</v>
      </c>
      <c r="H27" s="77" t="s">
        <v>151</v>
      </c>
      <c r="I27" s="75"/>
      <c r="J27" s="81" t="s">
        <v>373</v>
      </c>
      <c r="K27" s="45" t="s">
        <v>374</v>
      </c>
      <c r="L27" s="126" t="s">
        <v>78</v>
      </c>
      <c r="M27" s="50" t="s">
        <v>64</v>
      </c>
      <c r="N27" s="43" t="s">
        <v>55</v>
      </c>
      <c r="O27" s="59" t="s">
        <v>68</v>
      </c>
      <c r="P27" s="45" t="s">
        <v>550</v>
      </c>
      <c r="Q27" s="44" t="s">
        <v>552</v>
      </c>
    </row>
    <row r="28" ht="39.75" customHeight="1">
      <c r="A28" s="94" t="s">
        <v>966</v>
      </c>
      <c r="B28" s="96" t="s">
        <v>66</v>
      </c>
      <c r="C28" s="94" t="s">
        <v>369</v>
      </c>
      <c r="D28" s="97" t="s">
        <v>370</v>
      </c>
      <c r="E28" s="97" t="s">
        <v>1688</v>
      </c>
      <c r="F28" s="97" t="s">
        <v>148</v>
      </c>
      <c r="G28" s="97" t="s">
        <v>106</v>
      </c>
      <c r="H28" s="97" t="s">
        <v>151</v>
      </c>
      <c r="I28" s="96"/>
      <c r="J28" s="100" t="s">
        <v>373</v>
      </c>
      <c r="K28" s="101" t="s">
        <v>374</v>
      </c>
      <c r="L28" s="125" t="s">
        <v>92</v>
      </c>
      <c r="M28" s="49" t="s">
        <v>63</v>
      </c>
      <c r="N28" s="43" t="s">
        <v>55</v>
      </c>
      <c r="O28" s="105" t="s">
        <v>68</v>
      </c>
      <c r="P28" s="101" t="s">
        <v>891</v>
      </c>
      <c r="Q28" s="107" t="s">
        <v>967</v>
      </c>
    </row>
    <row r="29" ht="31.5" customHeight="1">
      <c r="A29" s="73" t="s">
        <v>1595</v>
      </c>
      <c r="B29" s="75" t="s">
        <v>1591</v>
      </c>
      <c r="C29" s="73" t="s">
        <v>369</v>
      </c>
      <c r="D29" s="77" t="s">
        <v>370</v>
      </c>
      <c r="E29" s="77" t="s">
        <v>1688</v>
      </c>
      <c r="F29" s="77" t="s">
        <v>148</v>
      </c>
      <c r="G29" s="77" t="s">
        <v>106</v>
      </c>
      <c r="H29" s="77" t="s">
        <v>151</v>
      </c>
      <c r="I29" s="75"/>
      <c r="J29" s="81" t="s">
        <v>373</v>
      </c>
      <c r="K29" s="45" t="s">
        <v>374</v>
      </c>
      <c r="L29" s="125" t="s">
        <v>92</v>
      </c>
      <c r="M29" s="50" t="s">
        <v>64</v>
      </c>
      <c r="N29" s="43" t="s">
        <v>55</v>
      </c>
      <c r="O29" s="59" t="s">
        <v>68</v>
      </c>
      <c r="P29" s="45" t="s">
        <v>1593</v>
      </c>
      <c r="Q29" s="44" t="s">
        <v>1566</v>
      </c>
    </row>
    <row r="30" ht="39.75" customHeight="1">
      <c r="A30" s="94" t="s">
        <v>1578</v>
      </c>
      <c r="B30" s="96" t="s">
        <v>1563</v>
      </c>
      <c r="C30" s="94" t="s">
        <v>369</v>
      </c>
      <c r="D30" s="97" t="s">
        <v>370</v>
      </c>
      <c r="E30" s="97" t="s">
        <v>1688</v>
      </c>
      <c r="F30" s="97" t="s">
        <v>148</v>
      </c>
      <c r="G30" s="97" t="s">
        <v>106</v>
      </c>
      <c r="H30" s="97" t="s">
        <v>151</v>
      </c>
      <c r="I30" s="96"/>
      <c r="J30" s="100" t="s">
        <v>373</v>
      </c>
      <c r="K30" s="101" t="s">
        <v>374</v>
      </c>
      <c r="L30" s="88" t="s">
        <v>63</v>
      </c>
      <c r="M30" s="50" t="s">
        <v>64</v>
      </c>
      <c r="N30" s="43" t="s">
        <v>55</v>
      </c>
      <c r="O30" s="105" t="s">
        <v>68</v>
      </c>
      <c r="P30" s="101" t="s">
        <v>1565</v>
      </c>
      <c r="Q30" s="107" t="s">
        <v>1573</v>
      </c>
    </row>
    <row r="31" ht="31.5" customHeight="1">
      <c r="A31" s="73" t="s">
        <v>763</v>
      </c>
      <c r="B31" s="75" t="s">
        <v>60</v>
      </c>
      <c r="C31" s="73" t="s">
        <v>369</v>
      </c>
      <c r="D31" s="77" t="s">
        <v>370</v>
      </c>
      <c r="E31" s="77" t="s">
        <v>1688</v>
      </c>
      <c r="F31" s="77" t="s">
        <v>148</v>
      </c>
      <c r="G31" s="77" t="s">
        <v>106</v>
      </c>
      <c r="H31" s="77" t="s">
        <v>151</v>
      </c>
      <c r="I31" s="75"/>
      <c r="J31" s="81" t="s">
        <v>373</v>
      </c>
      <c r="K31" s="45" t="s">
        <v>374</v>
      </c>
      <c r="L31" s="88" t="s">
        <v>63</v>
      </c>
      <c r="M31" s="50" t="s">
        <v>64</v>
      </c>
      <c r="N31" s="43" t="s">
        <v>55</v>
      </c>
      <c r="O31" s="115" t="s">
        <v>56</v>
      </c>
      <c r="P31" s="45" t="s">
        <v>768</v>
      </c>
      <c r="Q31" s="44"/>
    </row>
    <row r="32" ht="39.75" customHeight="1">
      <c r="A32" s="94" t="s">
        <v>443</v>
      </c>
      <c r="B32" s="96" t="s">
        <v>39</v>
      </c>
      <c r="C32" s="94" t="s">
        <v>369</v>
      </c>
      <c r="D32" s="97" t="s">
        <v>370</v>
      </c>
      <c r="E32" s="97" t="s">
        <v>1688</v>
      </c>
      <c r="F32" s="97" t="s">
        <v>148</v>
      </c>
      <c r="G32" s="97" t="s">
        <v>106</v>
      </c>
      <c r="H32" s="97" t="s">
        <v>151</v>
      </c>
      <c r="I32" s="96"/>
      <c r="J32" s="100" t="s">
        <v>373</v>
      </c>
      <c r="K32" s="101" t="s">
        <v>374</v>
      </c>
      <c r="L32" s="148" t="s">
        <v>199</v>
      </c>
      <c r="M32" s="50" t="s">
        <v>64</v>
      </c>
      <c r="N32" s="43" t="s">
        <v>55</v>
      </c>
      <c r="O32" s="105" t="s">
        <v>68</v>
      </c>
      <c r="P32" s="101" t="s">
        <v>404</v>
      </c>
      <c r="Q32" s="107" t="s">
        <v>409</v>
      </c>
    </row>
    <row r="33" ht="39.75" customHeight="1">
      <c r="A33" s="73" t="s">
        <v>446</v>
      </c>
      <c r="B33" s="75" t="s">
        <v>39</v>
      </c>
      <c r="C33" s="73" t="s">
        <v>369</v>
      </c>
      <c r="D33" s="77" t="s">
        <v>370</v>
      </c>
      <c r="E33" s="77" t="s">
        <v>1688</v>
      </c>
      <c r="F33" s="77" t="s">
        <v>148</v>
      </c>
      <c r="G33" s="77" t="s">
        <v>106</v>
      </c>
      <c r="H33" s="77" t="s">
        <v>151</v>
      </c>
      <c r="I33" s="75"/>
      <c r="J33" s="81" t="s">
        <v>373</v>
      </c>
      <c r="K33" s="45" t="s">
        <v>374</v>
      </c>
      <c r="L33" s="127" t="s">
        <v>64</v>
      </c>
      <c r="M33" s="152" t="s">
        <v>218</v>
      </c>
      <c r="N33" s="43" t="s">
        <v>55</v>
      </c>
      <c r="O33" s="59" t="s">
        <v>68</v>
      </c>
      <c r="P33" s="45" t="s">
        <v>404</v>
      </c>
      <c r="Q33" s="44" t="s">
        <v>409</v>
      </c>
    </row>
    <row r="34" ht="39.75" customHeight="1">
      <c r="A34" s="94" t="s">
        <v>659</v>
      </c>
      <c r="B34" s="96" t="s">
        <v>51</v>
      </c>
      <c r="C34" s="94" t="s">
        <v>369</v>
      </c>
      <c r="D34" s="97" t="s">
        <v>370</v>
      </c>
      <c r="E34" s="97" t="s">
        <v>1688</v>
      </c>
      <c r="F34" s="97" t="s">
        <v>148</v>
      </c>
      <c r="G34" s="97" t="s">
        <v>106</v>
      </c>
      <c r="H34" s="97" t="s">
        <v>151</v>
      </c>
      <c r="I34" s="96"/>
      <c r="J34" s="100" t="s">
        <v>373</v>
      </c>
      <c r="K34" s="101" t="s">
        <v>374</v>
      </c>
      <c r="L34" s="163" t="s">
        <v>176</v>
      </c>
      <c r="M34" s="164" t="s">
        <v>196</v>
      </c>
      <c r="N34" s="43" t="s">
        <v>55</v>
      </c>
      <c r="O34" s="105" t="s">
        <v>68</v>
      </c>
      <c r="P34" s="101" t="s">
        <v>550</v>
      </c>
      <c r="Q34" s="107" t="s">
        <v>552</v>
      </c>
    </row>
    <row r="35" ht="31.5" customHeight="1">
      <c r="A35" s="73" t="s">
        <v>1598</v>
      </c>
      <c r="B35" s="75" t="s">
        <v>1599</v>
      </c>
      <c r="C35" s="73" t="s">
        <v>369</v>
      </c>
      <c r="D35" s="77" t="s">
        <v>370</v>
      </c>
      <c r="E35" s="77" t="s">
        <v>1688</v>
      </c>
      <c r="F35" s="77" t="s">
        <v>148</v>
      </c>
      <c r="G35" s="77" t="s">
        <v>106</v>
      </c>
      <c r="H35" s="77" t="s">
        <v>151</v>
      </c>
      <c r="I35" s="75"/>
      <c r="J35" s="81" t="s">
        <v>373</v>
      </c>
      <c r="K35" s="45" t="s">
        <v>374</v>
      </c>
      <c r="L35" s="137" t="s">
        <v>164</v>
      </c>
      <c r="M35" s="162" t="s">
        <v>212</v>
      </c>
      <c r="N35" s="43" t="s">
        <v>55</v>
      </c>
      <c r="O35" s="115" t="s">
        <v>56</v>
      </c>
      <c r="P35" s="45" t="s">
        <v>1601</v>
      </c>
      <c r="Q35" s="44" t="s">
        <v>1602</v>
      </c>
    </row>
    <row r="36" ht="31.5" customHeight="1">
      <c r="A36" s="94" t="s">
        <v>1603</v>
      </c>
      <c r="B36" s="96" t="s">
        <v>1604</v>
      </c>
      <c r="C36" s="94" t="s">
        <v>369</v>
      </c>
      <c r="D36" s="97" t="s">
        <v>370</v>
      </c>
      <c r="E36" s="97" t="s">
        <v>1688</v>
      </c>
      <c r="F36" s="97" t="s">
        <v>148</v>
      </c>
      <c r="G36" s="97" t="s">
        <v>106</v>
      </c>
      <c r="H36" s="97" t="s">
        <v>151</v>
      </c>
      <c r="I36" s="96"/>
      <c r="J36" s="100" t="s">
        <v>373</v>
      </c>
      <c r="K36" s="101" t="s">
        <v>374</v>
      </c>
      <c r="L36" s="153" t="s">
        <v>210</v>
      </c>
      <c r="M36" s="86" t="s">
        <v>164</v>
      </c>
      <c r="N36" s="43" t="s">
        <v>55</v>
      </c>
      <c r="O36" s="124" t="s">
        <v>56</v>
      </c>
      <c r="P36" s="101" t="s">
        <v>1606</v>
      </c>
      <c r="Q36" s="107"/>
    </row>
    <row r="37" ht="31.5" customHeight="1">
      <c r="A37" s="73" t="s">
        <v>1611</v>
      </c>
      <c r="B37" s="75" t="s">
        <v>1608</v>
      </c>
      <c r="C37" s="73" t="s">
        <v>369</v>
      </c>
      <c r="D37" s="77" t="s">
        <v>370</v>
      </c>
      <c r="E37" s="77" t="s">
        <v>1688</v>
      </c>
      <c r="F37" s="77" t="s">
        <v>148</v>
      </c>
      <c r="G37" s="77" t="s">
        <v>106</v>
      </c>
      <c r="H37" s="77" t="s">
        <v>151</v>
      </c>
      <c r="I37" s="75"/>
      <c r="J37" s="81" t="s">
        <v>373</v>
      </c>
      <c r="K37" s="45" t="s">
        <v>374</v>
      </c>
      <c r="L37" s="88" t="s">
        <v>63</v>
      </c>
      <c r="M37" s="50" t="s">
        <v>64</v>
      </c>
      <c r="N37" s="43" t="s">
        <v>55</v>
      </c>
      <c r="O37" s="115" t="s">
        <v>56</v>
      </c>
      <c r="P37" s="45" t="s">
        <v>1613</v>
      </c>
      <c r="Q37" s="44"/>
    </row>
    <row r="38" ht="31.5" customHeight="1">
      <c r="A38" s="94" t="s">
        <v>1621</v>
      </c>
      <c r="B38" s="96" t="s">
        <v>1622</v>
      </c>
      <c r="C38" s="94" t="s">
        <v>369</v>
      </c>
      <c r="D38" s="97" t="s">
        <v>370</v>
      </c>
      <c r="E38" s="97" t="s">
        <v>1688</v>
      </c>
      <c r="F38" s="97" t="s">
        <v>148</v>
      </c>
      <c r="G38" s="97" t="s">
        <v>106</v>
      </c>
      <c r="H38" s="97" t="s">
        <v>151</v>
      </c>
      <c r="I38" s="96"/>
      <c r="J38" s="100" t="s">
        <v>373</v>
      </c>
      <c r="K38" s="101" t="s">
        <v>374</v>
      </c>
      <c r="L38" s="126" t="s">
        <v>78</v>
      </c>
      <c r="M38" s="50" t="s">
        <v>64</v>
      </c>
      <c r="N38" s="43" t="s">
        <v>55</v>
      </c>
      <c r="O38" s="124" t="s">
        <v>56</v>
      </c>
      <c r="P38" s="101" t="s">
        <v>1624</v>
      </c>
      <c r="Q38" s="107"/>
    </row>
    <row r="39" ht="31.5" customHeight="1">
      <c r="A39" s="73" t="s">
        <v>1596</v>
      </c>
      <c r="B39" s="75" t="s">
        <v>1591</v>
      </c>
      <c r="C39" s="73" t="s">
        <v>369</v>
      </c>
      <c r="D39" s="77" t="s">
        <v>370</v>
      </c>
      <c r="E39" s="77" t="s">
        <v>1688</v>
      </c>
      <c r="F39" s="77" t="s">
        <v>148</v>
      </c>
      <c r="G39" s="77" t="s">
        <v>106</v>
      </c>
      <c r="H39" s="77" t="s">
        <v>151</v>
      </c>
      <c r="I39" s="75"/>
      <c r="J39" s="81" t="s">
        <v>373</v>
      </c>
      <c r="K39" s="45" t="s">
        <v>374</v>
      </c>
      <c r="L39" s="148" t="s">
        <v>199</v>
      </c>
      <c r="M39" s="50" t="s">
        <v>64</v>
      </c>
      <c r="N39" s="43" t="s">
        <v>55</v>
      </c>
      <c r="O39" s="59" t="s">
        <v>68</v>
      </c>
      <c r="P39" s="45" t="s">
        <v>1593</v>
      </c>
      <c r="Q39" s="44" t="s">
        <v>1566</v>
      </c>
    </row>
    <row r="40" ht="39.75" customHeight="1">
      <c r="A40" s="94" t="s">
        <v>810</v>
      </c>
      <c r="B40" s="96" t="s">
        <v>60</v>
      </c>
      <c r="C40" s="94" t="s">
        <v>369</v>
      </c>
      <c r="D40" s="97" t="s">
        <v>370</v>
      </c>
      <c r="E40" s="97" t="s">
        <v>1688</v>
      </c>
      <c r="F40" s="97" t="s">
        <v>148</v>
      </c>
      <c r="G40" s="97" t="s">
        <v>106</v>
      </c>
      <c r="H40" s="97" t="s">
        <v>151</v>
      </c>
      <c r="I40" s="96"/>
      <c r="J40" s="100" t="s">
        <v>373</v>
      </c>
      <c r="K40" s="101" t="s">
        <v>374</v>
      </c>
      <c r="L40" s="127" t="s">
        <v>64</v>
      </c>
      <c r="M40" s="49" t="s">
        <v>63</v>
      </c>
      <c r="N40" s="43" t="s">
        <v>55</v>
      </c>
      <c r="O40" s="105" t="s">
        <v>68</v>
      </c>
      <c r="P40" s="101" t="s">
        <v>706</v>
      </c>
      <c r="Q40" s="107" t="s">
        <v>709</v>
      </c>
    </row>
    <row r="41" ht="31.5" customHeight="1">
      <c r="A41" s="73" t="s">
        <v>1539</v>
      </c>
      <c r="B41" s="75" t="s">
        <v>1531</v>
      </c>
      <c r="C41" s="73" t="s">
        <v>369</v>
      </c>
      <c r="D41" s="77" t="s">
        <v>370</v>
      </c>
      <c r="E41" s="77" t="s">
        <v>1688</v>
      </c>
      <c r="F41" s="77" t="s">
        <v>148</v>
      </c>
      <c r="G41" s="77" t="s">
        <v>106</v>
      </c>
      <c r="H41" s="77" t="s">
        <v>151</v>
      </c>
      <c r="I41" s="75"/>
      <c r="J41" s="81" t="s">
        <v>373</v>
      </c>
      <c r="K41" s="45" t="s">
        <v>374</v>
      </c>
      <c r="L41" s="125" t="s">
        <v>92</v>
      </c>
      <c r="M41" s="50" t="s">
        <v>64</v>
      </c>
      <c r="N41" s="43" t="s">
        <v>55</v>
      </c>
      <c r="O41" s="59" t="s">
        <v>68</v>
      </c>
      <c r="P41" s="45" t="s">
        <v>1536</v>
      </c>
      <c r="Q41" s="44" t="s">
        <v>1537</v>
      </c>
    </row>
    <row r="42" ht="39.75" customHeight="1">
      <c r="A42" s="94" t="s">
        <v>457</v>
      </c>
      <c r="B42" s="96" t="s">
        <v>39</v>
      </c>
      <c r="C42" s="94" t="s">
        <v>369</v>
      </c>
      <c r="D42" s="97" t="s">
        <v>370</v>
      </c>
      <c r="E42" s="97" t="s">
        <v>1688</v>
      </c>
      <c r="F42" s="97" t="s">
        <v>148</v>
      </c>
      <c r="G42" s="97" t="s">
        <v>106</v>
      </c>
      <c r="H42" s="97" t="s">
        <v>151</v>
      </c>
      <c r="I42" s="96"/>
      <c r="J42" s="100" t="s">
        <v>373</v>
      </c>
      <c r="K42" s="101" t="s">
        <v>374</v>
      </c>
      <c r="L42" s="140" t="s">
        <v>52</v>
      </c>
      <c r="M42" s="62" t="s">
        <v>92</v>
      </c>
      <c r="N42" s="43" t="s">
        <v>55</v>
      </c>
      <c r="O42" s="105" t="s">
        <v>68</v>
      </c>
      <c r="P42" s="101" t="s">
        <v>404</v>
      </c>
      <c r="Q42" s="107" t="s">
        <v>409</v>
      </c>
    </row>
    <row r="43" ht="30.0" customHeight="1">
      <c r="A43" s="73" t="s">
        <v>1540</v>
      </c>
      <c r="B43" s="75" t="s">
        <v>1541</v>
      </c>
      <c r="C43" s="73" t="s">
        <v>375</v>
      </c>
      <c r="D43" s="77" t="s">
        <v>370</v>
      </c>
      <c r="E43" s="77" t="s">
        <v>1688</v>
      </c>
      <c r="F43" s="77" t="s">
        <v>148</v>
      </c>
      <c r="G43" s="77" t="s">
        <v>106</v>
      </c>
      <c r="H43" s="77" t="s">
        <v>151</v>
      </c>
      <c r="I43" s="75"/>
      <c r="J43" s="81" t="s">
        <v>376</v>
      </c>
      <c r="K43" s="45" t="s">
        <v>377</v>
      </c>
      <c r="L43" s="185" t="s">
        <v>205</v>
      </c>
      <c r="M43" s="50" t="s">
        <v>64</v>
      </c>
      <c r="N43" s="43" t="s">
        <v>55</v>
      </c>
      <c r="O43" s="59" t="s">
        <v>166</v>
      </c>
      <c r="P43" s="45" t="s">
        <v>1543</v>
      </c>
      <c r="Q43" s="44" t="s">
        <v>1545</v>
      </c>
    </row>
    <row r="44" ht="30.0" customHeight="1">
      <c r="A44" s="94" t="s">
        <v>1625</v>
      </c>
      <c r="B44" s="96" t="s">
        <v>1626</v>
      </c>
      <c r="C44" s="94" t="s">
        <v>375</v>
      </c>
      <c r="D44" s="97" t="s">
        <v>370</v>
      </c>
      <c r="E44" s="97" t="s">
        <v>1688</v>
      </c>
      <c r="F44" s="97" t="s">
        <v>148</v>
      </c>
      <c r="G44" s="97" t="s">
        <v>106</v>
      </c>
      <c r="H44" s="97" t="s">
        <v>151</v>
      </c>
      <c r="I44" s="96"/>
      <c r="J44" s="100" t="s">
        <v>376</v>
      </c>
      <c r="K44" s="101" t="s">
        <v>377</v>
      </c>
      <c r="L44" s="127" t="s">
        <v>64</v>
      </c>
      <c r="M44" s="86" t="s">
        <v>164</v>
      </c>
      <c r="N44" s="43" t="s">
        <v>55</v>
      </c>
      <c r="O44" s="124" t="s">
        <v>56</v>
      </c>
      <c r="P44" s="101" t="s">
        <v>1628</v>
      </c>
      <c r="Q44" s="107"/>
    </row>
    <row r="45" ht="30.0" customHeight="1">
      <c r="A45" s="73" t="s">
        <v>1567</v>
      </c>
      <c r="B45" s="75" t="s">
        <v>1563</v>
      </c>
      <c r="C45" s="73" t="s">
        <v>375</v>
      </c>
      <c r="D45" s="77" t="s">
        <v>370</v>
      </c>
      <c r="E45" s="77" t="s">
        <v>1688</v>
      </c>
      <c r="F45" s="77" t="s">
        <v>148</v>
      </c>
      <c r="G45" s="77" t="s">
        <v>106</v>
      </c>
      <c r="H45" s="77" t="s">
        <v>151</v>
      </c>
      <c r="I45" s="75"/>
      <c r="J45" s="81" t="s">
        <v>376</v>
      </c>
      <c r="K45" s="45" t="s">
        <v>377</v>
      </c>
      <c r="L45" s="88" t="s">
        <v>63</v>
      </c>
      <c r="M45" s="50" t="s">
        <v>64</v>
      </c>
      <c r="N45" s="43" t="s">
        <v>55</v>
      </c>
      <c r="O45" s="59" t="s">
        <v>68</v>
      </c>
      <c r="P45" s="45" t="s">
        <v>1565</v>
      </c>
      <c r="Q45" s="44" t="s">
        <v>1566</v>
      </c>
    </row>
    <row r="46" ht="39.75" customHeight="1">
      <c r="A46" s="94" t="s">
        <v>710</v>
      </c>
      <c r="B46" s="96" t="s">
        <v>60</v>
      </c>
      <c r="C46" s="94" t="s">
        <v>375</v>
      </c>
      <c r="D46" s="97" t="s">
        <v>370</v>
      </c>
      <c r="E46" s="97" t="s">
        <v>1688</v>
      </c>
      <c r="F46" s="97" t="s">
        <v>148</v>
      </c>
      <c r="G46" s="97" t="s">
        <v>106</v>
      </c>
      <c r="H46" s="97" t="s">
        <v>151</v>
      </c>
      <c r="I46" s="96"/>
      <c r="J46" s="100" t="s">
        <v>376</v>
      </c>
      <c r="K46" s="101" t="s">
        <v>377</v>
      </c>
      <c r="L46" s="88" t="s">
        <v>63</v>
      </c>
      <c r="M46" s="86" t="s">
        <v>164</v>
      </c>
      <c r="N46" s="43" t="s">
        <v>55</v>
      </c>
      <c r="O46" s="105" t="s">
        <v>68</v>
      </c>
      <c r="P46" s="101" t="s">
        <v>706</v>
      </c>
      <c r="Q46" s="107" t="s">
        <v>709</v>
      </c>
    </row>
    <row r="47" ht="30.0" customHeight="1">
      <c r="A47" s="73" t="s">
        <v>1590</v>
      </c>
      <c r="B47" s="75" t="s">
        <v>1591</v>
      </c>
      <c r="C47" s="73" t="s">
        <v>375</v>
      </c>
      <c r="D47" s="77" t="s">
        <v>370</v>
      </c>
      <c r="E47" s="77" t="s">
        <v>1688</v>
      </c>
      <c r="F47" s="77" t="s">
        <v>148</v>
      </c>
      <c r="G47" s="77" t="s">
        <v>106</v>
      </c>
      <c r="H47" s="77" t="s">
        <v>151</v>
      </c>
      <c r="I47" s="75"/>
      <c r="J47" s="81" t="s">
        <v>376</v>
      </c>
      <c r="K47" s="45" t="s">
        <v>377</v>
      </c>
      <c r="L47" s="88" t="s">
        <v>63</v>
      </c>
      <c r="M47" s="50" t="s">
        <v>64</v>
      </c>
      <c r="N47" s="43" t="s">
        <v>55</v>
      </c>
      <c r="O47" s="59" t="s">
        <v>68</v>
      </c>
      <c r="P47" s="45" t="s">
        <v>1593</v>
      </c>
      <c r="Q47" s="44" t="s">
        <v>1566</v>
      </c>
    </row>
    <row r="48" ht="30.0" customHeight="1">
      <c r="A48" s="94" t="s">
        <v>1552</v>
      </c>
      <c r="B48" s="96" t="s">
        <v>1553</v>
      </c>
      <c r="C48" s="94" t="s">
        <v>375</v>
      </c>
      <c r="D48" s="97" t="s">
        <v>370</v>
      </c>
      <c r="E48" s="97" t="s">
        <v>1688</v>
      </c>
      <c r="F48" s="97" t="s">
        <v>148</v>
      </c>
      <c r="G48" s="97" t="s">
        <v>106</v>
      </c>
      <c r="H48" s="97" t="s">
        <v>151</v>
      </c>
      <c r="I48" s="96"/>
      <c r="J48" s="100" t="s">
        <v>376</v>
      </c>
      <c r="K48" s="101" t="s">
        <v>377</v>
      </c>
      <c r="L48" s="137" t="s">
        <v>164</v>
      </c>
      <c r="M48" s="50" t="s">
        <v>64</v>
      </c>
      <c r="N48" s="43" t="s">
        <v>55</v>
      </c>
      <c r="O48" s="105" t="s">
        <v>166</v>
      </c>
      <c r="P48" s="101" t="s">
        <v>1555</v>
      </c>
      <c r="Q48" s="107" t="s">
        <v>1556</v>
      </c>
    </row>
    <row r="49" ht="30.0" customHeight="1">
      <c r="A49" s="73" t="s">
        <v>161</v>
      </c>
      <c r="B49" s="75" t="s">
        <v>24</v>
      </c>
      <c r="C49" s="73" t="s">
        <v>375</v>
      </c>
      <c r="D49" s="77" t="s">
        <v>370</v>
      </c>
      <c r="E49" s="77" t="s">
        <v>1688</v>
      </c>
      <c r="F49" s="77" t="s">
        <v>148</v>
      </c>
      <c r="G49" s="77" t="s">
        <v>106</v>
      </c>
      <c r="H49" s="77" t="s">
        <v>151</v>
      </c>
      <c r="I49" s="75"/>
      <c r="J49" s="81" t="s">
        <v>376</v>
      </c>
      <c r="K49" s="45" t="s">
        <v>377</v>
      </c>
      <c r="L49" s="88" t="s">
        <v>63</v>
      </c>
      <c r="M49" s="86" t="s">
        <v>164</v>
      </c>
      <c r="N49" s="43" t="s">
        <v>55</v>
      </c>
      <c r="O49" s="115" t="s">
        <v>56</v>
      </c>
      <c r="P49" s="45" t="s">
        <v>168</v>
      </c>
      <c r="Q49" s="44"/>
    </row>
    <row r="50" ht="30.0" customHeight="1">
      <c r="A50" s="94" t="s">
        <v>1629</v>
      </c>
      <c r="B50" s="96" t="s">
        <v>1630</v>
      </c>
      <c r="C50" s="94" t="s">
        <v>375</v>
      </c>
      <c r="D50" s="97" t="s">
        <v>370</v>
      </c>
      <c r="E50" s="97" t="s">
        <v>1688</v>
      </c>
      <c r="F50" s="97" t="s">
        <v>148</v>
      </c>
      <c r="G50" s="97" t="s">
        <v>106</v>
      </c>
      <c r="H50" s="97" t="s">
        <v>151</v>
      </c>
      <c r="I50" s="96"/>
      <c r="J50" s="100" t="s">
        <v>376</v>
      </c>
      <c r="K50" s="101" t="s">
        <v>377</v>
      </c>
      <c r="L50" s="125" t="s">
        <v>92</v>
      </c>
      <c r="M50" s="41" t="s">
        <v>52</v>
      </c>
      <c r="N50" s="43" t="s">
        <v>55</v>
      </c>
      <c r="O50" s="124" t="s">
        <v>56</v>
      </c>
      <c r="P50" s="101" t="s">
        <v>1632</v>
      </c>
      <c r="Q50" s="107"/>
    </row>
    <row r="51" ht="39.75" customHeight="1">
      <c r="A51" s="73" t="s">
        <v>414</v>
      </c>
      <c r="B51" s="75" t="s">
        <v>39</v>
      </c>
      <c r="C51" s="73" t="s">
        <v>375</v>
      </c>
      <c r="D51" s="77" t="s">
        <v>370</v>
      </c>
      <c r="E51" s="77" t="s">
        <v>1688</v>
      </c>
      <c r="F51" s="77" t="s">
        <v>148</v>
      </c>
      <c r="G51" s="77" t="s">
        <v>106</v>
      </c>
      <c r="H51" s="77" t="s">
        <v>151</v>
      </c>
      <c r="I51" s="75"/>
      <c r="J51" s="81" t="s">
        <v>376</v>
      </c>
      <c r="K51" s="45" t="s">
        <v>377</v>
      </c>
      <c r="L51" s="126" t="s">
        <v>78</v>
      </c>
      <c r="M51" s="50" t="s">
        <v>64</v>
      </c>
      <c r="N51" s="43" t="s">
        <v>55</v>
      </c>
      <c r="O51" s="59" t="s">
        <v>68</v>
      </c>
      <c r="P51" s="45" t="s">
        <v>404</v>
      </c>
      <c r="Q51" s="44" t="s">
        <v>409</v>
      </c>
    </row>
    <row r="52" ht="30.0" customHeight="1">
      <c r="A52" s="94" t="s">
        <v>1633</v>
      </c>
      <c r="B52" s="96" t="s">
        <v>1634</v>
      </c>
      <c r="C52" s="94" t="s">
        <v>375</v>
      </c>
      <c r="D52" s="97" t="s">
        <v>370</v>
      </c>
      <c r="E52" s="97" t="s">
        <v>1688</v>
      </c>
      <c r="F52" s="97" t="s">
        <v>148</v>
      </c>
      <c r="G52" s="97" t="s">
        <v>106</v>
      </c>
      <c r="H52" s="97" t="s">
        <v>151</v>
      </c>
      <c r="I52" s="96"/>
      <c r="J52" s="100" t="s">
        <v>376</v>
      </c>
      <c r="K52" s="101" t="s">
        <v>377</v>
      </c>
      <c r="L52" s="148" t="s">
        <v>199</v>
      </c>
      <c r="M52" s="50" t="s">
        <v>64</v>
      </c>
      <c r="N52" s="43" t="s">
        <v>55</v>
      </c>
      <c r="O52" s="124" t="s">
        <v>56</v>
      </c>
      <c r="P52" s="101" t="s">
        <v>1636</v>
      </c>
      <c r="Q52" s="107"/>
    </row>
    <row r="53" ht="30.0" customHeight="1">
      <c r="A53" s="73" t="s">
        <v>232</v>
      </c>
      <c r="B53" s="75" t="s">
        <v>24</v>
      </c>
      <c r="C53" s="73" t="s">
        <v>375</v>
      </c>
      <c r="D53" s="77" t="s">
        <v>370</v>
      </c>
      <c r="E53" s="77" t="s">
        <v>1688</v>
      </c>
      <c r="F53" s="77" t="s">
        <v>148</v>
      </c>
      <c r="G53" s="77" t="s">
        <v>106</v>
      </c>
      <c r="H53" s="77" t="s">
        <v>151</v>
      </c>
      <c r="I53" s="75"/>
      <c r="J53" s="81" t="s">
        <v>376</v>
      </c>
      <c r="K53" s="45" t="s">
        <v>377</v>
      </c>
      <c r="L53" s="88" t="s">
        <v>63</v>
      </c>
      <c r="M53" s="62" t="s">
        <v>92</v>
      </c>
      <c r="N53" s="43" t="s">
        <v>55</v>
      </c>
      <c r="O53" s="59" t="s">
        <v>68</v>
      </c>
      <c r="P53" s="45" t="s">
        <v>70</v>
      </c>
      <c r="Q53" s="44" t="s">
        <v>74</v>
      </c>
    </row>
    <row r="54" ht="30.0" customHeight="1">
      <c r="A54" s="94" t="s">
        <v>1640</v>
      </c>
      <c r="B54" s="96" t="s">
        <v>1641</v>
      </c>
      <c r="C54" s="94" t="s">
        <v>375</v>
      </c>
      <c r="D54" s="97" t="s">
        <v>370</v>
      </c>
      <c r="E54" s="97" t="s">
        <v>1688</v>
      </c>
      <c r="F54" s="97" t="s">
        <v>148</v>
      </c>
      <c r="G54" s="97" t="s">
        <v>106</v>
      </c>
      <c r="H54" s="97" t="s">
        <v>151</v>
      </c>
      <c r="I54" s="96"/>
      <c r="J54" s="100" t="s">
        <v>376</v>
      </c>
      <c r="K54" s="101" t="s">
        <v>377</v>
      </c>
      <c r="L54" s="125" t="s">
        <v>92</v>
      </c>
      <c r="M54" s="50" t="s">
        <v>64</v>
      </c>
      <c r="N54" s="43" t="s">
        <v>55</v>
      </c>
      <c r="O54" s="124" t="s">
        <v>56</v>
      </c>
      <c r="P54" s="101" t="s">
        <v>1643</v>
      </c>
      <c r="Q54" s="107"/>
    </row>
    <row r="55" ht="30.0" customHeight="1">
      <c r="A55" s="73" t="s">
        <v>1648</v>
      </c>
      <c r="B55" s="75" t="s">
        <v>1649</v>
      </c>
      <c r="C55" s="73" t="s">
        <v>375</v>
      </c>
      <c r="D55" s="77" t="s">
        <v>370</v>
      </c>
      <c r="E55" s="77" t="s">
        <v>1688</v>
      </c>
      <c r="F55" s="77" t="s">
        <v>148</v>
      </c>
      <c r="G55" s="77" t="s">
        <v>106</v>
      </c>
      <c r="H55" s="77" t="s">
        <v>151</v>
      </c>
      <c r="I55" s="75"/>
      <c r="J55" s="81" t="s">
        <v>376</v>
      </c>
      <c r="K55" s="45" t="s">
        <v>377</v>
      </c>
      <c r="L55" s="148" t="s">
        <v>199</v>
      </c>
      <c r="M55" s="50" t="s">
        <v>64</v>
      </c>
      <c r="N55" s="43" t="s">
        <v>55</v>
      </c>
      <c r="O55" s="115" t="s">
        <v>56</v>
      </c>
      <c r="P55" s="45" t="s">
        <v>1651</v>
      </c>
      <c r="Q55" s="44"/>
    </row>
    <row r="56" ht="30.0" customHeight="1">
      <c r="A56" s="94" t="s">
        <v>1652</v>
      </c>
      <c r="B56" s="96" t="s">
        <v>1653</v>
      </c>
      <c r="C56" s="94" t="s">
        <v>375</v>
      </c>
      <c r="D56" s="97" t="s">
        <v>370</v>
      </c>
      <c r="E56" s="97" t="s">
        <v>1688</v>
      </c>
      <c r="F56" s="97" t="s">
        <v>148</v>
      </c>
      <c r="G56" s="97" t="s">
        <v>106</v>
      </c>
      <c r="H56" s="97" t="s">
        <v>151</v>
      </c>
      <c r="I56" s="96"/>
      <c r="J56" s="100" t="s">
        <v>376</v>
      </c>
      <c r="K56" s="101" t="s">
        <v>377</v>
      </c>
      <c r="L56" s="88" t="s">
        <v>63</v>
      </c>
      <c r="M56" s="50" t="s">
        <v>64</v>
      </c>
      <c r="N56" s="43" t="s">
        <v>55</v>
      </c>
      <c r="O56" s="124" t="s">
        <v>56</v>
      </c>
      <c r="P56" s="101" t="s">
        <v>1655</v>
      </c>
      <c r="Q56" s="107"/>
    </row>
    <row r="57" ht="30.0" customHeight="1">
      <c r="A57" s="73" t="s">
        <v>1656</v>
      </c>
      <c r="B57" s="75" t="s">
        <v>1657</v>
      </c>
      <c r="C57" s="73" t="s">
        <v>375</v>
      </c>
      <c r="D57" s="77" t="s">
        <v>370</v>
      </c>
      <c r="E57" s="77" t="s">
        <v>1688</v>
      </c>
      <c r="F57" s="77" t="s">
        <v>148</v>
      </c>
      <c r="G57" s="77" t="s">
        <v>106</v>
      </c>
      <c r="H57" s="77" t="s">
        <v>151</v>
      </c>
      <c r="I57" s="75"/>
      <c r="J57" s="81" t="s">
        <v>376</v>
      </c>
      <c r="K57" s="45" t="s">
        <v>377</v>
      </c>
      <c r="L57" s="140" t="s">
        <v>52</v>
      </c>
      <c r="M57" s="49" t="s">
        <v>63</v>
      </c>
      <c r="N57" s="43" t="s">
        <v>55</v>
      </c>
      <c r="O57" s="115" t="s">
        <v>56</v>
      </c>
      <c r="P57" s="45" t="s">
        <v>1659</v>
      </c>
      <c r="Q57" s="44" t="s">
        <v>1660</v>
      </c>
    </row>
    <row r="58" ht="39.75" customHeight="1">
      <c r="A58" s="94" t="s">
        <v>631</v>
      </c>
      <c r="B58" s="96" t="s">
        <v>51</v>
      </c>
      <c r="C58" s="94" t="s">
        <v>375</v>
      </c>
      <c r="D58" s="97" t="s">
        <v>370</v>
      </c>
      <c r="E58" s="97" t="s">
        <v>1688</v>
      </c>
      <c r="F58" s="97" t="s">
        <v>148</v>
      </c>
      <c r="G58" s="97" t="s">
        <v>106</v>
      </c>
      <c r="H58" s="97" t="s">
        <v>151</v>
      </c>
      <c r="I58" s="96"/>
      <c r="J58" s="100" t="s">
        <v>376</v>
      </c>
      <c r="K58" s="101" t="s">
        <v>377</v>
      </c>
      <c r="L58" s="137" t="s">
        <v>164</v>
      </c>
      <c r="M58" s="50" t="s">
        <v>64</v>
      </c>
      <c r="N58" s="43" t="s">
        <v>55</v>
      </c>
      <c r="O58" s="105" t="s">
        <v>68</v>
      </c>
      <c r="P58" s="101" t="s">
        <v>550</v>
      </c>
      <c r="Q58" s="107" t="s">
        <v>552</v>
      </c>
    </row>
    <row r="59" ht="30.0" customHeight="1">
      <c r="A59" s="73" t="s">
        <v>1661</v>
      </c>
      <c r="B59" s="75" t="s">
        <v>1657</v>
      </c>
      <c r="C59" s="73" t="s">
        <v>375</v>
      </c>
      <c r="D59" s="77" t="s">
        <v>370</v>
      </c>
      <c r="E59" s="77" t="s">
        <v>1688</v>
      </c>
      <c r="F59" s="77" t="s">
        <v>148</v>
      </c>
      <c r="G59" s="77" t="s">
        <v>106</v>
      </c>
      <c r="H59" s="77" t="s">
        <v>151</v>
      </c>
      <c r="I59" s="75"/>
      <c r="J59" s="81" t="s">
        <v>376</v>
      </c>
      <c r="K59" s="45" t="s">
        <v>377</v>
      </c>
      <c r="L59" s="125" t="s">
        <v>92</v>
      </c>
      <c r="M59" s="50" t="s">
        <v>64</v>
      </c>
      <c r="N59" s="43" t="s">
        <v>55</v>
      </c>
      <c r="O59" s="115" t="s">
        <v>56</v>
      </c>
      <c r="P59" s="45" t="s">
        <v>1664</v>
      </c>
      <c r="Q59" s="44"/>
    </row>
    <row r="60" ht="30.0" customHeight="1">
      <c r="A60" s="94" t="s">
        <v>1670</v>
      </c>
      <c r="B60" s="96" t="s">
        <v>1667</v>
      </c>
      <c r="C60" s="94" t="s">
        <v>375</v>
      </c>
      <c r="D60" s="97" t="s">
        <v>370</v>
      </c>
      <c r="E60" s="97" t="s">
        <v>1688</v>
      </c>
      <c r="F60" s="97" t="s">
        <v>148</v>
      </c>
      <c r="G60" s="97" t="s">
        <v>106</v>
      </c>
      <c r="H60" s="97" t="s">
        <v>151</v>
      </c>
      <c r="I60" s="96"/>
      <c r="J60" s="100" t="s">
        <v>376</v>
      </c>
      <c r="K60" s="101" t="s">
        <v>377</v>
      </c>
      <c r="L60" s="125" t="s">
        <v>92</v>
      </c>
      <c r="M60" s="41" t="s">
        <v>52</v>
      </c>
      <c r="N60" s="43" t="s">
        <v>55</v>
      </c>
      <c r="O60" s="124" t="s">
        <v>56</v>
      </c>
      <c r="P60" s="101" t="s">
        <v>1672</v>
      </c>
      <c r="Q60" s="107"/>
    </row>
    <row r="61" ht="30.0" customHeight="1">
      <c r="A61" s="73" t="s">
        <v>1538</v>
      </c>
      <c r="B61" s="75" t="s">
        <v>1531</v>
      </c>
      <c r="C61" s="73" t="s">
        <v>375</v>
      </c>
      <c r="D61" s="77" t="s">
        <v>370</v>
      </c>
      <c r="E61" s="77" t="s">
        <v>1688</v>
      </c>
      <c r="F61" s="77" t="s">
        <v>148</v>
      </c>
      <c r="G61" s="77" t="s">
        <v>106</v>
      </c>
      <c r="H61" s="77" t="s">
        <v>151</v>
      </c>
      <c r="I61" s="75"/>
      <c r="J61" s="81" t="s">
        <v>376</v>
      </c>
      <c r="K61" s="45" t="s">
        <v>377</v>
      </c>
      <c r="L61" s="140" t="s">
        <v>52</v>
      </c>
      <c r="M61" s="86" t="s">
        <v>164</v>
      </c>
      <c r="N61" s="43" t="s">
        <v>55</v>
      </c>
      <c r="O61" s="59" t="s">
        <v>68</v>
      </c>
      <c r="P61" s="45" t="s">
        <v>1536</v>
      </c>
      <c r="Q61" s="44" t="s">
        <v>1537</v>
      </c>
    </row>
    <row r="62" ht="39.75" customHeight="1">
      <c r="A62" s="94" t="s">
        <v>945</v>
      </c>
      <c r="B62" s="96" t="s">
        <v>66</v>
      </c>
      <c r="C62" s="94" t="s">
        <v>375</v>
      </c>
      <c r="D62" s="97" t="s">
        <v>370</v>
      </c>
      <c r="E62" s="97" t="s">
        <v>1688</v>
      </c>
      <c r="F62" s="97" t="s">
        <v>148</v>
      </c>
      <c r="G62" s="97" t="s">
        <v>106</v>
      </c>
      <c r="H62" s="97" t="s">
        <v>151</v>
      </c>
      <c r="I62" s="96"/>
      <c r="J62" s="100" t="s">
        <v>376</v>
      </c>
      <c r="K62" s="101" t="s">
        <v>377</v>
      </c>
      <c r="L62" s="127" t="s">
        <v>64</v>
      </c>
      <c r="M62" s="62" t="s">
        <v>92</v>
      </c>
      <c r="N62" s="43" t="s">
        <v>55</v>
      </c>
      <c r="O62" s="105" t="s">
        <v>68</v>
      </c>
      <c r="P62" s="101" t="s">
        <v>891</v>
      </c>
      <c r="Q62" s="107" t="s">
        <v>946</v>
      </c>
    </row>
    <row r="63" ht="39.75" customHeight="1">
      <c r="A63" s="73" t="s">
        <v>947</v>
      </c>
      <c r="B63" s="75" t="s">
        <v>66</v>
      </c>
      <c r="C63" s="73" t="s">
        <v>375</v>
      </c>
      <c r="D63" s="77" t="s">
        <v>370</v>
      </c>
      <c r="E63" s="77" t="s">
        <v>1688</v>
      </c>
      <c r="F63" s="77" t="s">
        <v>148</v>
      </c>
      <c r="G63" s="77" t="s">
        <v>106</v>
      </c>
      <c r="H63" s="77" t="s">
        <v>151</v>
      </c>
      <c r="I63" s="75"/>
      <c r="J63" s="81" t="s">
        <v>376</v>
      </c>
      <c r="K63" s="45" t="s">
        <v>377</v>
      </c>
      <c r="L63" s="127" t="s">
        <v>64</v>
      </c>
      <c r="M63" s="57" t="s">
        <v>78</v>
      </c>
      <c r="N63" s="43" t="s">
        <v>55</v>
      </c>
      <c r="O63" s="59" t="s">
        <v>68</v>
      </c>
      <c r="P63" s="45" t="s">
        <v>891</v>
      </c>
      <c r="Q63" s="44" t="s">
        <v>893</v>
      </c>
    </row>
    <row r="64" ht="39.75" customHeight="1">
      <c r="A64" s="94" t="s">
        <v>647</v>
      </c>
      <c r="B64" s="96" t="s">
        <v>51</v>
      </c>
      <c r="C64" s="94" t="s">
        <v>375</v>
      </c>
      <c r="D64" s="97" t="s">
        <v>370</v>
      </c>
      <c r="E64" s="97" t="s">
        <v>1688</v>
      </c>
      <c r="F64" s="97" t="s">
        <v>148</v>
      </c>
      <c r="G64" s="97" t="s">
        <v>106</v>
      </c>
      <c r="H64" s="97" t="s">
        <v>151</v>
      </c>
      <c r="I64" s="96"/>
      <c r="J64" s="100" t="s">
        <v>376</v>
      </c>
      <c r="K64" s="101" t="s">
        <v>377</v>
      </c>
      <c r="L64" s="88" t="s">
        <v>63</v>
      </c>
      <c r="M64" s="86" t="s">
        <v>164</v>
      </c>
      <c r="N64" s="43" t="s">
        <v>55</v>
      </c>
      <c r="O64" s="105" t="s">
        <v>68</v>
      </c>
      <c r="P64" s="101" t="s">
        <v>550</v>
      </c>
      <c r="Q64" s="107" t="s">
        <v>552</v>
      </c>
    </row>
    <row r="65" ht="39.75" customHeight="1">
      <c r="A65" s="73" t="s">
        <v>1574</v>
      </c>
      <c r="B65" s="75" t="s">
        <v>1563</v>
      </c>
      <c r="C65" s="73" t="s">
        <v>375</v>
      </c>
      <c r="D65" s="77" t="s">
        <v>370</v>
      </c>
      <c r="E65" s="77" t="s">
        <v>1688</v>
      </c>
      <c r="F65" s="77" t="s">
        <v>148</v>
      </c>
      <c r="G65" s="77" t="s">
        <v>106</v>
      </c>
      <c r="H65" s="77" t="s">
        <v>151</v>
      </c>
      <c r="I65" s="75"/>
      <c r="J65" s="81" t="s">
        <v>376</v>
      </c>
      <c r="K65" s="45" t="s">
        <v>377</v>
      </c>
      <c r="L65" s="88" t="s">
        <v>63</v>
      </c>
      <c r="M65" s="138" t="s">
        <v>199</v>
      </c>
      <c r="N65" s="43" t="s">
        <v>55</v>
      </c>
      <c r="O65" s="115" t="s">
        <v>56</v>
      </c>
      <c r="P65" s="45" t="s">
        <v>1576</v>
      </c>
      <c r="Q65" s="44" t="s">
        <v>1577</v>
      </c>
    </row>
    <row r="66" ht="39.75" customHeight="1">
      <c r="A66" s="94" t="s">
        <v>1218</v>
      </c>
      <c r="B66" s="96" t="s">
        <v>82</v>
      </c>
      <c r="C66" s="94" t="s">
        <v>375</v>
      </c>
      <c r="D66" s="97" t="s">
        <v>370</v>
      </c>
      <c r="E66" s="97" t="s">
        <v>1688</v>
      </c>
      <c r="F66" s="97" t="s">
        <v>148</v>
      </c>
      <c r="G66" s="97" t="s">
        <v>106</v>
      </c>
      <c r="H66" s="97" t="s">
        <v>151</v>
      </c>
      <c r="I66" s="96"/>
      <c r="J66" s="100" t="s">
        <v>376</v>
      </c>
      <c r="K66" s="101" t="s">
        <v>377</v>
      </c>
      <c r="L66" s="137" t="s">
        <v>164</v>
      </c>
      <c r="M66" s="50" t="s">
        <v>64</v>
      </c>
      <c r="N66" s="43" t="s">
        <v>55</v>
      </c>
      <c r="O66" s="105" t="s">
        <v>166</v>
      </c>
      <c r="P66" s="101" t="s">
        <v>1189</v>
      </c>
      <c r="Q66" s="107" t="s">
        <v>1190</v>
      </c>
    </row>
    <row r="67" ht="39.75" customHeight="1">
      <c r="A67" s="73" t="s">
        <v>1220</v>
      </c>
      <c r="B67" s="75" t="s">
        <v>82</v>
      </c>
      <c r="C67" s="73" t="s">
        <v>375</v>
      </c>
      <c r="D67" s="77" t="s">
        <v>370</v>
      </c>
      <c r="E67" s="77" t="s">
        <v>1688</v>
      </c>
      <c r="F67" s="77" t="s">
        <v>148</v>
      </c>
      <c r="G67" s="77" t="s">
        <v>106</v>
      </c>
      <c r="H67" s="77" t="s">
        <v>151</v>
      </c>
      <c r="I67" s="75"/>
      <c r="J67" s="81" t="s">
        <v>376</v>
      </c>
      <c r="K67" s="45" t="s">
        <v>377</v>
      </c>
      <c r="L67" s="88" t="s">
        <v>63</v>
      </c>
      <c r="M67" s="50" t="s">
        <v>64</v>
      </c>
      <c r="N67" s="43" t="s">
        <v>55</v>
      </c>
      <c r="O67" s="59" t="s">
        <v>166</v>
      </c>
      <c r="P67" s="45" t="s">
        <v>1189</v>
      </c>
      <c r="Q67" s="44" t="s">
        <v>1190</v>
      </c>
    </row>
    <row r="68" ht="30.0" customHeight="1">
      <c r="A68" s="94" t="s">
        <v>1674</v>
      </c>
      <c r="B68" s="96" t="s">
        <v>1675</v>
      </c>
      <c r="C68" s="94" t="s">
        <v>375</v>
      </c>
      <c r="D68" s="97" t="s">
        <v>370</v>
      </c>
      <c r="E68" s="97" t="s">
        <v>1688</v>
      </c>
      <c r="F68" s="97" t="s">
        <v>148</v>
      </c>
      <c r="G68" s="97" t="s">
        <v>106</v>
      </c>
      <c r="H68" s="97" t="s">
        <v>151</v>
      </c>
      <c r="I68" s="96"/>
      <c r="J68" s="100" t="s">
        <v>376</v>
      </c>
      <c r="K68" s="101" t="s">
        <v>377</v>
      </c>
      <c r="L68" s="148" t="s">
        <v>199</v>
      </c>
      <c r="M68" s="50" t="s">
        <v>64</v>
      </c>
      <c r="N68" s="43" t="s">
        <v>55</v>
      </c>
      <c r="O68" s="124" t="s">
        <v>56</v>
      </c>
      <c r="P68" s="101" t="s">
        <v>1677</v>
      </c>
      <c r="Q68" s="107"/>
    </row>
    <row r="69" ht="39.75" customHeight="1">
      <c r="A69" s="73" t="s">
        <v>449</v>
      </c>
      <c r="B69" s="75" t="s">
        <v>39</v>
      </c>
      <c r="C69" s="73" t="s">
        <v>375</v>
      </c>
      <c r="D69" s="77" t="s">
        <v>370</v>
      </c>
      <c r="E69" s="77" t="s">
        <v>1688</v>
      </c>
      <c r="F69" s="77" t="s">
        <v>148</v>
      </c>
      <c r="G69" s="77" t="s">
        <v>106</v>
      </c>
      <c r="H69" s="77" t="s">
        <v>151</v>
      </c>
      <c r="I69" s="75"/>
      <c r="J69" s="81" t="s">
        <v>376</v>
      </c>
      <c r="K69" s="45" t="s">
        <v>377</v>
      </c>
      <c r="L69" s="125" t="s">
        <v>92</v>
      </c>
      <c r="M69" s="50" t="s">
        <v>64</v>
      </c>
      <c r="N69" s="43" t="s">
        <v>55</v>
      </c>
      <c r="O69" s="59" t="s">
        <v>68</v>
      </c>
      <c r="P69" s="45" t="s">
        <v>404</v>
      </c>
      <c r="Q69" s="44" t="s">
        <v>409</v>
      </c>
    </row>
    <row r="70" ht="30.0" customHeight="1">
      <c r="A70" s="94" t="s">
        <v>1584</v>
      </c>
      <c r="B70" s="96" t="s">
        <v>1580</v>
      </c>
      <c r="C70" s="94" t="s">
        <v>375</v>
      </c>
      <c r="D70" s="97" t="s">
        <v>370</v>
      </c>
      <c r="E70" s="97" t="s">
        <v>1688</v>
      </c>
      <c r="F70" s="97" t="s">
        <v>148</v>
      </c>
      <c r="G70" s="97" t="s">
        <v>106</v>
      </c>
      <c r="H70" s="97" t="s">
        <v>151</v>
      </c>
      <c r="I70" s="96"/>
      <c r="J70" s="100" t="s">
        <v>376</v>
      </c>
      <c r="K70" s="101" t="s">
        <v>377</v>
      </c>
      <c r="L70" s="88" t="s">
        <v>63</v>
      </c>
      <c r="M70" s="50" t="s">
        <v>64</v>
      </c>
      <c r="N70" s="43" t="s">
        <v>55</v>
      </c>
      <c r="O70" s="124" t="s">
        <v>56</v>
      </c>
      <c r="P70" s="101" t="s">
        <v>1586</v>
      </c>
      <c r="Q70" s="107"/>
    </row>
    <row r="71" ht="30.0" customHeight="1">
      <c r="A71" s="73" t="s">
        <v>976</v>
      </c>
      <c r="B71" s="75" t="s">
        <v>66</v>
      </c>
      <c r="C71" s="73" t="s">
        <v>375</v>
      </c>
      <c r="D71" s="77" t="s">
        <v>370</v>
      </c>
      <c r="E71" s="77" t="s">
        <v>1688</v>
      </c>
      <c r="F71" s="77" t="s">
        <v>148</v>
      </c>
      <c r="G71" s="77" t="s">
        <v>106</v>
      </c>
      <c r="H71" s="77" t="s">
        <v>151</v>
      </c>
      <c r="I71" s="75"/>
      <c r="J71" s="81" t="s">
        <v>376</v>
      </c>
      <c r="K71" s="45" t="s">
        <v>377</v>
      </c>
      <c r="L71" s="88" t="s">
        <v>63</v>
      </c>
      <c r="M71" s="86" t="s">
        <v>164</v>
      </c>
      <c r="N71" s="43" t="s">
        <v>55</v>
      </c>
      <c r="O71" s="115" t="s">
        <v>56</v>
      </c>
      <c r="P71" s="45" t="s">
        <v>978</v>
      </c>
      <c r="Q71" s="44"/>
    </row>
    <row r="72" ht="30.0" customHeight="1">
      <c r="A72" s="94" t="s">
        <v>1614</v>
      </c>
      <c r="B72" s="96" t="s">
        <v>1608</v>
      </c>
      <c r="C72" s="94" t="s">
        <v>375</v>
      </c>
      <c r="D72" s="97" t="s">
        <v>370</v>
      </c>
      <c r="E72" s="97" t="s">
        <v>1688</v>
      </c>
      <c r="F72" s="97" t="s">
        <v>148</v>
      </c>
      <c r="G72" s="97" t="s">
        <v>106</v>
      </c>
      <c r="H72" s="97" t="s">
        <v>151</v>
      </c>
      <c r="I72" s="96"/>
      <c r="J72" s="100" t="s">
        <v>376</v>
      </c>
      <c r="K72" s="101" t="s">
        <v>377</v>
      </c>
      <c r="L72" s="163" t="s">
        <v>176</v>
      </c>
      <c r="M72" s="50" t="s">
        <v>64</v>
      </c>
      <c r="N72" s="43" t="s">
        <v>55</v>
      </c>
      <c r="O72" s="124" t="s">
        <v>195</v>
      </c>
      <c r="P72" s="101" t="s">
        <v>1616</v>
      </c>
      <c r="Q72" s="107" t="s">
        <v>1617</v>
      </c>
    </row>
    <row r="73" ht="30.0" customHeight="1">
      <c r="A73" s="73" t="s">
        <v>1587</v>
      </c>
      <c r="B73" s="75" t="s">
        <v>1580</v>
      </c>
      <c r="C73" s="73" t="s">
        <v>375</v>
      </c>
      <c r="D73" s="77" t="s">
        <v>370</v>
      </c>
      <c r="E73" s="77" t="s">
        <v>1688</v>
      </c>
      <c r="F73" s="77" t="s">
        <v>148</v>
      </c>
      <c r="G73" s="77" t="s">
        <v>106</v>
      </c>
      <c r="H73" s="77" t="s">
        <v>151</v>
      </c>
      <c r="I73" s="75"/>
      <c r="J73" s="81" t="s">
        <v>376</v>
      </c>
      <c r="K73" s="45" t="s">
        <v>377</v>
      </c>
      <c r="L73" s="137" t="s">
        <v>164</v>
      </c>
      <c r="M73" s="50" t="s">
        <v>64</v>
      </c>
      <c r="N73" s="43" t="s">
        <v>55</v>
      </c>
      <c r="O73" s="115" t="s">
        <v>56</v>
      </c>
      <c r="P73" s="45" t="s">
        <v>1589</v>
      </c>
      <c r="Q73" s="44"/>
    </row>
    <row r="74" ht="30.0" customHeight="1">
      <c r="A74" s="94" t="s">
        <v>303</v>
      </c>
      <c r="B74" s="96" t="s">
        <v>24</v>
      </c>
      <c r="C74" s="94" t="s">
        <v>375</v>
      </c>
      <c r="D74" s="97" t="s">
        <v>370</v>
      </c>
      <c r="E74" s="97" t="s">
        <v>1688</v>
      </c>
      <c r="F74" s="97" t="s">
        <v>148</v>
      </c>
      <c r="G74" s="97" t="s">
        <v>106</v>
      </c>
      <c r="H74" s="97" t="s">
        <v>151</v>
      </c>
      <c r="I74" s="96"/>
      <c r="J74" s="100" t="s">
        <v>376</v>
      </c>
      <c r="K74" s="101" t="s">
        <v>377</v>
      </c>
      <c r="L74" s="88" t="s">
        <v>63</v>
      </c>
      <c r="M74" s="50" t="s">
        <v>64</v>
      </c>
      <c r="N74" s="43" t="s">
        <v>55</v>
      </c>
      <c r="O74" s="105" t="s">
        <v>68</v>
      </c>
      <c r="P74" s="101" t="s">
        <v>70</v>
      </c>
      <c r="Q74" s="107" t="s">
        <v>74</v>
      </c>
    </row>
    <row r="75" ht="30.0" customHeight="1">
      <c r="A75" s="73" t="s">
        <v>1597</v>
      </c>
      <c r="B75" s="75" t="s">
        <v>1591</v>
      </c>
      <c r="C75" s="73" t="s">
        <v>375</v>
      </c>
      <c r="D75" s="77" t="s">
        <v>370</v>
      </c>
      <c r="E75" s="77" t="s">
        <v>1688</v>
      </c>
      <c r="F75" s="77" t="s">
        <v>148</v>
      </c>
      <c r="G75" s="77" t="s">
        <v>106</v>
      </c>
      <c r="H75" s="77" t="s">
        <v>151</v>
      </c>
      <c r="I75" s="75"/>
      <c r="J75" s="81" t="s">
        <v>376</v>
      </c>
      <c r="K75" s="45" t="s">
        <v>377</v>
      </c>
      <c r="L75" s="103" t="s">
        <v>76</v>
      </c>
      <c r="M75" s="62" t="s">
        <v>92</v>
      </c>
      <c r="N75" s="43" t="s">
        <v>55</v>
      </c>
      <c r="O75" s="59" t="s">
        <v>68</v>
      </c>
      <c r="P75" s="45" t="s">
        <v>1593</v>
      </c>
      <c r="Q75" s="44" t="s">
        <v>1566</v>
      </c>
    </row>
    <row r="76" ht="30.0" customHeight="1">
      <c r="A76" s="94" t="s">
        <v>799</v>
      </c>
      <c r="B76" s="96" t="s">
        <v>60</v>
      </c>
      <c r="C76" s="94" t="s">
        <v>375</v>
      </c>
      <c r="D76" s="97" t="s">
        <v>370</v>
      </c>
      <c r="E76" s="97" t="s">
        <v>1688</v>
      </c>
      <c r="F76" s="97" t="s">
        <v>148</v>
      </c>
      <c r="G76" s="97" t="s">
        <v>106</v>
      </c>
      <c r="H76" s="97" t="s">
        <v>151</v>
      </c>
      <c r="I76" s="96"/>
      <c r="J76" s="100" t="s">
        <v>376</v>
      </c>
      <c r="K76" s="101" t="s">
        <v>377</v>
      </c>
      <c r="L76" s="125" t="s">
        <v>92</v>
      </c>
      <c r="M76" s="50" t="s">
        <v>64</v>
      </c>
      <c r="N76" s="43" t="s">
        <v>55</v>
      </c>
      <c r="O76" s="124" t="s">
        <v>56</v>
      </c>
      <c r="P76" s="101" t="s">
        <v>801</v>
      </c>
      <c r="Q76" s="107"/>
    </row>
    <row r="77" ht="30.0" customHeight="1">
      <c r="A77" s="73" t="s">
        <v>1549</v>
      </c>
      <c r="B77" s="75" t="s">
        <v>1541</v>
      </c>
      <c r="C77" s="73" t="s">
        <v>375</v>
      </c>
      <c r="D77" s="77" t="s">
        <v>370</v>
      </c>
      <c r="E77" s="77" t="s">
        <v>1688</v>
      </c>
      <c r="F77" s="77" t="s">
        <v>148</v>
      </c>
      <c r="G77" s="77" t="s">
        <v>106</v>
      </c>
      <c r="H77" s="77" t="s">
        <v>151</v>
      </c>
      <c r="I77" s="75"/>
      <c r="J77" s="81" t="s">
        <v>376</v>
      </c>
      <c r="K77" s="45" t="s">
        <v>377</v>
      </c>
      <c r="L77" s="140" t="s">
        <v>52</v>
      </c>
      <c r="M77" s="62" t="s">
        <v>92</v>
      </c>
      <c r="N77" s="43" t="s">
        <v>55</v>
      </c>
      <c r="O77" s="115" t="s">
        <v>56</v>
      </c>
      <c r="P77" s="45" t="s">
        <v>1551</v>
      </c>
      <c r="Q77" s="44"/>
    </row>
    <row r="78" ht="30.0" customHeight="1">
      <c r="A78" s="94" t="s">
        <v>1618</v>
      </c>
      <c r="B78" s="96" t="s">
        <v>1608</v>
      </c>
      <c r="C78" s="94" t="s">
        <v>375</v>
      </c>
      <c r="D78" s="97" t="s">
        <v>370</v>
      </c>
      <c r="E78" s="97" t="s">
        <v>1688</v>
      </c>
      <c r="F78" s="97" t="s">
        <v>148</v>
      </c>
      <c r="G78" s="97" t="s">
        <v>106</v>
      </c>
      <c r="H78" s="97" t="s">
        <v>151</v>
      </c>
      <c r="I78" s="96"/>
      <c r="J78" s="100" t="s">
        <v>376</v>
      </c>
      <c r="K78" s="101" t="s">
        <v>377</v>
      </c>
      <c r="L78" s="88" t="s">
        <v>63</v>
      </c>
      <c r="M78" s="62" t="s">
        <v>92</v>
      </c>
      <c r="N78" s="43" t="s">
        <v>55</v>
      </c>
      <c r="O78" s="124" t="s">
        <v>56</v>
      </c>
      <c r="P78" s="101" t="s">
        <v>1620</v>
      </c>
      <c r="Q78" s="107"/>
    </row>
    <row r="79" ht="31.5" customHeight="1">
      <c r="A79" s="73" t="s">
        <v>1683</v>
      </c>
      <c r="B79" s="75" t="s">
        <v>1684</v>
      </c>
      <c r="C79" s="73" t="s">
        <v>378</v>
      </c>
      <c r="D79" s="77" t="s">
        <v>370</v>
      </c>
      <c r="E79" s="77" t="s">
        <v>1688</v>
      </c>
      <c r="F79" s="77" t="s">
        <v>148</v>
      </c>
      <c r="G79" s="77" t="s">
        <v>106</v>
      </c>
      <c r="H79" s="77" t="s">
        <v>151</v>
      </c>
      <c r="I79" s="75"/>
      <c r="J79" s="81" t="s">
        <v>379</v>
      </c>
      <c r="K79" s="45" t="s">
        <v>380</v>
      </c>
      <c r="L79" s="127" t="s">
        <v>64</v>
      </c>
      <c r="M79" s="62" t="s">
        <v>92</v>
      </c>
      <c r="N79" s="43" t="s">
        <v>55</v>
      </c>
      <c r="O79" s="115" t="s">
        <v>56</v>
      </c>
      <c r="P79" s="45" t="s">
        <v>1686</v>
      </c>
      <c r="Q79" s="44"/>
    </row>
    <row r="80" ht="31.5" customHeight="1">
      <c r="A80" s="94" t="s">
        <v>1562</v>
      </c>
      <c r="B80" s="96" t="s">
        <v>1563</v>
      </c>
      <c r="C80" s="94" t="s">
        <v>378</v>
      </c>
      <c r="D80" s="97" t="s">
        <v>370</v>
      </c>
      <c r="E80" s="97" t="s">
        <v>1688</v>
      </c>
      <c r="F80" s="97" t="s">
        <v>148</v>
      </c>
      <c r="G80" s="97" t="s">
        <v>106</v>
      </c>
      <c r="H80" s="97" t="s">
        <v>151</v>
      </c>
      <c r="I80" s="96"/>
      <c r="J80" s="100" t="s">
        <v>379</v>
      </c>
      <c r="K80" s="101" t="s">
        <v>380</v>
      </c>
      <c r="L80" s="88" t="s">
        <v>63</v>
      </c>
      <c r="M80" s="50" t="s">
        <v>64</v>
      </c>
      <c r="N80" s="43" t="s">
        <v>55</v>
      </c>
      <c r="O80" s="105" t="s">
        <v>68</v>
      </c>
      <c r="P80" s="101" t="s">
        <v>1565</v>
      </c>
      <c r="Q80" s="107" t="s">
        <v>1566</v>
      </c>
    </row>
    <row r="81" ht="39.75" customHeight="1">
      <c r="A81" s="73" t="s">
        <v>553</v>
      </c>
      <c r="B81" s="75" t="s">
        <v>51</v>
      </c>
      <c r="C81" s="73" t="s">
        <v>378</v>
      </c>
      <c r="D81" s="77" t="s">
        <v>370</v>
      </c>
      <c r="E81" s="77" t="s">
        <v>1688</v>
      </c>
      <c r="F81" s="77" t="s">
        <v>148</v>
      </c>
      <c r="G81" s="77" t="s">
        <v>106</v>
      </c>
      <c r="H81" s="77" t="s">
        <v>151</v>
      </c>
      <c r="I81" s="75"/>
      <c r="J81" s="81" t="s">
        <v>379</v>
      </c>
      <c r="K81" s="45" t="s">
        <v>380</v>
      </c>
      <c r="L81" s="125" t="s">
        <v>92</v>
      </c>
      <c r="M81" s="86" t="s">
        <v>164</v>
      </c>
      <c r="N81" s="43" t="s">
        <v>55</v>
      </c>
      <c r="O81" s="59" t="s">
        <v>68</v>
      </c>
      <c r="P81" s="45" t="s">
        <v>550</v>
      </c>
      <c r="Q81" s="44" t="s">
        <v>552</v>
      </c>
    </row>
    <row r="82" ht="31.5" customHeight="1">
      <c r="A82" s="94" t="s">
        <v>1697</v>
      </c>
      <c r="B82" s="96" t="s">
        <v>1698</v>
      </c>
      <c r="C82" s="94" t="s">
        <v>378</v>
      </c>
      <c r="D82" s="97" t="s">
        <v>370</v>
      </c>
      <c r="E82" s="97" t="s">
        <v>1688</v>
      </c>
      <c r="F82" s="97" t="s">
        <v>148</v>
      </c>
      <c r="G82" s="97" t="s">
        <v>106</v>
      </c>
      <c r="H82" s="97" t="s">
        <v>151</v>
      </c>
      <c r="I82" s="96"/>
      <c r="J82" s="100" t="s">
        <v>379</v>
      </c>
      <c r="K82" s="101" t="s">
        <v>380</v>
      </c>
      <c r="L82" s="88" t="s">
        <v>63</v>
      </c>
      <c r="M82" s="62" t="s">
        <v>92</v>
      </c>
      <c r="N82" s="43" t="s">
        <v>55</v>
      </c>
      <c r="O82" s="124" t="s">
        <v>56</v>
      </c>
      <c r="P82" s="101" t="s">
        <v>1700</v>
      </c>
      <c r="Q82" s="107" t="s">
        <v>1701</v>
      </c>
    </row>
    <row r="83" ht="31.5" customHeight="1">
      <c r="A83" s="73" t="s">
        <v>1594</v>
      </c>
      <c r="B83" s="75" t="s">
        <v>1591</v>
      </c>
      <c r="C83" s="73" t="s">
        <v>378</v>
      </c>
      <c r="D83" s="77" t="s">
        <v>370</v>
      </c>
      <c r="E83" s="77" t="s">
        <v>1688</v>
      </c>
      <c r="F83" s="77" t="s">
        <v>148</v>
      </c>
      <c r="G83" s="77" t="s">
        <v>106</v>
      </c>
      <c r="H83" s="77" t="s">
        <v>151</v>
      </c>
      <c r="I83" s="75"/>
      <c r="J83" s="81" t="s">
        <v>379</v>
      </c>
      <c r="K83" s="45" t="s">
        <v>380</v>
      </c>
      <c r="L83" s="88" t="s">
        <v>63</v>
      </c>
      <c r="M83" s="50" t="s">
        <v>64</v>
      </c>
      <c r="N83" s="43" t="s">
        <v>55</v>
      </c>
      <c r="O83" s="59" t="s">
        <v>68</v>
      </c>
      <c r="P83" s="45" t="s">
        <v>1593</v>
      </c>
      <c r="Q83" s="44" t="s">
        <v>1566</v>
      </c>
    </row>
    <row r="84" ht="31.5" customHeight="1">
      <c r="A84" s="94" t="s">
        <v>1534</v>
      </c>
      <c r="B84" s="96" t="s">
        <v>1531</v>
      </c>
      <c r="C84" s="94" t="s">
        <v>378</v>
      </c>
      <c r="D84" s="97" t="s">
        <v>370</v>
      </c>
      <c r="E84" s="97" t="s">
        <v>1688</v>
      </c>
      <c r="F84" s="97" t="s">
        <v>148</v>
      </c>
      <c r="G84" s="97" t="s">
        <v>106</v>
      </c>
      <c r="H84" s="97" t="s">
        <v>151</v>
      </c>
      <c r="I84" s="96"/>
      <c r="J84" s="100" t="s">
        <v>379</v>
      </c>
      <c r="K84" s="101" t="s">
        <v>380</v>
      </c>
      <c r="L84" s="88" t="s">
        <v>63</v>
      </c>
      <c r="M84" s="50" t="s">
        <v>64</v>
      </c>
      <c r="N84" s="43" t="s">
        <v>55</v>
      </c>
      <c r="O84" s="105" t="s">
        <v>68</v>
      </c>
      <c r="P84" s="101" t="s">
        <v>1536</v>
      </c>
      <c r="Q84" s="107" t="s">
        <v>1537</v>
      </c>
    </row>
    <row r="85" ht="31.5" customHeight="1">
      <c r="A85" s="73" t="s">
        <v>188</v>
      </c>
      <c r="B85" s="75" t="s">
        <v>24</v>
      </c>
      <c r="C85" s="73" t="s">
        <v>378</v>
      </c>
      <c r="D85" s="77" t="s">
        <v>370</v>
      </c>
      <c r="E85" s="77" t="s">
        <v>1688</v>
      </c>
      <c r="F85" s="77" t="s">
        <v>148</v>
      </c>
      <c r="G85" s="77" t="s">
        <v>106</v>
      </c>
      <c r="H85" s="77" t="s">
        <v>151</v>
      </c>
      <c r="I85" s="75"/>
      <c r="J85" s="81" t="s">
        <v>379</v>
      </c>
      <c r="K85" s="45" t="s">
        <v>380</v>
      </c>
      <c r="L85" s="125" t="s">
        <v>92</v>
      </c>
      <c r="M85" s="50" t="s">
        <v>64</v>
      </c>
      <c r="N85" s="43" t="s">
        <v>55</v>
      </c>
      <c r="O85" s="59" t="s">
        <v>68</v>
      </c>
      <c r="P85" s="45" t="s">
        <v>70</v>
      </c>
      <c r="Q85" s="44" t="s">
        <v>74</v>
      </c>
    </row>
    <row r="86" ht="31.5" customHeight="1">
      <c r="A86" s="94" t="s">
        <v>1702</v>
      </c>
      <c r="B86" s="96" t="s">
        <v>1703</v>
      </c>
      <c r="C86" s="94" t="s">
        <v>378</v>
      </c>
      <c r="D86" s="97" t="s">
        <v>370</v>
      </c>
      <c r="E86" s="97" t="s">
        <v>1688</v>
      </c>
      <c r="F86" s="97" t="s">
        <v>148</v>
      </c>
      <c r="G86" s="97" t="s">
        <v>106</v>
      </c>
      <c r="H86" s="97" t="s">
        <v>151</v>
      </c>
      <c r="I86" s="96"/>
      <c r="J86" s="100" t="s">
        <v>379</v>
      </c>
      <c r="K86" s="101" t="s">
        <v>380</v>
      </c>
      <c r="L86" s="88" t="s">
        <v>63</v>
      </c>
      <c r="M86" s="50" t="s">
        <v>64</v>
      </c>
      <c r="N86" s="43" t="s">
        <v>55</v>
      </c>
      <c r="O86" s="124" t="s">
        <v>56</v>
      </c>
      <c r="P86" s="101" t="s">
        <v>1705</v>
      </c>
      <c r="Q86" s="107"/>
    </row>
    <row r="87" ht="31.5" customHeight="1">
      <c r="A87" s="73" t="s">
        <v>1665</v>
      </c>
      <c r="B87" s="75" t="s">
        <v>1667</v>
      </c>
      <c r="C87" s="73" t="s">
        <v>378</v>
      </c>
      <c r="D87" s="77" t="s">
        <v>370</v>
      </c>
      <c r="E87" s="77" t="s">
        <v>1688</v>
      </c>
      <c r="F87" s="77" t="s">
        <v>148</v>
      </c>
      <c r="G87" s="77" t="s">
        <v>106</v>
      </c>
      <c r="H87" s="77" t="s">
        <v>151</v>
      </c>
      <c r="I87" s="75"/>
      <c r="J87" s="81" t="s">
        <v>379</v>
      </c>
      <c r="K87" s="45" t="s">
        <v>380</v>
      </c>
      <c r="L87" s="88" t="s">
        <v>63</v>
      </c>
      <c r="M87" s="50" t="s">
        <v>64</v>
      </c>
      <c r="N87" s="43" t="s">
        <v>55</v>
      </c>
      <c r="O87" s="115" t="s">
        <v>56</v>
      </c>
      <c r="P87" s="45" t="s">
        <v>1669</v>
      </c>
      <c r="Q87" s="44"/>
    </row>
    <row r="88" ht="31.5" customHeight="1">
      <c r="A88" s="94" t="s">
        <v>1706</v>
      </c>
      <c r="B88" s="96" t="s">
        <v>1707</v>
      </c>
      <c r="C88" s="94" t="s">
        <v>378</v>
      </c>
      <c r="D88" s="97" t="s">
        <v>370</v>
      </c>
      <c r="E88" s="97" t="s">
        <v>1688</v>
      </c>
      <c r="F88" s="97" t="s">
        <v>148</v>
      </c>
      <c r="G88" s="97" t="s">
        <v>106</v>
      </c>
      <c r="H88" s="97" t="s">
        <v>151</v>
      </c>
      <c r="I88" s="96"/>
      <c r="J88" s="100" t="s">
        <v>379</v>
      </c>
      <c r="K88" s="101" t="s">
        <v>380</v>
      </c>
      <c r="L88" s="148" t="s">
        <v>199</v>
      </c>
      <c r="M88" s="136" t="s">
        <v>210</v>
      </c>
      <c r="N88" s="43" t="s">
        <v>55</v>
      </c>
      <c r="O88" s="124" t="s">
        <v>56</v>
      </c>
      <c r="P88" s="101" t="s">
        <v>1709</v>
      </c>
      <c r="Q88" s="107"/>
    </row>
    <row r="89" ht="31.5" customHeight="1">
      <c r="A89" s="73" t="s">
        <v>1687</v>
      </c>
      <c r="B89" s="75" t="s">
        <v>1684</v>
      </c>
      <c r="C89" s="73" t="s">
        <v>378</v>
      </c>
      <c r="D89" s="77" t="s">
        <v>370</v>
      </c>
      <c r="E89" s="77" t="s">
        <v>1688</v>
      </c>
      <c r="F89" s="77" t="s">
        <v>148</v>
      </c>
      <c r="G89" s="77" t="s">
        <v>106</v>
      </c>
      <c r="H89" s="77" t="s">
        <v>151</v>
      </c>
      <c r="I89" s="75"/>
      <c r="J89" s="81" t="s">
        <v>379</v>
      </c>
      <c r="K89" s="45" t="s">
        <v>380</v>
      </c>
      <c r="L89" s="127" t="s">
        <v>64</v>
      </c>
      <c r="M89" s="62" t="s">
        <v>92</v>
      </c>
      <c r="N89" s="43" t="s">
        <v>55</v>
      </c>
      <c r="O89" s="115" t="s">
        <v>56</v>
      </c>
      <c r="P89" s="45" t="s">
        <v>1690</v>
      </c>
      <c r="Q89" s="44"/>
    </row>
    <row r="90" ht="31.5" customHeight="1">
      <c r="A90" s="94" t="s">
        <v>1691</v>
      </c>
      <c r="B90" s="96" t="s">
        <v>1684</v>
      </c>
      <c r="C90" s="94" t="s">
        <v>378</v>
      </c>
      <c r="D90" s="97" t="s">
        <v>370</v>
      </c>
      <c r="E90" s="97" t="s">
        <v>1688</v>
      </c>
      <c r="F90" s="97" t="s">
        <v>148</v>
      </c>
      <c r="G90" s="97" t="s">
        <v>106</v>
      </c>
      <c r="H90" s="97" t="s">
        <v>151</v>
      </c>
      <c r="I90" s="96"/>
      <c r="J90" s="100" t="s">
        <v>379</v>
      </c>
      <c r="K90" s="101" t="s">
        <v>380</v>
      </c>
      <c r="L90" s="137" t="s">
        <v>164</v>
      </c>
      <c r="M90" s="49" t="s">
        <v>63</v>
      </c>
      <c r="N90" s="43" t="s">
        <v>55</v>
      </c>
      <c r="O90" s="124" t="s">
        <v>56</v>
      </c>
      <c r="P90" s="101" t="s">
        <v>1693</v>
      </c>
      <c r="Q90" s="107"/>
    </row>
    <row r="91" ht="31.5" customHeight="1">
      <c r="A91" s="73" t="s">
        <v>1694</v>
      </c>
      <c r="B91" s="75" t="s">
        <v>1684</v>
      </c>
      <c r="C91" s="73" t="s">
        <v>378</v>
      </c>
      <c r="D91" s="77" t="s">
        <v>370</v>
      </c>
      <c r="E91" s="77" t="s">
        <v>1688</v>
      </c>
      <c r="F91" s="77" t="s">
        <v>148</v>
      </c>
      <c r="G91" s="77" t="s">
        <v>106</v>
      </c>
      <c r="H91" s="77" t="s">
        <v>151</v>
      </c>
      <c r="I91" s="75"/>
      <c r="J91" s="81" t="s">
        <v>379</v>
      </c>
      <c r="K91" s="45" t="s">
        <v>380</v>
      </c>
      <c r="L91" s="88" t="s">
        <v>63</v>
      </c>
      <c r="M91" s="41" t="s">
        <v>52</v>
      </c>
      <c r="N91" s="43" t="s">
        <v>55</v>
      </c>
      <c r="O91" s="115" t="s">
        <v>56</v>
      </c>
      <c r="P91" s="45" t="s">
        <v>1696</v>
      </c>
      <c r="Q91" s="44"/>
    </row>
    <row r="92" ht="31.5" customHeight="1">
      <c r="A92" s="94" t="s">
        <v>1568</v>
      </c>
      <c r="B92" s="96" t="s">
        <v>1563</v>
      </c>
      <c r="C92" s="94" t="s">
        <v>378</v>
      </c>
      <c r="D92" s="97" t="s">
        <v>370</v>
      </c>
      <c r="E92" s="97" t="s">
        <v>1688</v>
      </c>
      <c r="F92" s="97" t="s">
        <v>148</v>
      </c>
      <c r="G92" s="97" t="s">
        <v>106</v>
      </c>
      <c r="H92" s="97" t="s">
        <v>151</v>
      </c>
      <c r="I92" s="96"/>
      <c r="J92" s="100" t="s">
        <v>379</v>
      </c>
      <c r="K92" s="101" t="s">
        <v>380</v>
      </c>
      <c r="L92" s="88" t="s">
        <v>63</v>
      </c>
      <c r="M92" s="149" t="s">
        <v>503</v>
      </c>
      <c r="N92" s="150" t="s">
        <v>35</v>
      </c>
      <c r="O92" s="124" t="s">
        <v>56</v>
      </c>
      <c r="P92" s="101" t="s">
        <v>1570</v>
      </c>
      <c r="Q92" s="107" t="s">
        <v>1571</v>
      </c>
    </row>
    <row r="93" ht="31.5" customHeight="1">
      <c r="A93" s="73" t="s">
        <v>1547</v>
      </c>
      <c r="B93" s="75" t="s">
        <v>1541</v>
      </c>
      <c r="C93" s="73" t="s">
        <v>378</v>
      </c>
      <c r="D93" s="77" t="s">
        <v>370</v>
      </c>
      <c r="E93" s="77" t="s">
        <v>1688</v>
      </c>
      <c r="F93" s="77" t="s">
        <v>148</v>
      </c>
      <c r="G93" s="77" t="s">
        <v>106</v>
      </c>
      <c r="H93" s="77" t="s">
        <v>151</v>
      </c>
      <c r="I93" s="75"/>
      <c r="J93" s="81" t="s">
        <v>379</v>
      </c>
      <c r="K93" s="45" t="s">
        <v>380</v>
      </c>
      <c r="L93" s="125" t="s">
        <v>92</v>
      </c>
      <c r="M93" s="50" t="s">
        <v>64</v>
      </c>
      <c r="N93" s="43" t="s">
        <v>55</v>
      </c>
      <c r="O93" s="59" t="s">
        <v>166</v>
      </c>
      <c r="P93" s="45" t="s">
        <v>1543</v>
      </c>
      <c r="Q93" s="44" t="s">
        <v>1545</v>
      </c>
    </row>
    <row r="94" ht="39.75" customHeight="1">
      <c r="A94" s="94" t="s">
        <v>425</v>
      </c>
      <c r="B94" s="96" t="s">
        <v>39</v>
      </c>
      <c r="C94" s="94" t="s">
        <v>378</v>
      </c>
      <c r="D94" s="97" t="s">
        <v>370</v>
      </c>
      <c r="E94" s="97" t="s">
        <v>1688</v>
      </c>
      <c r="F94" s="97" t="s">
        <v>148</v>
      </c>
      <c r="G94" s="97" t="s">
        <v>106</v>
      </c>
      <c r="H94" s="97" t="s">
        <v>151</v>
      </c>
      <c r="I94" s="96"/>
      <c r="J94" s="100" t="s">
        <v>379</v>
      </c>
      <c r="K94" s="101" t="s">
        <v>380</v>
      </c>
      <c r="L94" s="125" t="s">
        <v>92</v>
      </c>
      <c r="M94" s="49" t="s">
        <v>63</v>
      </c>
      <c r="N94" s="43" t="s">
        <v>55</v>
      </c>
      <c r="O94" s="105" t="s">
        <v>68</v>
      </c>
      <c r="P94" s="101" t="s">
        <v>404</v>
      </c>
      <c r="Q94" s="107" t="s">
        <v>409</v>
      </c>
    </row>
    <row r="95" ht="31.5" customHeight="1">
      <c r="A95" s="73" t="s">
        <v>1644</v>
      </c>
      <c r="B95" s="75" t="s">
        <v>1641</v>
      </c>
      <c r="C95" s="73" t="s">
        <v>378</v>
      </c>
      <c r="D95" s="77" t="s">
        <v>370</v>
      </c>
      <c r="E95" s="77" t="s">
        <v>1688</v>
      </c>
      <c r="F95" s="77" t="s">
        <v>148</v>
      </c>
      <c r="G95" s="77" t="s">
        <v>106</v>
      </c>
      <c r="H95" s="77" t="s">
        <v>151</v>
      </c>
      <c r="I95" s="75"/>
      <c r="J95" s="81" t="s">
        <v>379</v>
      </c>
      <c r="K95" s="45" t="s">
        <v>380</v>
      </c>
      <c r="L95" s="127" t="s">
        <v>64</v>
      </c>
      <c r="M95" s="62" t="s">
        <v>92</v>
      </c>
      <c r="N95" s="43" t="s">
        <v>55</v>
      </c>
      <c r="O95" s="115" t="s">
        <v>56</v>
      </c>
      <c r="P95" s="45" t="s">
        <v>1646</v>
      </c>
      <c r="Q95" s="44" t="s">
        <v>1647</v>
      </c>
    </row>
    <row r="96" ht="31.5" customHeight="1">
      <c r="A96" s="94" t="s">
        <v>1637</v>
      </c>
      <c r="B96" s="96" t="s">
        <v>1634</v>
      </c>
      <c r="C96" s="94" t="s">
        <v>378</v>
      </c>
      <c r="D96" s="97" t="s">
        <v>370</v>
      </c>
      <c r="E96" s="97" t="s">
        <v>1688</v>
      </c>
      <c r="F96" s="97" t="s">
        <v>148</v>
      </c>
      <c r="G96" s="97" t="s">
        <v>106</v>
      </c>
      <c r="H96" s="97" t="s">
        <v>151</v>
      </c>
      <c r="I96" s="96"/>
      <c r="J96" s="100" t="s">
        <v>379</v>
      </c>
      <c r="K96" s="101" t="s">
        <v>380</v>
      </c>
      <c r="L96" s="188" t="s">
        <v>203</v>
      </c>
      <c r="M96" s="50" t="s">
        <v>64</v>
      </c>
      <c r="N96" s="43" t="s">
        <v>55</v>
      </c>
      <c r="O96" s="124" t="s">
        <v>56</v>
      </c>
      <c r="P96" s="101" t="s">
        <v>1639</v>
      </c>
      <c r="Q96" s="107"/>
    </row>
    <row r="97" ht="31.5" customHeight="1">
      <c r="A97" s="73" t="s">
        <v>1710</v>
      </c>
      <c r="B97" s="75" t="s">
        <v>1711</v>
      </c>
      <c r="C97" s="73" t="s">
        <v>378</v>
      </c>
      <c r="D97" s="77" t="s">
        <v>370</v>
      </c>
      <c r="E97" s="77" t="s">
        <v>1688</v>
      </c>
      <c r="F97" s="77" t="s">
        <v>148</v>
      </c>
      <c r="G97" s="77" t="s">
        <v>106</v>
      </c>
      <c r="H97" s="77" t="s">
        <v>151</v>
      </c>
      <c r="I97" s="75"/>
      <c r="J97" s="81" t="s">
        <v>379</v>
      </c>
      <c r="K97" s="45" t="s">
        <v>380</v>
      </c>
      <c r="L97" s="88" t="s">
        <v>63</v>
      </c>
      <c r="M97" s="50" t="s">
        <v>64</v>
      </c>
      <c r="N97" s="43" t="s">
        <v>55</v>
      </c>
      <c r="O97" s="115" t="s">
        <v>56</v>
      </c>
      <c r="P97" s="45" t="s">
        <v>1713</v>
      </c>
      <c r="Q97" s="44"/>
    </row>
    <row r="98" ht="31.5" customHeight="1">
      <c r="A98" s="94" t="s">
        <v>1714</v>
      </c>
      <c r="B98" s="96" t="s">
        <v>1715</v>
      </c>
      <c r="C98" s="94" t="s">
        <v>378</v>
      </c>
      <c r="D98" s="97" t="s">
        <v>370</v>
      </c>
      <c r="E98" s="97" t="s">
        <v>1688</v>
      </c>
      <c r="F98" s="97" t="s">
        <v>148</v>
      </c>
      <c r="G98" s="97" t="s">
        <v>106</v>
      </c>
      <c r="H98" s="97" t="s">
        <v>151</v>
      </c>
      <c r="I98" s="96"/>
      <c r="J98" s="100" t="s">
        <v>379</v>
      </c>
      <c r="K98" s="101" t="s">
        <v>380</v>
      </c>
      <c r="L98" s="125" t="s">
        <v>92</v>
      </c>
      <c r="M98" s="86" t="s">
        <v>164</v>
      </c>
      <c r="N98" s="43" t="s">
        <v>55</v>
      </c>
      <c r="O98" s="124" t="s">
        <v>56</v>
      </c>
      <c r="P98" s="101" t="s">
        <v>1717</v>
      </c>
      <c r="Q98" s="107"/>
    </row>
    <row r="99" ht="31.5" customHeight="1">
      <c r="A99" s="73" t="s">
        <v>1607</v>
      </c>
      <c r="B99" s="75" t="s">
        <v>1608</v>
      </c>
      <c r="C99" s="73" t="s">
        <v>378</v>
      </c>
      <c r="D99" s="77" t="s">
        <v>370</v>
      </c>
      <c r="E99" s="77" t="s">
        <v>1688</v>
      </c>
      <c r="F99" s="77" t="s">
        <v>148</v>
      </c>
      <c r="G99" s="77" t="s">
        <v>106</v>
      </c>
      <c r="H99" s="77" t="s">
        <v>151</v>
      </c>
      <c r="I99" s="75"/>
      <c r="J99" s="81" t="s">
        <v>379</v>
      </c>
      <c r="K99" s="45" t="s">
        <v>380</v>
      </c>
      <c r="L99" s="148" t="s">
        <v>199</v>
      </c>
      <c r="M99" s="50" t="s">
        <v>64</v>
      </c>
      <c r="N99" s="43" t="s">
        <v>55</v>
      </c>
      <c r="O99" s="115" t="s">
        <v>56</v>
      </c>
      <c r="P99" s="45" t="s">
        <v>1610</v>
      </c>
      <c r="Q99" s="44"/>
    </row>
    <row r="100" ht="31.5" customHeight="1">
      <c r="A100" s="94" t="s">
        <v>1718</v>
      </c>
      <c r="B100" s="96" t="s">
        <v>1719</v>
      </c>
      <c r="C100" s="94" t="s">
        <v>378</v>
      </c>
      <c r="D100" s="97" t="s">
        <v>370</v>
      </c>
      <c r="E100" s="97" t="s">
        <v>1688</v>
      </c>
      <c r="F100" s="97" t="s">
        <v>148</v>
      </c>
      <c r="G100" s="97" t="s">
        <v>106</v>
      </c>
      <c r="H100" s="97" t="s">
        <v>151</v>
      </c>
      <c r="I100" s="96"/>
      <c r="J100" s="100" t="s">
        <v>379</v>
      </c>
      <c r="K100" s="101" t="s">
        <v>380</v>
      </c>
      <c r="L100" s="140" t="s">
        <v>52</v>
      </c>
      <c r="M100" s="86" t="s">
        <v>164</v>
      </c>
      <c r="N100" s="43" t="s">
        <v>55</v>
      </c>
      <c r="O100" s="124" t="s">
        <v>56</v>
      </c>
      <c r="P100" s="101" t="s">
        <v>1721</v>
      </c>
      <c r="Q100" s="107"/>
    </row>
    <row r="101" ht="31.5" customHeight="1">
      <c r="A101" s="73" t="s">
        <v>1722</v>
      </c>
      <c r="B101" s="75" t="s">
        <v>1723</v>
      </c>
      <c r="C101" s="73" t="s">
        <v>378</v>
      </c>
      <c r="D101" s="77" t="s">
        <v>370</v>
      </c>
      <c r="E101" s="77" t="s">
        <v>1688</v>
      </c>
      <c r="F101" s="77" t="s">
        <v>148</v>
      </c>
      <c r="G101" s="77" t="s">
        <v>106</v>
      </c>
      <c r="H101" s="77" t="s">
        <v>151</v>
      </c>
      <c r="I101" s="75"/>
      <c r="J101" s="81" t="s">
        <v>379</v>
      </c>
      <c r="K101" s="45" t="s">
        <v>380</v>
      </c>
      <c r="L101" s="148" t="s">
        <v>199</v>
      </c>
      <c r="M101" s="50" t="s">
        <v>64</v>
      </c>
      <c r="N101" s="43" t="s">
        <v>55</v>
      </c>
      <c r="O101" s="115" t="s">
        <v>56</v>
      </c>
      <c r="P101" s="45" t="s">
        <v>1725</v>
      </c>
      <c r="Q101" s="44"/>
    </row>
    <row r="102" ht="31.5" customHeight="1">
      <c r="A102" s="94" t="s">
        <v>1477</v>
      </c>
      <c r="B102" s="96" t="s">
        <v>88</v>
      </c>
      <c r="C102" s="94" t="s">
        <v>378</v>
      </c>
      <c r="D102" s="97" t="s">
        <v>370</v>
      </c>
      <c r="E102" s="97" t="s">
        <v>1688</v>
      </c>
      <c r="F102" s="97" t="s">
        <v>148</v>
      </c>
      <c r="G102" s="97" t="s">
        <v>106</v>
      </c>
      <c r="H102" s="97" t="s">
        <v>151</v>
      </c>
      <c r="I102" s="96"/>
      <c r="J102" s="100" t="s">
        <v>379</v>
      </c>
      <c r="K102" s="101" t="s">
        <v>380</v>
      </c>
      <c r="L102" s="140" t="s">
        <v>52</v>
      </c>
      <c r="M102" s="86" t="s">
        <v>164</v>
      </c>
      <c r="N102" s="43" t="s">
        <v>55</v>
      </c>
      <c r="O102" s="124" t="s">
        <v>56</v>
      </c>
      <c r="P102" s="101" t="s">
        <v>1479</v>
      </c>
      <c r="Q102" s="107"/>
    </row>
    <row r="103" ht="39.75" customHeight="1">
      <c r="A103" s="73" t="s">
        <v>1726</v>
      </c>
      <c r="B103" s="75" t="s">
        <v>1727</v>
      </c>
      <c r="C103" s="73" t="s">
        <v>378</v>
      </c>
      <c r="D103" s="77" t="s">
        <v>370</v>
      </c>
      <c r="E103" s="77" t="s">
        <v>1688</v>
      </c>
      <c r="F103" s="77" t="s">
        <v>148</v>
      </c>
      <c r="G103" s="77" t="s">
        <v>106</v>
      </c>
      <c r="H103" s="77" t="s">
        <v>151</v>
      </c>
      <c r="I103" s="75"/>
      <c r="J103" s="81" t="s">
        <v>379</v>
      </c>
      <c r="K103" s="45" t="s">
        <v>380</v>
      </c>
      <c r="L103" s="88" t="s">
        <v>63</v>
      </c>
      <c r="M103" s="86" t="s">
        <v>164</v>
      </c>
      <c r="N103" s="43" t="s">
        <v>55</v>
      </c>
      <c r="O103" s="115" t="s">
        <v>56</v>
      </c>
      <c r="P103" s="45" t="s">
        <v>1729</v>
      </c>
      <c r="Q103" s="44" t="s">
        <v>1731</v>
      </c>
    </row>
    <row r="104" ht="31.5" customHeight="1">
      <c r="A104" s="94" t="s">
        <v>1732</v>
      </c>
      <c r="B104" s="96" t="s">
        <v>1733</v>
      </c>
      <c r="C104" s="94" t="s">
        <v>378</v>
      </c>
      <c r="D104" s="97" t="s">
        <v>370</v>
      </c>
      <c r="E104" s="97" t="s">
        <v>1688</v>
      </c>
      <c r="F104" s="97" t="s">
        <v>148</v>
      </c>
      <c r="G104" s="97" t="s">
        <v>106</v>
      </c>
      <c r="H104" s="97" t="s">
        <v>151</v>
      </c>
      <c r="I104" s="96"/>
      <c r="J104" s="100" t="s">
        <v>379</v>
      </c>
      <c r="K104" s="101" t="s">
        <v>380</v>
      </c>
      <c r="L104" s="137" t="s">
        <v>164</v>
      </c>
      <c r="M104" s="50" t="s">
        <v>64</v>
      </c>
      <c r="N104" s="43" t="s">
        <v>55</v>
      </c>
      <c r="O104" s="124" t="s">
        <v>56</v>
      </c>
      <c r="P104" s="101" t="s">
        <v>1735</v>
      </c>
      <c r="Q104" s="107"/>
    </row>
    <row r="105" ht="31.5" customHeight="1">
      <c r="A105" s="73" t="s">
        <v>1739</v>
      </c>
      <c r="B105" s="75" t="s">
        <v>1740</v>
      </c>
      <c r="C105" s="73" t="s">
        <v>378</v>
      </c>
      <c r="D105" s="77" t="s">
        <v>370</v>
      </c>
      <c r="E105" s="77" t="s">
        <v>1688</v>
      </c>
      <c r="F105" s="77" t="s">
        <v>148</v>
      </c>
      <c r="G105" s="77" t="s">
        <v>106</v>
      </c>
      <c r="H105" s="77" t="s">
        <v>151</v>
      </c>
      <c r="I105" s="75"/>
      <c r="J105" s="81" t="s">
        <v>379</v>
      </c>
      <c r="K105" s="45" t="s">
        <v>380</v>
      </c>
      <c r="L105" s="140" t="s">
        <v>52</v>
      </c>
      <c r="M105" s="86" t="s">
        <v>164</v>
      </c>
      <c r="N105" s="43" t="s">
        <v>55</v>
      </c>
      <c r="O105" s="115" t="s">
        <v>56</v>
      </c>
      <c r="P105" s="45" t="s">
        <v>1742</v>
      </c>
      <c r="Q105" s="44"/>
    </row>
    <row r="106" ht="39.75" customHeight="1">
      <c r="A106" s="94" t="s">
        <v>949</v>
      </c>
      <c r="B106" s="96" t="s">
        <v>66</v>
      </c>
      <c r="C106" s="94" t="s">
        <v>378</v>
      </c>
      <c r="D106" s="97" t="s">
        <v>370</v>
      </c>
      <c r="E106" s="97" t="s">
        <v>1688</v>
      </c>
      <c r="F106" s="97" t="s">
        <v>148</v>
      </c>
      <c r="G106" s="97" t="s">
        <v>106</v>
      </c>
      <c r="H106" s="97" t="s">
        <v>151</v>
      </c>
      <c r="I106" s="139" t="s">
        <v>1006</v>
      </c>
      <c r="J106" s="100" t="s">
        <v>379</v>
      </c>
      <c r="K106" s="101" t="s">
        <v>380</v>
      </c>
      <c r="L106" s="88" t="s">
        <v>63</v>
      </c>
      <c r="M106" s="50" t="s">
        <v>64</v>
      </c>
      <c r="N106" s="43" t="s">
        <v>55</v>
      </c>
      <c r="O106" s="105" t="s">
        <v>68</v>
      </c>
      <c r="P106" s="101" t="s">
        <v>891</v>
      </c>
      <c r="Q106" s="107" t="s">
        <v>893</v>
      </c>
    </row>
    <row r="107" ht="31.5" customHeight="1">
      <c r="A107" s="73" t="s">
        <v>1679</v>
      </c>
      <c r="B107" s="75" t="s">
        <v>1675</v>
      </c>
      <c r="C107" s="73" t="s">
        <v>378</v>
      </c>
      <c r="D107" s="77" t="s">
        <v>370</v>
      </c>
      <c r="E107" s="77" t="s">
        <v>1688</v>
      </c>
      <c r="F107" s="77" t="s">
        <v>148</v>
      </c>
      <c r="G107" s="77" t="s">
        <v>106</v>
      </c>
      <c r="H107" s="77" t="s">
        <v>151</v>
      </c>
      <c r="I107" s="75"/>
      <c r="J107" s="81" t="s">
        <v>379</v>
      </c>
      <c r="K107" s="45" t="s">
        <v>380</v>
      </c>
      <c r="L107" s="125" t="s">
        <v>92</v>
      </c>
      <c r="M107" s="50" t="s">
        <v>64</v>
      </c>
      <c r="N107" s="43" t="s">
        <v>55</v>
      </c>
      <c r="O107" s="115" t="s">
        <v>56</v>
      </c>
      <c r="P107" s="45" t="s">
        <v>1681</v>
      </c>
      <c r="Q107" s="44" t="s">
        <v>1682</v>
      </c>
    </row>
    <row r="108" ht="39.75" customHeight="1">
      <c r="A108" s="94" t="s">
        <v>1225</v>
      </c>
      <c r="B108" s="96" t="s">
        <v>82</v>
      </c>
      <c r="C108" s="94" t="s">
        <v>378</v>
      </c>
      <c r="D108" s="97" t="s">
        <v>370</v>
      </c>
      <c r="E108" s="97" t="s">
        <v>1688</v>
      </c>
      <c r="F108" s="97" t="s">
        <v>148</v>
      </c>
      <c r="G108" s="97" t="s">
        <v>106</v>
      </c>
      <c r="H108" s="97" t="s">
        <v>151</v>
      </c>
      <c r="I108" s="96"/>
      <c r="J108" s="100" t="s">
        <v>379</v>
      </c>
      <c r="K108" s="101" t="s">
        <v>380</v>
      </c>
      <c r="L108" s="148" t="s">
        <v>199</v>
      </c>
      <c r="M108" s="50" t="s">
        <v>64</v>
      </c>
      <c r="N108" s="43" t="s">
        <v>55</v>
      </c>
      <c r="O108" s="105" t="s">
        <v>166</v>
      </c>
      <c r="P108" s="101" t="s">
        <v>1189</v>
      </c>
      <c r="Q108" s="107" t="s">
        <v>1190</v>
      </c>
    </row>
    <row r="109" ht="31.5" customHeight="1">
      <c r="A109" s="73" t="s">
        <v>1743</v>
      </c>
      <c r="B109" s="75" t="s">
        <v>1744</v>
      </c>
      <c r="C109" s="73" t="s">
        <v>378</v>
      </c>
      <c r="D109" s="77" t="s">
        <v>370</v>
      </c>
      <c r="E109" s="77" t="s">
        <v>1688</v>
      </c>
      <c r="F109" s="77" t="s">
        <v>148</v>
      </c>
      <c r="G109" s="77" t="s">
        <v>106</v>
      </c>
      <c r="H109" s="77" t="s">
        <v>151</v>
      </c>
      <c r="I109" s="75"/>
      <c r="J109" s="81" t="s">
        <v>379</v>
      </c>
      <c r="K109" s="45" t="s">
        <v>380</v>
      </c>
      <c r="L109" s="126" t="s">
        <v>78</v>
      </c>
      <c r="M109" s="50" t="s">
        <v>64</v>
      </c>
      <c r="N109" s="43" t="s">
        <v>55</v>
      </c>
      <c r="O109" s="115" t="s">
        <v>56</v>
      </c>
      <c r="P109" s="45" t="s">
        <v>1746</v>
      </c>
      <c r="Q109" s="44"/>
    </row>
    <row r="110" ht="39.75" customHeight="1">
      <c r="A110" s="94" t="s">
        <v>769</v>
      </c>
      <c r="B110" s="96" t="s">
        <v>60</v>
      </c>
      <c r="C110" s="94" t="s">
        <v>378</v>
      </c>
      <c r="D110" s="97" t="s">
        <v>370</v>
      </c>
      <c r="E110" s="97" t="s">
        <v>1688</v>
      </c>
      <c r="F110" s="97" t="s">
        <v>148</v>
      </c>
      <c r="G110" s="97" t="s">
        <v>106</v>
      </c>
      <c r="H110" s="97" t="s">
        <v>151</v>
      </c>
      <c r="I110" s="96"/>
      <c r="J110" s="100" t="s">
        <v>379</v>
      </c>
      <c r="K110" s="101" t="s">
        <v>380</v>
      </c>
      <c r="L110" s="88" t="s">
        <v>63</v>
      </c>
      <c r="M110" s="50" t="s">
        <v>64</v>
      </c>
      <c r="N110" s="43" t="s">
        <v>55</v>
      </c>
      <c r="O110" s="105" t="s">
        <v>68</v>
      </c>
      <c r="P110" s="101" t="s">
        <v>706</v>
      </c>
      <c r="Q110" s="107" t="s">
        <v>775</v>
      </c>
    </row>
    <row r="111" ht="31.5" customHeight="1">
      <c r="A111" s="73" t="s">
        <v>1548</v>
      </c>
      <c r="B111" s="75" t="s">
        <v>1541</v>
      </c>
      <c r="C111" s="73" t="s">
        <v>378</v>
      </c>
      <c r="D111" s="77" t="s">
        <v>370</v>
      </c>
      <c r="E111" s="77" t="s">
        <v>1688</v>
      </c>
      <c r="F111" s="77" t="s">
        <v>148</v>
      </c>
      <c r="G111" s="77" t="s">
        <v>106</v>
      </c>
      <c r="H111" s="77" t="s">
        <v>151</v>
      </c>
      <c r="I111" s="75"/>
      <c r="J111" s="81" t="s">
        <v>379</v>
      </c>
      <c r="K111" s="45" t="s">
        <v>380</v>
      </c>
      <c r="L111" s="140" t="s">
        <v>52</v>
      </c>
      <c r="M111" s="62" t="s">
        <v>92</v>
      </c>
      <c r="N111" s="43" t="s">
        <v>55</v>
      </c>
      <c r="O111" s="59" t="s">
        <v>166</v>
      </c>
      <c r="P111" s="45" t="s">
        <v>1543</v>
      </c>
      <c r="Q111" s="44" t="s">
        <v>1545</v>
      </c>
    </row>
    <row r="112" ht="31.5" customHeight="1">
      <c r="A112" s="94" t="s">
        <v>1736</v>
      </c>
      <c r="B112" s="96" t="s">
        <v>1733</v>
      </c>
      <c r="C112" s="94" t="s">
        <v>378</v>
      </c>
      <c r="D112" s="97" t="s">
        <v>370</v>
      </c>
      <c r="E112" s="97" t="s">
        <v>1688</v>
      </c>
      <c r="F112" s="97" t="s">
        <v>148</v>
      </c>
      <c r="G112" s="97" t="s">
        <v>106</v>
      </c>
      <c r="H112" s="97" t="s">
        <v>151</v>
      </c>
      <c r="I112" s="96"/>
      <c r="J112" s="100" t="s">
        <v>379</v>
      </c>
      <c r="K112" s="101" t="s">
        <v>380</v>
      </c>
      <c r="L112" s="88" t="s">
        <v>63</v>
      </c>
      <c r="M112" s="50" t="s">
        <v>64</v>
      </c>
      <c r="N112" s="43" t="s">
        <v>55</v>
      </c>
      <c r="O112" s="124" t="s">
        <v>56</v>
      </c>
      <c r="P112" s="101" t="s">
        <v>1738</v>
      </c>
      <c r="Q112" s="107"/>
    </row>
    <row r="113" ht="31.5" customHeight="1">
      <c r="A113" s="73" t="s">
        <v>1559</v>
      </c>
      <c r="B113" s="75" t="s">
        <v>1553</v>
      </c>
      <c r="C113" s="73" t="s">
        <v>378</v>
      </c>
      <c r="D113" s="77" t="s">
        <v>370</v>
      </c>
      <c r="E113" s="77" t="s">
        <v>1688</v>
      </c>
      <c r="F113" s="77" t="s">
        <v>148</v>
      </c>
      <c r="G113" s="77" t="s">
        <v>106</v>
      </c>
      <c r="H113" s="77" t="s">
        <v>151</v>
      </c>
      <c r="I113" s="75"/>
      <c r="J113" s="81" t="s">
        <v>379</v>
      </c>
      <c r="K113" s="45" t="s">
        <v>380</v>
      </c>
      <c r="L113" s="103" t="s">
        <v>76</v>
      </c>
      <c r="M113" s="57" t="s">
        <v>78</v>
      </c>
      <c r="N113" s="43" t="s">
        <v>55</v>
      </c>
      <c r="O113" s="115" t="s">
        <v>56</v>
      </c>
      <c r="P113" s="45" t="s">
        <v>1561</v>
      </c>
      <c r="Q113" s="44"/>
    </row>
    <row r="114" ht="31.5" customHeight="1">
      <c r="A114" s="94" t="s">
        <v>1155</v>
      </c>
      <c r="B114" s="96" t="s">
        <v>71</v>
      </c>
      <c r="C114" s="94" t="s">
        <v>378</v>
      </c>
      <c r="D114" s="97" t="s">
        <v>370</v>
      </c>
      <c r="E114" s="97" t="s">
        <v>1688</v>
      </c>
      <c r="F114" s="97" t="s">
        <v>148</v>
      </c>
      <c r="G114" s="97" t="s">
        <v>106</v>
      </c>
      <c r="H114" s="97" t="s">
        <v>151</v>
      </c>
      <c r="I114" s="96"/>
      <c r="J114" s="100" t="s">
        <v>379</v>
      </c>
      <c r="K114" s="101" t="s">
        <v>380</v>
      </c>
      <c r="L114" s="127" t="s">
        <v>64</v>
      </c>
      <c r="M114" s="62" t="s">
        <v>92</v>
      </c>
      <c r="N114" s="43" t="s">
        <v>55</v>
      </c>
      <c r="O114" s="124" t="s">
        <v>163</v>
      </c>
      <c r="P114" s="101" t="s">
        <v>1157</v>
      </c>
      <c r="Q114" s="107"/>
    </row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C7B17AF0-E4A4-4B69-83C9-BABB483A9C26}" filter="1" showAutoFilter="1">
      <autoFilter ref="$A$6:$Q$114"/>
    </customSheetView>
  </customSheetViews>
  <mergeCells count="6">
    <mergeCell ref="A1:K2"/>
    <mergeCell ref="L1:Q2"/>
    <mergeCell ref="A3:K3"/>
    <mergeCell ref="L3:Q3"/>
    <mergeCell ref="A4:K4"/>
    <mergeCell ref="L4:Q4"/>
  </mergeCells>
  <hyperlinks>
    <hyperlink r:id="rId2" location="'Overview'!A1" ref="A4"/>
    <hyperlink r:id="rId3" location="'Club Colours'!A1" ref="L4"/>
    <hyperlink r:id="rId4" location="'Sources'!A38" ref="J7"/>
    <hyperlink r:id="rId5" ref="K7"/>
    <hyperlink r:id="rId6" location="'Club Colours'!A506" ref="L7"/>
    <hyperlink r:id="rId7" ref="P7"/>
    <hyperlink r:id="rId8" location="'Sources'!A38" ref="J8"/>
    <hyperlink r:id="rId9" ref="K8"/>
    <hyperlink r:id="rId10" location="'Club Colours'!A8" ref="L8"/>
    <hyperlink r:id="rId11" ref="P8"/>
    <hyperlink r:id="rId12" location="'Sources'!A38" ref="J9"/>
    <hyperlink r:id="rId13" ref="K9"/>
    <hyperlink r:id="rId14" location="'Club Colours'!A9" ref="L9"/>
    <hyperlink r:id="rId15" ref="P9"/>
    <hyperlink r:id="rId16" location="'Sources'!A38" ref="J10"/>
    <hyperlink r:id="rId17" ref="K10"/>
    <hyperlink r:id="rId18" location="'Club Colours'!A84" ref="L10"/>
    <hyperlink r:id="rId19" ref="P10"/>
    <hyperlink r:id="rId20" location="'Sources'!A38" ref="J11"/>
    <hyperlink r:id="rId21" ref="K11"/>
    <hyperlink r:id="rId22" location="'Club Colours'!A87" ref="L11"/>
    <hyperlink r:id="rId23" ref="P11"/>
    <hyperlink r:id="rId24" location="'Sources'!A38" ref="J12"/>
    <hyperlink r:id="rId25" ref="K12"/>
    <hyperlink r:id="rId26" location="'Club Colours'!A266" ref="L12"/>
    <hyperlink r:id="rId27" ref="P12"/>
    <hyperlink r:id="rId28" location="'Sources'!A38" ref="J13"/>
    <hyperlink r:id="rId29" ref="K13"/>
    <hyperlink r:id="rId30" location="'Club Colours'!A678" ref="L13"/>
    <hyperlink r:id="rId31" ref="P13"/>
    <hyperlink r:id="rId32" location="'Sources'!A38" ref="J14"/>
    <hyperlink r:id="rId33" ref="K14"/>
    <hyperlink r:id="rId34" location="'Club Colours'!A267" ref="L14"/>
    <hyperlink r:id="rId35" ref="P14"/>
    <hyperlink r:id="rId36" location="'Sources'!A38" ref="J15"/>
    <hyperlink r:id="rId37" ref="K15"/>
    <hyperlink r:id="rId38" location="'Club Colours'!A683" ref="L15"/>
    <hyperlink r:id="rId39" ref="P15"/>
    <hyperlink r:id="rId40" location="'Sources'!A38" ref="J16"/>
    <hyperlink r:id="rId41" ref="K16"/>
    <hyperlink r:id="rId42" location="'Club Colours'!A181" ref="L16"/>
    <hyperlink r:id="rId43" ref="P16"/>
    <hyperlink r:id="rId44" location="'Sources'!A38" ref="J17"/>
    <hyperlink r:id="rId45" ref="K17"/>
    <hyperlink r:id="rId46" location="'Club Colours'!A688" ref="L17"/>
    <hyperlink r:id="rId47" ref="P17"/>
    <hyperlink r:id="rId48" location="'Sources'!A38" ref="J18"/>
    <hyperlink r:id="rId49" ref="K18"/>
    <hyperlink r:id="rId50" location="'Club Colours'!A694" ref="L18"/>
    <hyperlink r:id="rId51" ref="P18"/>
    <hyperlink r:id="rId52" location="'Sources'!A38" ref="J19"/>
    <hyperlink r:id="rId53" ref="K19"/>
    <hyperlink r:id="rId54" location="'Club Colours'!A689" ref="L19"/>
    <hyperlink r:id="rId55" ref="P19"/>
    <hyperlink r:id="rId56" location="'Sources'!A38" ref="J20"/>
    <hyperlink r:id="rId57" ref="K20"/>
    <hyperlink r:id="rId58" location="'Club Colours'!A200" ref="L20"/>
    <hyperlink r:id="rId59" ref="P20"/>
    <hyperlink r:id="rId60" location="'Sources'!A38" ref="J21"/>
    <hyperlink r:id="rId61" ref="K21"/>
    <hyperlink r:id="rId62" location="'Club Colours'!A697" ref="L21"/>
    <hyperlink r:id="rId63" ref="P21"/>
    <hyperlink r:id="rId64" location="'Sources'!A38" ref="J22"/>
    <hyperlink r:id="rId65" ref="K22"/>
    <hyperlink r:id="rId66" location="'Club Colours'!A336" ref="L22"/>
    <hyperlink r:id="rId67" ref="P22"/>
    <hyperlink r:id="rId68" location="'Sources'!A38" ref="J23"/>
    <hyperlink r:id="rId69" ref="K23"/>
    <hyperlink r:id="rId70" location="'Club Colours'!A337" ref="L23"/>
    <hyperlink r:id="rId71" ref="P23"/>
    <hyperlink r:id="rId72" location="'Sources'!A38" ref="J24"/>
    <hyperlink r:id="rId73" ref="K24"/>
    <hyperlink r:id="rId74" location="'Club Colours'!A40" ref="L24"/>
    <hyperlink r:id="rId75" ref="P24"/>
    <hyperlink r:id="rId76" location="'Sources'!A38" ref="J25"/>
    <hyperlink r:id="rId77" ref="K25"/>
    <hyperlink r:id="rId78" location="'Club Colours'!A42" ref="L25"/>
    <hyperlink r:id="rId79" ref="P25"/>
    <hyperlink r:id="rId80" location="'Sources'!A38" ref="J26"/>
    <hyperlink r:id="rId81" ref="K26"/>
    <hyperlink r:id="rId82" location="'Club Colours'!A43" ref="L26"/>
    <hyperlink r:id="rId83" ref="P26"/>
    <hyperlink r:id="rId84" location="'Sources'!A38" ref="J27"/>
    <hyperlink r:id="rId85" ref="K27"/>
    <hyperlink r:id="rId86" location="'Club Colours'!A216" ref="L27"/>
    <hyperlink r:id="rId87" ref="P27"/>
    <hyperlink r:id="rId88" location="'Sources'!A38" ref="J28"/>
    <hyperlink r:id="rId89" ref="K28"/>
    <hyperlink r:id="rId90" location="'Club Colours'!A350" ref="L28"/>
    <hyperlink r:id="rId91" ref="P28"/>
    <hyperlink r:id="rId92" location="'Sources'!A38" ref="J29"/>
    <hyperlink r:id="rId93" ref="K29"/>
    <hyperlink r:id="rId94" location="'Club Colours'!A702" ref="L29"/>
    <hyperlink r:id="rId95" ref="P29"/>
    <hyperlink r:id="rId96" location="'Sources'!A38" ref="J30"/>
    <hyperlink r:id="rId97" ref="K30"/>
    <hyperlink r:id="rId98" location="'Club Colours'!A696" ref="L30"/>
    <hyperlink r:id="rId99" ref="P30"/>
    <hyperlink r:id="rId100" location="'Sources'!A38" ref="J31"/>
    <hyperlink r:id="rId101" ref="K31"/>
    <hyperlink r:id="rId102" location="'Club Colours'!A290" ref="L31"/>
    <hyperlink r:id="rId103" ref="P31"/>
    <hyperlink r:id="rId104" location="'Sources'!A38" ref="J32"/>
    <hyperlink r:id="rId105" ref="K32"/>
    <hyperlink r:id="rId106" location="'Club Colours'!A131" ref="L32"/>
    <hyperlink r:id="rId107" ref="P32"/>
    <hyperlink r:id="rId108" location="'Sources'!A38" ref="J33"/>
    <hyperlink r:id="rId109" ref="K33"/>
    <hyperlink r:id="rId110" location="'Club Colours'!A133" ref="L33"/>
    <hyperlink r:id="rId111" ref="P33"/>
    <hyperlink r:id="rId112" location="'Sources'!A38" ref="J34"/>
    <hyperlink r:id="rId113" ref="K34"/>
    <hyperlink r:id="rId114" location="'Club Colours'!A235" ref="L34"/>
    <hyperlink r:id="rId115" ref="P34"/>
    <hyperlink r:id="rId116" location="'Sources'!A38" ref="J35"/>
    <hyperlink r:id="rId117" ref="K35"/>
    <hyperlink r:id="rId118" location="'Club Colours'!A705" ref="L35"/>
    <hyperlink r:id="rId119" ref="P35"/>
    <hyperlink r:id="rId120" location="'Sources'!A38" ref="J36"/>
    <hyperlink r:id="rId121" ref="K36"/>
    <hyperlink r:id="rId122" location="'Club Colours'!A706" ref="L36"/>
    <hyperlink r:id="rId123" ref="P36"/>
    <hyperlink r:id="rId124" location="'Sources'!A38" ref="J37"/>
    <hyperlink r:id="rId125" ref="K37"/>
    <hyperlink r:id="rId126" location="'Club Colours'!A708" ref="L37"/>
    <hyperlink r:id="rId127" ref="P37"/>
    <hyperlink r:id="rId128" location="'Sources'!A38" ref="J38"/>
    <hyperlink r:id="rId129" ref="K38"/>
    <hyperlink r:id="rId130" location="'Club Colours'!A711" ref="L38"/>
    <hyperlink r:id="rId131" ref="P38"/>
    <hyperlink r:id="rId132" location="'Sources'!A38" ref="J39"/>
    <hyperlink r:id="rId133" ref="K39"/>
    <hyperlink r:id="rId134" location="'Club Colours'!A703" ref="L39"/>
    <hyperlink r:id="rId135" ref="P39"/>
    <hyperlink r:id="rId136" location="'Sources'!A38" ref="J40"/>
    <hyperlink r:id="rId137" ref="K40"/>
    <hyperlink r:id="rId138" location="'Club Colours'!A304" ref="L40"/>
    <hyperlink r:id="rId139" ref="P40"/>
    <hyperlink r:id="rId140" location="'Sources'!A38" ref="J41"/>
    <hyperlink r:id="rId141" ref="K41"/>
    <hyperlink r:id="rId142" location="'Club Colours'!A681" ref="L41"/>
    <hyperlink r:id="rId143" ref="P41"/>
    <hyperlink r:id="rId144" location="'Sources'!A38" ref="J42"/>
    <hyperlink r:id="rId145" ref="K42"/>
    <hyperlink r:id="rId146" location="'Club Colours'!A153" ref="L42"/>
    <hyperlink r:id="rId147" ref="P42"/>
    <hyperlink r:id="rId148" location="'Sources'!A39" ref="J43"/>
    <hyperlink r:id="rId149" ref="K43"/>
    <hyperlink r:id="rId150" location="'Club Colours'!A682" ref="L43"/>
    <hyperlink r:id="rId151" ref="P43"/>
    <hyperlink r:id="rId152" location="'Sources'!A39" ref="J44"/>
    <hyperlink r:id="rId153" ref="K44"/>
    <hyperlink r:id="rId154" location="'Club Colours'!A712" ref="L44"/>
    <hyperlink r:id="rId155" ref="P44"/>
    <hyperlink r:id="rId156" location="'Sources'!A39" ref="J45"/>
    <hyperlink r:id="rId157" ref="K45"/>
    <hyperlink r:id="rId158" location="'Club Colours'!A692" ref="L45"/>
    <hyperlink r:id="rId159" ref="P45"/>
    <hyperlink r:id="rId160" location="'Sources'!A39" ref="J46"/>
    <hyperlink r:id="rId161" ref="K46"/>
    <hyperlink r:id="rId162" location="'Club Colours'!A265" ref="L46"/>
    <hyperlink r:id="rId163" ref="P46"/>
    <hyperlink r:id="rId164" location="'Sources'!A39" ref="J47"/>
    <hyperlink r:id="rId165" ref="K47"/>
    <hyperlink r:id="rId166" location="'Club Colours'!A700" ref="L47"/>
    <hyperlink r:id="rId167" ref="P47"/>
    <hyperlink r:id="rId168" location="'Sources'!A39" ref="J48"/>
    <hyperlink r:id="rId169" ref="K48"/>
    <hyperlink r:id="rId170" location="'Club Colours'!A687" ref="L48"/>
    <hyperlink r:id="rId171" ref="P48"/>
    <hyperlink r:id="rId172" location="'Sources'!A39" ref="J49"/>
    <hyperlink r:id="rId173" ref="K49"/>
    <hyperlink r:id="rId174" location="'Club Colours'!A15" ref="L49"/>
    <hyperlink r:id="rId175" ref="P49"/>
    <hyperlink r:id="rId176" location="'Sources'!A39" ref="J50"/>
    <hyperlink r:id="rId177" ref="K50"/>
    <hyperlink r:id="rId178" location="'Club Colours'!A713" ref="L50"/>
    <hyperlink r:id="rId179" ref="P50"/>
    <hyperlink r:id="rId180" location="'Sources'!A39" ref="J51"/>
    <hyperlink r:id="rId181" ref="K51"/>
    <hyperlink r:id="rId182" location="'Club Colours'!A94" ref="L51"/>
    <hyperlink r:id="rId183" ref="P51"/>
    <hyperlink r:id="rId184" location="'Sources'!A39" ref="J52"/>
    <hyperlink r:id="rId185" ref="K52"/>
    <hyperlink r:id="rId186" location="'Club Colours'!A714" ref="L52"/>
    <hyperlink r:id="rId187" ref="P52"/>
    <hyperlink r:id="rId188" location="'Sources'!A39" ref="J53"/>
    <hyperlink r:id="rId189" ref="K53"/>
    <hyperlink r:id="rId190" location="'Club Colours'!A28" ref="L53"/>
    <hyperlink r:id="rId191" ref="P53"/>
    <hyperlink r:id="rId192" location="'Sources'!A39" ref="J54"/>
    <hyperlink r:id="rId193" ref="K54"/>
    <hyperlink r:id="rId194" location="'Club Colours'!A716" ref="L54"/>
    <hyperlink r:id="rId195" ref="P54"/>
    <hyperlink r:id="rId196" location="'Sources'!A39" ref="J55"/>
    <hyperlink r:id="rId197" ref="K55"/>
    <hyperlink r:id="rId198" location="'Club Colours'!A718" ref="L55"/>
    <hyperlink r:id="rId199" ref="P55"/>
    <hyperlink r:id="rId200" location="'Sources'!A39" ref="J56"/>
    <hyperlink r:id="rId201" ref="K56"/>
    <hyperlink r:id="rId202" location="'Club Colours'!A719" ref="L56"/>
    <hyperlink r:id="rId203" ref="P56"/>
    <hyperlink r:id="rId204" location="'Sources'!A39" ref="J57"/>
    <hyperlink r:id="rId205" ref="K57"/>
    <hyperlink r:id="rId206" location="'Club Colours'!A720" ref="L57"/>
    <hyperlink r:id="rId207" ref="P57"/>
    <hyperlink r:id="rId208" location="'Sources'!A39" ref="J58"/>
    <hyperlink r:id="rId209" ref="K58"/>
    <hyperlink r:id="rId210" location="'Club Colours'!A203" ref="L58"/>
    <hyperlink r:id="rId211" ref="P58"/>
    <hyperlink r:id="rId212" location="'Sources'!A39" ref="J59"/>
    <hyperlink r:id="rId213" ref="K59"/>
    <hyperlink r:id="rId214" location="'Club Colours'!A721" ref="L59"/>
    <hyperlink r:id="rId215" ref="P59"/>
    <hyperlink r:id="rId216" location="'Sources'!A39" ref="J60"/>
    <hyperlink r:id="rId217" ref="K60"/>
    <hyperlink r:id="rId218" location="'Club Colours'!A723" ref="L60"/>
    <hyperlink r:id="rId219" ref="P60"/>
    <hyperlink r:id="rId220" location="'Sources'!A39" ref="J61"/>
    <hyperlink r:id="rId221" ref="K61"/>
    <hyperlink r:id="rId222" location="'Club Colours'!A680" ref="L61"/>
    <hyperlink r:id="rId223" ref="P61"/>
    <hyperlink r:id="rId224" location="'Sources'!A39" ref="J62"/>
    <hyperlink r:id="rId225" ref="K62"/>
    <hyperlink r:id="rId226" location="'Club Colours'!A339" ref="L62"/>
    <hyperlink r:id="rId227" ref="P62"/>
    <hyperlink r:id="rId228" location="'Sources'!A39" ref="J63"/>
    <hyperlink r:id="rId229" ref="K63"/>
    <hyperlink r:id="rId230" location="'Club Colours'!A340" ref="L63"/>
    <hyperlink r:id="rId231" ref="P63"/>
    <hyperlink r:id="rId232" location="'Sources'!A39" ref="J64"/>
    <hyperlink r:id="rId233" ref="K64"/>
    <hyperlink r:id="rId234" location="'Club Colours'!A212" ref="L64"/>
    <hyperlink r:id="rId235" ref="P64"/>
    <hyperlink r:id="rId236" location="'Sources'!A39" ref="J65"/>
    <hyperlink r:id="rId237" ref="K65"/>
    <hyperlink r:id="rId238" location="'Club Colours'!A695" ref="L65"/>
    <hyperlink r:id="rId239" ref="P65"/>
    <hyperlink r:id="rId240" location="'Sources'!A39" ref="J66"/>
    <hyperlink r:id="rId241" ref="K66"/>
    <hyperlink r:id="rId242" location="'Club Colours'!A594" ref="L66"/>
    <hyperlink r:id="rId243" ref="P66"/>
    <hyperlink r:id="rId244" location="'Sources'!A39" ref="J67"/>
    <hyperlink r:id="rId245" ref="K67"/>
    <hyperlink r:id="rId246" location="'Club Colours'!A595" ref="L67"/>
    <hyperlink r:id="rId247" ref="P67"/>
    <hyperlink r:id="rId248" location="'Sources'!A39" ref="J68"/>
    <hyperlink r:id="rId249" ref="K68"/>
    <hyperlink r:id="rId250" location="'Club Colours'!A724" ref="L68"/>
    <hyperlink r:id="rId251" ref="P68"/>
    <hyperlink r:id="rId252" location="'Sources'!A39" ref="J69"/>
    <hyperlink r:id="rId253" ref="K69"/>
    <hyperlink r:id="rId254" location="'Club Colours'!A137" ref="L69"/>
    <hyperlink r:id="rId255" ref="P69"/>
    <hyperlink r:id="rId256" location="'Sources'!A39" ref="J70"/>
    <hyperlink r:id="rId257" ref="K70"/>
    <hyperlink r:id="rId258" location="'Club Colours'!A698" ref="L70"/>
    <hyperlink r:id="rId259" ref="P70"/>
    <hyperlink r:id="rId260" location="'Sources'!A39" ref="J71"/>
    <hyperlink r:id="rId261" ref="K71"/>
    <hyperlink r:id="rId262" location="'Club Colours'!A355" ref="L71"/>
    <hyperlink r:id="rId263" ref="P71"/>
    <hyperlink r:id="rId264" location="'Sources'!A39" ref="J72"/>
    <hyperlink r:id="rId265" ref="K72"/>
    <hyperlink r:id="rId266" location="'Club Colours'!A709" ref="L72"/>
    <hyperlink r:id="rId267" ref="P72"/>
    <hyperlink r:id="rId268" location="'Sources'!A39" ref="J73"/>
    <hyperlink r:id="rId269" ref="K73"/>
    <hyperlink r:id="rId270" location="'Club Colours'!A699" ref="L73"/>
    <hyperlink r:id="rId271" ref="P73"/>
    <hyperlink r:id="rId272" location="'Sources'!A39" ref="J74"/>
    <hyperlink r:id="rId273" ref="K74"/>
    <hyperlink r:id="rId274" location="'Club Colours'!A65" ref="L74"/>
    <hyperlink r:id="rId275" ref="P74"/>
    <hyperlink r:id="rId276" location="'Sources'!A39" ref="J75"/>
    <hyperlink r:id="rId277" ref="K75"/>
    <hyperlink r:id="rId278" location="'Club Colours'!A704" ref="L75"/>
    <hyperlink r:id="rId279" ref="P75"/>
    <hyperlink r:id="rId280" location="'Sources'!A39" ref="J76"/>
    <hyperlink r:id="rId281" ref="K76"/>
    <hyperlink r:id="rId282" location="'Club Colours'!A300" ref="L76"/>
    <hyperlink r:id="rId283" ref="P76"/>
    <hyperlink r:id="rId284" location="'Sources'!A39" ref="J77"/>
    <hyperlink r:id="rId285" ref="K77"/>
    <hyperlink r:id="rId286" location="'Club Colours'!A686" ref="L77"/>
    <hyperlink r:id="rId287" ref="P77"/>
    <hyperlink r:id="rId288" location="'Sources'!A39" ref="J78"/>
    <hyperlink r:id="rId289" ref="K78"/>
    <hyperlink r:id="rId290" location="'Club Colours'!A710" ref="L78"/>
    <hyperlink r:id="rId291" ref="P78"/>
    <hyperlink r:id="rId292" location="'Sources'!A40" ref="J79"/>
    <hyperlink r:id="rId293" ref="K79"/>
    <hyperlink r:id="rId294" location="'Club Colours'!A726" ref="L79"/>
    <hyperlink r:id="rId295" ref="P79"/>
    <hyperlink r:id="rId296" location="'Sources'!A40" ref="J80"/>
    <hyperlink r:id="rId297" ref="K80"/>
    <hyperlink r:id="rId298" location="'Club Colours'!A691" ref="L80"/>
    <hyperlink r:id="rId299" ref="P80"/>
    <hyperlink r:id="rId300" location="'Sources'!A40" ref="J81"/>
    <hyperlink r:id="rId301" ref="K81"/>
    <hyperlink r:id="rId302" location="'Club Colours'!A162" ref="L81"/>
    <hyperlink r:id="rId303" ref="P81"/>
    <hyperlink r:id="rId304" location="'Sources'!A40" ref="J82"/>
    <hyperlink r:id="rId305" ref="K82"/>
    <hyperlink r:id="rId306" location="'Club Colours'!A730" ref="L82"/>
    <hyperlink r:id="rId307" ref="P82"/>
    <hyperlink r:id="rId308" location="'Sources'!A40" ref="J83"/>
    <hyperlink r:id="rId309" ref="K83"/>
    <hyperlink r:id="rId310" location="'Club Colours'!A701" ref="L83"/>
    <hyperlink r:id="rId311" ref="P83"/>
    <hyperlink r:id="rId312" location="'Sources'!A40" ref="J84"/>
    <hyperlink r:id="rId313" ref="K84"/>
    <hyperlink r:id="rId314" location="'Club Colours'!A679" ref="L84"/>
    <hyperlink r:id="rId315" ref="P84"/>
    <hyperlink r:id="rId316" location="'Sources'!A40" ref="J85"/>
    <hyperlink r:id="rId317" ref="K85"/>
    <hyperlink r:id="rId318" location="'Club Colours'!A18" ref="L85"/>
    <hyperlink r:id="rId319" ref="P85"/>
    <hyperlink r:id="rId320" location="'Sources'!A40" ref="J86"/>
    <hyperlink r:id="rId321" ref="K86"/>
    <hyperlink r:id="rId322" location="'Club Colours'!A731" ref="L86"/>
    <hyperlink r:id="rId323" ref="P86"/>
    <hyperlink r:id="rId324" location="'Sources'!A40" ref="J87"/>
    <hyperlink r:id="rId325" ref="K87"/>
    <hyperlink r:id="rId326" location="'Club Colours'!A722" ref="L87"/>
    <hyperlink r:id="rId327" ref="P87"/>
    <hyperlink r:id="rId328" location="'Sources'!A40" ref="J88"/>
    <hyperlink r:id="rId329" ref="K88"/>
    <hyperlink r:id="rId330" location="'Club Colours'!A732" ref="L88"/>
    <hyperlink r:id="rId331" ref="P88"/>
    <hyperlink r:id="rId332" location="'Sources'!A40" ref="J89"/>
    <hyperlink r:id="rId333" ref="K89"/>
    <hyperlink r:id="rId334" location="'Club Colours'!A727" ref="L89"/>
    <hyperlink r:id="rId335" ref="P89"/>
    <hyperlink r:id="rId336" location="'Sources'!A40" ref="J90"/>
    <hyperlink r:id="rId337" ref="K90"/>
    <hyperlink r:id="rId338" location="'Club Colours'!A728" ref="L90"/>
    <hyperlink r:id="rId339" ref="P90"/>
    <hyperlink r:id="rId340" location="'Sources'!A40" ref="J91"/>
    <hyperlink r:id="rId341" ref="K91"/>
    <hyperlink r:id="rId342" location="'Club Colours'!A729" ref="L91"/>
    <hyperlink r:id="rId343" ref="P91"/>
    <hyperlink r:id="rId344" location="'Sources'!A40" ref="J92"/>
    <hyperlink r:id="rId345" ref="K92"/>
    <hyperlink r:id="rId346" location="'Club Colours'!A693" ref="L92"/>
    <hyperlink r:id="rId347" ref="P92"/>
    <hyperlink r:id="rId348" location="'Sources'!A40" ref="J93"/>
    <hyperlink r:id="rId349" ref="K93"/>
    <hyperlink r:id="rId350" location="'Club Colours'!A684" ref="L93"/>
    <hyperlink r:id="rId351" ref="P93"/>
    <hyperlink r:id="rId352" location="'Sources'!A40" ref="J94"/>
    <hyperlink r:id="rId353" ref="K94"/>
    <hyperlink r:id="rId354" location="'Club Colours'!A108" ref="L94"/>
    <hyperlink r:id="rId355" ref="P94"/>
    <hyperlink r:id="rId356" location="'Sources'!A40" ref="J95"/>
    <hyperlink r:id="rId357" ref="K95"/>
    <hyperlink r:id="rId358" location="'Club Colours'!A717" ref="L95"/>
    <hyperlink r:id="rId359" ref="P95"/>
    <hyperlink r:id="rId360" location="'Sources'!A40" ref="J96"/>
    <hyperlink r:id="rId361" ref="K96"/>
    <hyperlink r:id="rId362" location="'Club Colours'!A715" ref="L96"/>
    <hyperlink r:id="rId363" ref="P96"/>
    <hyperlink r:id="rId364" location="'Sources'!A40" ref="J97"/>
    <hyperlink r:id="rId365" ref="K97"/>
    <hyperlink r:id="rId366" location="'Club Colours'!A733" ref="L97"/>
    <hyperlink r:id="rId367" ref="P97"/>
    <hyperlink r:id="rId368" location="'Sources'!A40" ref="J98"/>
    <hyperlink r:id="rId369" ref="K98"/>
    <hyperlink r:id="rId370" location="'Club Colours'!A734" ref="L98"/>
    <hyperlink r:id="rId371" ref="P98"/>
    <hyperlink r:id="rId372" location="'Sources'!A40" ref="J99"/>
    <hyperlink r:id="rId373" ref="K99"/>
    <hyperlink r:id="rId374" location="'Club Colours'!A707" ref="L99"/>
    <hyperlink r:id="rId375" ref="P99"/>
    <hyperlink r:id="rId376" location="'Sources'!A40" ref="J100"/>
    <hyperlink r:id="rId377" ref="K100"/>
    <hyperlink r:id="rId378" location="'Club Colours'!A735" ref="L100"/>
    <hyperlink r:id="rId379" ref="P100"/>
    <hyperlink r:id="rId380" location="'Sources'!A40" ref="J101"/>
    <hyperlink r:id="rId381" ref="K101"/>
    <hyperlink r:id="rId382" location="'Club Colours'!A736" ref="L101"/>
    <hyperlink r:id="rId383" ref="P101"/>
    <hyperlink r:id="rId384" location="'Sources'!A40" ref="J102"/>
    <hyperlink r:id="rId385" ref="K102"/>
    <hyperlink r:id="rId386" location="'Club Colours'!A662" ref="L102"/>
    <hyperlink r:id="rId387" ref="P102"/>
    <hyperlink r:id="rId388" location="'Sources'!A40" ref="J103"/>
    <hyperlink r:id="rId389" ref="K103"/>
    <hyperlink r:id="rId390" location="'Club Colours'!A737" ref="L103"/>
    <hyperlink r:id="rId391" ref="P103"/>
    <hyperlink r:id="rId392" location="'Sources'!A40" ref="J104"/>
    <hyperlink r:id="rId393" ref="K104"/>
    <hyperlink r:id="rId394" location="'Club Colours'!A738" ref="L104"/>
    <hyperlink r:id="rId395" ref="P104"/>
    <hyperlink r:id="rId396" location="'Sources'!A40" ref="J105"/>
    <hyperlink r:id="rId397" ref="K105"/>
    <hyperlink r:id="rId398" location="'Club Colours'!A740" ref="L105"/>
    <hyperlink r:id="rId399" ref="P105"/>
    <hyperlink r:id="rId400" location="'Sources'!A40" ref="J106"/>
    <hyperlink r:id="rId401" ref="K106"/>
    <hyperlink r:id="rId402" location="'Club Colours'!A342" ref="L106"/>
    <hyperlink r:id="rId403" ref="P106"/>
    <hyperlink r:id="rId404" location="'Sources'!A40" ref="J107"/>
    <hyperlink r:id="rId405" ref="K107"/>
    <hyperlink r:id="rId406" location="'Club Colours'!A725" ref="L107"/>
    <hyperlink r:id="rId407" ref="P107"/>
    <hyperlink r:id="rId408" location="'Sources'!A40" ref="J108"/>
    <hyperlink r:id="rId409" ref="K108"/>
    <hyperlink r:id="rId410" location="'Club Colours'!A604" ref="L108"/>
    <hyperlink r:id="rId411" ref="P108"/>
    <hyperlink r:id="rId412" location="'Sources'!A40" ref="J109"/>
    <hyperlink r:id="rId413" ref="K109"/>
    <hyperlink r:id="rId414" location="'Club Colours'!A741" ref="L109"/>
    <hyperlink r:id="rId415" ref="P109"/>
    <hyperlink r:id="rId416" location="'Sources'!A40" ref="J110"/>
    <hyperlink r:id="rId417" ref="K110"/>
    <hyperlink r:id="rId418" location="'Club Colours'!A292" ref="L110"/>
    <hyperlink r:id="rId419" ref="P110"/>
    <hyperlink r:id="rId420" location="'Sources'!A40" ref="J111"/>
    <hyperlink r:id="rId421" ref="K111"/>
    <hyperlink r:id="rId422" location="'Club Colours'!A685" ref="L111"/>
    <hyperlink r:id="rId423" ref="P111"/>
    <hyperlink r:id="rId424" location="'Sources'!A40" ref="J112"/>
    <hyperlink r:id="rId425" ref="K112"/>
    <hyperlink r:id="rId426" location="'Club Colours'!A739" ref="L112"/>
    <hyperlink r:id="rId427" ref="P112"/>
    <hyperlink r:id="rId428" location="'Sources'!A40" ref="J113"/>
    <hyperlink r:id="rId429" ref="K113"/>
    <hyperlink r:id="rId430" location="'Club Colours'!A690" ref="L113"/>
    <hyperlink r:id="rId431" ref="P113"/>
    <hyperlink r:id="rId432" location="'Sources'!A40" ref="J114"/>
    <hyperlink r:id="rId433" ref="K114"/>
    <hyperlink r:id="rId434" location="'Club Colours'!A490" ref="L114"/>
    <hyperlink r:id="rId435" ref="P114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436"/>
  <legacyDrawing r:id="rId437"/>
  <tableParts count="1">
    <tablePart r:id="rId439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9518F"/>
    <outlinePr summaryRight="0"/>
    <pageSetUpPr fitToPage="1"/>
  </sheetPr>
  <sheetViews>
    <sheetView showGridLines="0" workbookViewId="0">
      <pane xSplit="3.0" ySplit="6.0" topLeftCell="D7" activePane="bottomRight" state="frozen"/>
      <selection activeCell="D1" sqref="D1" pane="topRight"/>
      <selection activeCell="A7" sqref="A7" pane="bottomLeft"/>
      <selection activeCell="D7" sqref="D7" pane="bottomRight"/>
    </sheetView>
  </sheetViews>
  <sheetFormatPr customHeight="1" defaultColWidth="14.43" defaultRowHeight="15.0"/>
  <cols>
    <col customWidth="1" min="1" max="1" width="12.0"/>
    <col customWidth="1" min="2" max="2" width="38.0"/>
    <col customWidth="1" min="3" max="3" width="15.0"/>
    <col customWidth="1" min="4" max="4" width="53.0"/>
    <col customWidth="1" min="5" max="5" width="15.0"/>
    <col customWidth="1" min="6" max="6" width="90.0"/>
    <col customWidth="1" min="7" max="7" width="74.0"/>
    <col customWidth="1" min="8" max="8" width="12.0"/>
    <col customWidth="1" min="9" max="26" width="8.71"/>
  </cols>
  <sheetData>
    <row r="1" ht="22.5" customHeight="1">
      <c r="A1" s="1" t="s">
        <v>1747</v>
      </c>
      <c r="B1" s="2"/>
      <c r="C1" s="2"/>
      <c r="D1" s="2"/>
      <c r="E1" s="2"/>
      <c r="F1" s="2"/>
      <c r="G1" s="2"/>
      <c r="H1" s="3"/>
    </row>
    <row r="2" ht="21.75" customHeight="1">
      <c r="A2" s="4"/>
      <c r="B2" s="5"/>
      <c r="C2" s="5"/>
      <c r="D2" s="5"/>
      <c r="E2" s="5"/>
      <c r="F2" s="5"/>
      <c r="G2" s="5"/>
      <c r="H2" s="6"/>
    </row>
    <row r="3" ht="24.0" customHeight="1">
      <c r="A3" s="7" t="s">
        <v>1748</v>
      </c>
    </row>
    <row r="4" ht="21.75" customHeight="1">
      <c r="A4" s="60" t="s">
        <v>85</v>
      </c>
    </row>
    <row r="5" ht="9.0" customHeight="1"/>
    <row r="6" ht="30.75" customHeight="1">
      <c r="A6" s="30" t="s">
        <v>109</v>
      </c>
      <c r="B6" s="30" t="s">
        <v>1749</v>
      </c>
      <c r="C6" s="30" t="s">
        <v>1750</v>
      </c>
      <c r="D6" s="30" t="s">
        <v>42</v>
      </c>
      <c r="E6" s="30" t="s">
        <v>1751</v>
      </c>
      <c r="F6" s="30" t="s">
        <v>111</v>
      </c>
      <c r="G6" s="30" t="s">
        <v>1752</v>
      </c>
      <c r="H6" s="30" t="s">
        <v>1753</v>
      </c>
    </row>
    <row r="7" ht="48.0" customHeight="1">
      <c r="A7" s="180" t="s">
        <v>152</v>
      </c>
      <c r="B7" s="73" t="s">
        <v>141</v>
      </c>
      <c r="C7" s="77" t="s">
        <v>1754</v>
      </c>
      <c r="D7" s="75" t="s">
        <v>1755</v>
      </c>
      <c r="E7" s="181">
        <v>46276.0</v>
      </c>
      <c r="F7" s="132" t="s">
        <v>155</v>
      </c>
      <c r="G7" s="142"/>
      <c r="H7" s="129">
        <f>COUNTIF('All Teams'!$J$7:$J$785,A7)</f>
        <v>20</v>
      </c>
    </row>
    <row r="8" ht="48.0" customHeight="1">
      <c r="A8" s="182" t="s">
        <v>251</v>
      </c>
      <c r="B8" s="94" t="s">
        <v>1756</v>
      </c>
      <c r="C8" s="97" t="s">
        <v>1754</v>
      </c>
      <c r="D8" s="96" t="s">
        <v>1757</v>
      </c>
      <c r="E8" s="183">
        <v>46276.0</v>
      </c>
      <c r="F8" s="135" t="s">
        <v>253</v>
      </c>
      <c r="G8" s="139" t="s">
        <v>1758</v>
      </c>
      <c r="H8" s="134">
        <f>COUNTIF('All Teams'!$J$7:$J$785,A8)</f>
        <v>24</v>
      </c>
    </row>
    <row r="9" ht="48.0" customHeight="1">
      <c r="A9" s="180" t="s">
        <v>256</v>
      </c>
      <c r="B9" s="73" t="s">
        <v>1756</v>
      </c>
      <c r="C9" s="77" t="s">
        <v>1754</v>
      </c>
      <c r="D9" s="75" t="s">
        <v>1759</v>
      </c>
      <c r="E9" s="181">
        <v>46276.0</v>
      </c>
      <c r="F9" s="132" t="s">
        <v>257</v>
      </c>
      <c r="G9" s="142"/>
      <c r="H9" s="129">
        <f>COUNTIF('All Teams'!$J$7:$J$785,A9)</f>
        <v>24</v>
      </c>
    </row>
    <row r="10" ht="48.0" customHeight="1">
      <c r="A10" s="182" t="s">
        <v>264</v>
      </c>
      <c r="B10" s="94" t="s">
        <v>259</v>
      </c>
      <c r="C10" s="97" t="s">
        <v>1754</v>
      </c>
      <c r="D10" s="96" t="s">
        <v>1760</v>
      </c>
      <c r="E10" s="183">
        <v>46276.0</v>
      </c>
      <c r="F10" s="135" t="s">
        <v>265</v>
      </c>
      <c r="G10" s="139"/>
      <c r="H10" s="134">
        <f>COUNTIF('All Teams'!$J$7:$J$785,A10)</f>
        <v>20</v>
      </c>
    </row>
    <row r="11" ht="48.0" customHeight="1">
      <c r="A11" s="180" t="s">
        <v>271</v>
      </c>
      <c r="B11" s="73" t="s">
        <v>259</v>
      </c>
      <c r="C11" s="77" t="s">
        <v>1754</v>
      </c>
      <c r="D11" s="75" t="s">
        <v>1761</v>
      </c>
      <c r="E11" s="181">
        <v>46276.0</v>
      </c>
      <c r="F11" s="132" t="s">
        <v>272</v>
      </c>
      <c r="G11" s="142"/>
      <c r="H11" s="129">
        <f>COUNTIF('All Teams'!$J$7:$J$785,A11)</f>
        <v>22</v>
      </c>
    </row>
    <row r="12" ht="48.0" customHeight="1">
      <c r="A12" s="182" t="s">
        <v>280</v>
      </c>
      <c r="B12" s="94" t="s">
        <v>1762</v>
      </c>
      <c r="C12" s="97" t="s">
        <v>1754</v>
      </c>
      <c r="D12" s="96" t="s">
        <v>1763</v>
      </c>
      <c r="E12" s="183">
        <v>46276.0</v>
      </c>
      <c r="F12" s="135" t="s">
        <v>281</v>
      </c>
      <c r="G12" s="139"/>
      <c r="H12" s="134">
        <f>COUNTIF('All Teams'!$J$7:$J$785,A12)</f>
        <v>40</v>
      </c>
    </row>
    <row r="13" ht="48.0" customHeight="1">
      <c r="A13" s="180" t="s">
        <v>284</v>
      </c>
      <c r="B13" s="73" t="s">
        <v>1764</v>
      </c>
      <c r="C13" s="184" t="s">
        <v>1765</v>
      </c>
      <c r="D13" s="75" t="s">
        <v>1766</v>
      </c>
      <c r="E13" s="181">
        <v>46276.0</v>
      </c>
      <c r="F13" s="132" t="s">
        <v>285</v>
      </c>
      <c r="G13" s="142" t="s">
        <v>1767</v>
      </c>
      <c r="H13" s="129">
        <f>COUNTIF('All Teams'!$J$7:$J$785,A13)</f>
        <v>40</v>
      </c>
    </row>
    <row r="14" ht="48.0" customHeight="1">
      <c r="A14" s="182" t="s">
        <v>292</v>
      </c>
      <c r="B14" s="94" t="s">
        <v>1768</v>
      </c>
      <c r="C14" s="184" t="s">
        <v>1765</v>
      </c>
      <c r="D14" s="96" t="s">
        <v>1769</v>
      </c>
      <c r="E14" s="183">
        <v>46276.0</v>
      </c>
      <c r="F14" s="135" t="s">
        <v>293</v>
      </c>
      <c r="G14" s="139"/>
      <c r="H14" s="134">
        <f>COUNTIF('All Teams'!$J$7:$J$785,A14)</f>
        <v>60</v>
      </c>
    </row>
    <row r="15" ht="48.0" customHeight="1">
      <c r="A15" s="180" t="s">
        <v>296</v>
      </c>
      <c r="B15" s="73" t="s">
        <v>1770</v>
      </c>
      <c r="C15" s="184" t="s">
        <v>1765</v>
      </c>
      <c r="D15" s="75" t="s">
        <v>1771</v>
      </c>
      <c r="E15" s="181">
        <v>46276.0</v>
      </c>
      <c r="F15" s="132" t="s">
        <v>297</v>
      </c>
      <c r="G15" s="142"/>
      <c r="H15" s="129">
        <f>COUNTIF('All Teams'!$J$7:$J$785,A15)</f>
        <v>18</v>
      </c>
    </row>
    <row r="16" ht="48.0" customHeight="1">
      <c r="A16" s="182" t="s">
        <v>300</v>
      </c>
      <c r="B16" s="94" t="s">
        <v>294</v>
      </c>
      <c r="C16" s="97" t="s">
        <v>1754</v>
      </c>
      <c r="D16" s="96" t="s">
        <v>1772</v>
      </c>
      <c r="E16" s="183">
        <v>46276.0</v>
      </c>
      <c r="F16" s="135" t="s">
        <v>301</v>
      </c>
      <c r="G16" s="139"/>
      <c r="H16" s="134">
        <f>COUNTIF('All Teams'!$J$7:$J$785,A16)</f>
        <v>18</v>
      </c>
    </row>
    <row r="17" ht="48.0" customHeight="1">
      <c r="A17" s="180" t="s">
        <v>306</v>
      </c>
      <c r="B17" s="73" t="s">
        <v>1773</v>
      </c>
      <c r="C17" s="77" t="s">
        <v>1754</v>
      </c>
      <c r="D17" s="75" t="s">
        <v>1774</v>
      </c>
      <c r="E17" s="181">
        <v>46276.0</v>
      </c>
      <c r="F17" s="132" t="s">
        <v>307</v>
      </c>
      <c r="G17" s="142" t="s">
        <v>1775</v>
      </c>
      <c r="H17" s="129">
        <f>COUNTIF('All Teams'!$J$7:$J$785,A17)</f>
        <v>20</v>
      </c>
    </row>
    <row r="18" ht="48.0" customHeight="1">
      <c r="A18" s="182" t="s">
        <v>313</v>
      </c>
      <c r="B18" s="94" t="s">
        <v>1776</v>
      </c>
      <c r="C18" s="97" t="s">
        <v>1754</v>
      </c>
      <c r="D18" s="96" t="s">
        <v>1777</v>
      </c>
      <c r="E18" s="183">
        <v>46276.0</v>
      </c>
      <c r="F18" s="135" t="s">
        <v>314</v>
      </c>
      <c r="G18" s="139" t="s">
        <v>1778</v>
      </c>
      <c r="H18" s="134">
        <f>COUNTIF('All Teams'!$J$7:$J$785,A18)</f>
        <v>18</v>
      </c>
    </row>
    <row r="19" ht="48.0" customHeight="1">
      <c r="A19" s="180" t="s">
        <v>318</v>
      </c>
      <c r="B19" s="73" t="s">
        <v>1779</v>
      </c>
      <c r="C19" s="184" t="s">
        <v>1765</v>
      </c>
      <c r="D19" s="75" t="s">
        <v>1780</v>
      </c>
      <c r="E19" s="181">
        <v>46276.0</v>
      </c>
      <c r="F19" s="132" t="s">
        <v>319</v>
      </c>
      <c r="G19" s="142"/>
      <c r="H19" s="129">
        <f>COUNTIF('All Teams'!$J$7:$J$785,A19)</f>
        <v>18</v>
      </c>
    </row>
    <row r="20" ht="48.0" customHeight="1">
      <c r="A20" s="182" t="s">
        <v>323</v>
      </c>
      <c r="B20" s="94" t="s">
        <v>1781</v>
      </c>
      <c r="C20" s="97" t="s">
        <v>1754</v>
      </c>
      <c r="D20" s="96" t="s">
        <v>1782</v>
      </c>
      <c r="E20" s="183">
        <v>46276.0</v>
      </c>
      <c r="F20" s="135" t="s">
        <v>324</v>
      </c>
      <c r="G20" s="139" t="s">
        <v>1783</v>
      </c>
      <c r="H20" s="134">
        <f>COUNTIF('All Teams'!$J$7:$J$785,A20)</f>
        <v>18</v>
      </c>
    </row>
    <row r="21" ht="48.0" customHeight="1">
      <c r="A21" s="180" t="s">
        <v>1784</v>
      </c>
      <c r="B21" s="73" t="s">
        <v>1776</v>
      </c>
      <c r="C21" s="77" t="s">
        <v>1754</v>
      </c>
      <c r="D21" s="75" t="s">
        <v>1785</v>
      </c>
      <c r="E21" s="181">
        <v>46276.0</v>
      </c>
      <c r="F21" s="132" t="s">
        <v>1786</v>
      </c>
      <c r="G21" s="142"/>
      <c r="H21" s="129">
        <f>COUNTIF('All Teams'!$J$7:$J$785,A21)</f>
        <v>0</v>
      </c>
    </row>
    <row r="22" ht="48.0" customHeight="1">
      <c r="A22" s="182" t="s">
        <v>328</v>
      </c>
      <c r="B22" s="94" t="s">
        <v>1787</v>
      </c>
      <c r="C22" s="97" t="s">
        <v>1754</v>
      </c>
      <c r="D22" s="96" t="s">
        <v>1788</v>
      </c>
      <c r="E22" s="183">
        <v>46276.0</v>
      </c>
      <c r="F22" s="135" t="s">
        <v>329</v>
      </c>
      <c r="G22" s="139"/>
      <c r="H22" s="134">
        <f>COUNTIF('All Teams'!$J$7:$J$785,A22)</f>
        <v>16</v>
      </c>
    </row>
    <row r="23" ht="48.0" customHeight="1">
      <c r="A23" s="180" t="s">
        <v>332</v>
      </c>
      <c r="B23" s="73" t="s">
        <v>1789</v>
      </c>
      <c r="C23" s="77" t="s">
        <v>1754</v>
      </c>
      <c r="D23" s="75" t="s">
        <v>1790</v>
      </c>
      <c r="E23" s="181">
        <v>46276.0</v>
      </c>
      <c r="F23" s="132" t="s">
        <v>333</v>
      </c>
      <c r="G23" s="142" t="s">
        <v>1791</v>
      </c>
      <c r="H23" s="129">
        <f>COUNTIF('All Teams'!$J$7:$J$785,A23)</f>
        <v>22</v>
      </c>
    </row>
    <row r="24" ht="48.0" customHeight="1">
      <c r="A24" s="182" t="s">
        <v>1278</v>
      </c>
      <c r="B24" s="94" t="s">
        <v>1792</v>
      </c>
      <c r="C24" s="184" t="s">
        <v>1765</v>
      </c>
      <c r="D24" s="96" t="s">
        <v>1793</v>
      </c>
      <c r="E24" s="183">
        <v>46276.0</v>
      </c>
      <c r="F24" s="135" t="s">
        <v>1279</v>
      </c>
      <c r="G24" s="139" t="s">
        <v>1794</v>
      </c>
      <c r="H24" s="134">
        <f>COUNTIF('All Teams'!$J$7:$J$785,A24)</f>
        <v>48</v>
      </c>
    </row>
    <row r="25" ht="48.0" customHeight="1">
      <c r="A25" s="180" t="s">
        <v>1399</v>
      </c>
      <c r="B25" s="73" t="s">
        <v>1795</v>
      </c>
      <c r="C25" s="184" t="s">
        <v>1765</v>
      </c>
      <c r="D25" s="75" t="s">
        <v>1793</v>
      </c>
      <c r="E25" s="181">
        <v>46276.0</v>
      </c>
      <c r="F25" s="132" t="s">
        <v>1400</v>
      </c>
      <c r="G25" s="142" t="s">
        <v>1796</v>
      </c>
      <c r="H25" s="129">
        <f>COUNTIF('All Teams'!$J$7:$J$785,A25)</f>
        <v>48</v>
      </c>
    </row>
    <row r="26" ht="48.0" customHeight="1">
      <c r="A26" s="182" t="s">
        <v>336</v>
      </c>
      <c r="B26" s="94" t="s">
        <v>1789</v>
      </c>
      <c r="C26" s="97" t="s">
        <v>1754</v>
      </c>
      <c r="D26" s="96" t="s">
        <v>1797</v>
      </c>
      <c r="E26" s="183">
        <v>46276.0</v>
      </c>
      <c r="F26" s="135" t="s">
        <v>338</v>
      </c>
      <c r="G26" s="139" t="s">
        <v>1798</v>
      </c>
      <c r="H26" s="134">
        <f>COUNTIF('All Teams'!$J$7:$J$785,A26)</f>
        <v>0</v>
      </c>
    </row>
    <row r="27" ht="48.0" customHeight="1">
      <c r="A27" s="180" t="s">
        <v>340</v>
      </c>
      <c r="B27" s="73" t="s">
        <v>1799</v>
      </c>
      <c r="C27" s="77" t="s">
        <v>1754</v>
      </c>
      <c r="D27" s="75" t="s">
        <v>1800</v>
      </c>
      <c r="E27" s="181">
        <v>46276.0</v>
      </c>
      <c r="F27" s="132" t="s">
        <v>341</v>
      </c>
      <c r="G27" s="142" t="s">
        <v>1801</v>
      </c>
      <c r="H27" s="129">
        <f>COUNTIF('All Teams'!$J$7:$J$785,A27)</f>
        <v>14</v>
      </c>
    </row>
    <row r="28" ht="48.0" customHeight="1">
      <c r="A28" s="182" t="s">
        <v>345</v>
      </c>
      <c r="B28" s="94" t="s">
        <v>1802</v>
      </c>
      <c r="C28" s="184" t="s">
        <v>1765</v>
      </c>
      <c r="D28" s="96" t="s">
        <v>1803</v>
      </c>
      <c r="E28" s="183">
        <v>46276.0</v>
      </c>
      <c r="F28" s="135" t="s">
        <v>346</v>
      </c>
      <c r="G28" s="139" t="s">
        <v>1804</v>
      </c>
      <c r="H28" s="134">
        <f>COUNTIF('All Teams'!$J$7:$J$785,A28)</f>
        <v>16</v>
      </c>
    </row>
    <row r="29" ht="48.0" customHeight="1">
      <c r="A29" s="180" t="s">
        <v>351</v>
      </c>
      <c r="B29" s="73" t="s">
        <v>1805</v>
      </c>
      <c r="C29" s="184" t="s">
        <v>1765</v>
      </c>
      <c r="D29" s="75" t="s">
        <v>1806</v>
      </c>
      <c r="E29" s="181">
        <v>46276.0</v>
      </c>
      <c r="F29" s="132" t="s">
        <v>352</v>
      </c>
      <c r="G29" s="142" t="s">
        <v>1807</v>
      </c>
      <c r="H29" s="129">
        <f>COUNTIF('All Teams'!$J$7:$J$785,A29)</f>
        <v>77</v>
      </c>
    </row>
    <row r="30" ht="48.0" customHeight="1">
      <c r="A30" s="182" t="s">
        <v>1429</v>
      </c>
      <c r="B30" s="94" t="s">
        <v>1808</v>
      </c>
      <c r="C30" s="184" t="s">
        <v>1765</v>
      </c>
      <c r="D30" s="96" t="s">
        <v>1809</v>
      </c>
      <c r="E30" s="183">
        <v>46276.0</v>
      </c>
      <c r="F30" s="135" t="s">
        <v>1430</v>
      </c>
      <c r="G30" s="139" t="s">
        <v>1810</v>
      </c>
      <c r="H30" s="134">
        <f>COUNTIF('All Teams'!$J$7:$J$785,A30)</f>
        <v>12</v>
      </c>
    </row>
    <row r="31" ht="48.0" customHeight="1">
      <c r="A31" s="180" t="s">
        <v>1411</v>
      </c>
      <c r="B31" s="73" t="s">
        <v>1811</v>
      </c>
      <c r="C31" s="77" t="s">
        <v>1754</v>
      </c>
      <c r="D31" s="75" t="s">
        <v>1812</v>
      </c>
      <c r="E31" s="181">
        <v>46276.0</v>
      </c>
      <c r="F31" s="132" t="s">
        <v>1412</v>
      </c>
      <c r="G31" s="142" t="s">
        <v>1813</v>
      </c>
      <c r="H31" s="129">
        <f>COUNTIF('All Teams'!$J$7:$J$785,A31)</f>
        <v>12</v>
      </c>
    </row>
    <row r="32" ht="48.0" customHeight="1">
      <c r="A32" s="182" t="s">
        <v>1504</v>
      </c>
      <c r="B32" s="94" t="s">
        <v>1811</v>
      </c>
      <c r="C32" s="97" t="s">
        <v>1754</v>
      </c>
      <c r="D32" s="96" t="s">
        <v>1814</v>
      </c>
      <c r="E32" s="183">
        <v>46276.0</v>
      </c>
      <c r="F32" s="135" t="s">
        <v>1505</v>
      </c>
      <c r="G32" s="139" t="s">
        <v>1813</v>
      </c>
      <c r="H32" s="134">
        <f>COUNTIF('All Teams'!$J$7:$J$785,A32)</f>
        <v>12</v>
      </c>
    </row>
    <row r="33" ht="48.0" customHeight="1">
      <c r="A33" s="180" t="s">
        <v>1815</v>
      </c>
      <c r="B33" s="73" t="s">
        <v>1816</v>
      </c>
      <c r="C33" s="184" t="s">
        <v>1765</v>
      </c>
      <c r="D33" s="75" t="s">
        <v>1817</v>
      </c>
      <c r="E33" s="181">
        <v>46276.0</v>
      </c>
      <c r="F33" s="132" t="s">
        <v>1818</v>
      </c>
      <c r="G33" s="142"/>
      <c r="H33" s="129">
        <f>COUNTIF('All Teams'!$J$7:$J$785,A33)</f>
        <v>0</v>
      </c>
    </row>
    <row r="34" ht="48.0" customHeight="1">
      <c r="A34" s="182" t="s">
        <v>356</v>
      </c>
      <c r="B34" s="94" t="s">
        <v>354</v>
      </c>
      <c r="C34" s="97" t="s">
        <v>1754</v>
      </c>
      <c r="D34" s="96" t="s">
        <v>1819</v>
      </c>
      <c r="E34" s="183">
        <v>46276.0</v>
      </c>
      <c r="F34" s="135" t="s">
        <v>357</v>
      </c>
      <c r="G34" s="139" t="s">
        <v>1820</v>
      </c>
      <c r="H34" s="134">
        <f>COUNTIF('All Teams'!$J$7:$J$785,A34)</f>
        <v>12</v>
      </c>
    </row>
    <row r="35" ht="48.0" customHeight="1">
      <c r="A35" s="180" t="s">
        <v>360</v>
      </c>
      <c r="B35" s="73" t="s">
        <v>1821</v>
      </c>
      <c r="C35" s="184" t="s">
        <v>1765</v>
      </c>
      <c r="D35" s="75" t="s">
        <v>1822</v>
      </c>
      <c r="E35" s="181">
        <v>46276.0</v>
      </c>
      <c r="F35" s="132" t="s">
        <v>361</v>
      </c>
      <c r="G35" s="142" t="s">
        <v>1823</v>
      </c>
      <c r="H35" s="129">
        <f>COUNTIF('All Teams'!$J$7:$J$785,A35)</f>
        <v>10</v>
      </c>
    </row>
    <row r="36" ht="48.0" customHeight="1">
      <c r="A36" s="182" t="s">
        <v>367</v>
      </c>
      <c r="B36" s="94" t="s">
        <v>1824</v>
      </c>
      <c r="C36" s="97" t="s">
        <v>1754</v>
      </c>
      <c r="D36" s="96" t="s">
        <v>1825</v>
      </c>
      <c r="E36" s="183">
        <v>46276.0</v>
      </c>
      <c r="F36" s="135" t="s">
        <v>368</v>
      </c>
      <c r="G36" s="139" t="s">
        <v>1826</v>
      </c>
      <c r="H36" s="134">
        <f>COUNTIF('All Teams'!$J$7:$J$785,A36)</f>
        <v>12</v>
      </c>
    </row>
    <row r="37" ht="48.0" customHeight="1">
      <c r="A37" s="180" t="s">
        <v>1827</v>
      </c>
      <c r="B37" s="73" t="s">
        <v>1824</v>
      </c>
      <c r="C37" s="77" t="s">
        <v>1754</v>
      </c>
      <c r="D37" s="75" t="s">
        <v>1828</v>
      </c>
      <c r="E37" s="181">
        <v>46276.0</v>
      </c>
      <c r="F37" s="132" t="s">
        <v>1829</v>
      </c>
      <c r="G37" s="142"/>
      <c r="H37" s="129">
        <f>COUNTIF('All Teams'!$J$7:$J$785,A37)</f>
        <v>0</v>
      </c>
    </row>
    <row r="38" ht="48.0" customHeight="1">
      <c r="A38" s="182" t="s">
        <v>373</v>
      </c>
      <c r="B38" s="94" t="s">
        <v>106</v>
      </c>
      <c r="C38" s="97" t="s">
        <v>1754</v>
      </c>
      <c r="D38" s="96" t="s">
        <v>1830</v>
      </c>
      <c r="E38" s="183">
        <v>46276.0</v>
      </c>
      <c r="F38" s="135" t="s">
        <v>374</v>
      </c>
      <c r="G38" s="139" t="s">
        <v>1831</v>
      </c>
      <c r="H38" s="134">
        <f>COUNTIF('All Teams'!$J$7:$J$785,A38)</f>
        <v>36</v>
      </c>
    </row>
    <row r="39" ht="48.0" customHeight="1">
      <c r="A39" s="180" t="s">
        <v>376</v>
      </c>
      <c r="B39" s="73" t="s">
        <v>106</v>
      </c>
      <c r="C39" s="77" t="s">
        <v>1754</v>
      </c>
      <c r="D39" s="75" t="s">
        <v>1832</v>
      </c>
      <c r="E39" s="181">
        <v>46276.0</v>
      </c>
      <c r="F39" s="132" t="s">
        <v>377</v>
      </c>
      <c r="G39" s="142" t="s">
        <v>1833</v>
      </c>
      <c r="H39" s="129">
        <f>COUNTIF('All Teams'!$J$7:$J$785,A39)</f>
        <v>36</v>
      </c>
    </row>
    <row r="40" ht="48.0" customHeight="1">
      <c r="A40" s="182" t="s">
        <v>379</v>
      </c>
      <c r="B40" s="94" t="s">
        <v>106</v>
      </c>
      <c r="C40" s="97" t="s">
        <v>1754</v>
      </c>
      <c r="D40" s="96" t="s">
        <v>1834</v>
      </c>
      <c r="E40" s="183">
        <v>46276.0</v>
      </c>
      <c r="F40" s="135" t="s">
        <v>380</v>
      </c>
      <c r="G40" s="139" t="s">
        <v>1835</v>
      </c>
      <c r="H40" s="134">
        <f>COUNTIF('All Teams'!$J$7:$J$785,A40)</f>
        <v>36</v>
      </c>
    </row>
    <row r="41" ht="48.0" customHeight="1">
      <c r="A41" s="180" t="s">
        <v>1836</v>
      </c>
      <c r="B41" s="73" t="s">
        <v>106</v>
      </c>
      <c r="C41" s="77" t="s">
        <v>1754</v>
      </c>
      <c r="D41" s="75" t="s">
        <v>1837</v>
      </c>
      <c r="E41" s="181">
        <v>46276.0</v>
      </c>
      <c r="F41" s="132" t="s">
        <v>1838</v>
      </c>
      <c r="G41" s="142"/>
      <c r="H41" s="129">
        <f>COUNTIF('All Teams'!$J$7:$J$785,A41)</f>
        <v>0</v>
      </c>
    </row>
    <row r="42" ht="15.75" customHeight="1"/>
    <row r="43" ht="15.75" customHeight="1">
      <c r="A43" s="186" t="s">
        <v>1839</v>
      </c>
      <c r="B43" s="2"/>
      <c r="C43" s="2"/>
      <c r="D43" s="2"/>
      <c r="E43" s="2"/>
      <c r="F43" s="2"/>
      <c r="G43" s="2"/>
      <c r="H43" s="3"/>
    </row>
    <row r="44" ht="15.75" customHeight="1">
      <c r="A44" s="4"/>
      <c r="B44" s="5"/>
      <c r="C44" s="5"/>
      <c r="D44" s="5"/>
      <c r="E44" s="5"/>
      <c r="F44" s="5"/>
      <c r="G44" s="5"/>
      <c r="H44" s="6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1674D73-842F-4B06-B1ED-5025E280D7C9}" filter="1" showAutoFilter="1">
      <autoFilter ref="$A$6:$H$41"/>
    </customSheetView>
  </customSheetViews>
  <mergeCells count="4">
    <mergeCell ref="A1:H2"/>
    <mergeCell ref="A3:H3"/>
    <mergeCell ref="A4:H4"/>
    <mergeCell ref="A43:H44"/>
  </mergeCells>
  <hyperlinks>
    <hyperlink r:id="rId1" location="'Overview'!A1" ref="A4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</hyperlinks>
  <printOptions/>
  <pageMargins bottom="0.4" footer="0.0" header="0.0" left="0.25" right="0.25" top="0.4"/>
  <pageSetup fitToHeight="0" paperSize="8" orientation="landscape"/>
  <headerFooter>
    <oddFooter>&amp;LFootball teams | 11 Sep 2026&amp;RPage &amp;P of </oddFooter>
  </headerFooter>
  <drawing r:id="rId37"/>
  <tableParts count="1">
    <tablePart r:id="rId39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87E8B"/>
    <pageSetUpPr fitToPage="1"/>
  </sheetPr>
  <sheetViews>
    <sheetView showGridLines="0"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4.43" defaultRowHeight="15.0"/>
  <cols>
    <col customWidth="1" min="1" max="1" width="18.0"/>
    <col customWidth="1" min="2" max="2" width="38.0"/>
    <col customWidth="1" min="3" max="3" width="44.0"/>
    <col customWidth="1" min="4" max="4" width="36.0"/>
    <col customWidth="1" min="5" max="5" width="18.0"/>
    <col customWidth="1" min="6" max="6" width="100.0"/>
    <col customWidth="1" min="7" max="7" width="25.0"/>
    <col customWidth="1" min="8" max="8" width="100.0"/>
    <col customWidth="1" min="9" max="26" width="8.71"/>
  </cols>
  <sheetData>
    <row r="1" ht="22.5" customHeight="1">
      <c r="A1" s="24" t="s">
        <v>1840</v>
      </c>
      <c r="B1" s="2"/>
      <c r="C1" s="2"/>
      <c r="D1" s="2"/>
      <c r="E1" s="2"/>
      <c r="F1" s="2"/>
      <c r="G1" s="2"/>
      <c r="H1" s="3"/>
    </row>
    <row r="2" ht="21.75" customHeight="1">
      <c r="A2" s="4"/>
      <c r="B2" s="5"/>
      <c r="C2" s="5"/>
      <c r="D2" s="5"/>
      <c r="E2" s="5"/>
      <c r="F2" s="5"/>
      <c r="G2" s="5"/>
      <c r="H2" s="6"/>
    </row>
    <row r="3" ht="30.0" customHeight="1">
      <c r="A3" s="13" t="s">
        <v>1841</v>
      </c>
    </row>
    <row r="4" ht="24.75" customHeight="1">
      <c r="A4" s="14" t="s">
        <v>27</v>
      </c>
    </row>
    <row r="5" ht="9.0" customHeight="1"/>
    <row r="6" ht="36.75" customHeight="1">
      <c r="A6" s="30" t="s">
        <v>44</v>
      </c>
      <c r="B6" s="30" t="s">
        <v>1842</v>
      </c>
      <c r="C6" s="30" t="s">
        <v>1843</v>
      </c>
      <c r="D6" s="30" t="s">
        <v>1844</v>
      </c>
      <c r="E6" s="30" t="s">
        <v>46</v>
      </c>
      <c r="F6" s="30" t="s">
        <v>111</v>
      </c>
      <c r="G6" s="30" t="s">
        <v>1845</v>
      </c>
      <c r="H6" s="30" t="s">
        <v>1846</v>
      </c>
    </row>
    <row r="7" ht="34.5" customHeight="1">
      <c r="A7" s="115" t="s">
        <v>807</v>
      </c>
      <c r="B7" s="115" t="s">
        <v>1847</v>
      </c>
      <c r="C7" s="44" t="s">
        <v>1848</v>
      </c>
      <c r="D7" s="115" t="s">
        <v>56</v>
      </c>
      <c r="E7" s="115" t="s">
        <v>1849</v>
      </c>
      <c r="F7" s="45" t="s">
        <v>808</v>
      </c>
      <c r="G7" s="187">
        <f>COUNTIF('Club Colours'!$I$7:$I$741,A7)</f>
        <v>1</v>
      </c>
      <c r="H7" s="44" t="s">
        <v>1850</v>
      </c>
    </row>
    <row r="8" ht="34.5" customHeight="1">
      <c r="A8" s="115" t="s">
        <v>1419</v>
      </c>
      <c r="B8" s="115" t="s">
        <v>1851</v>
      </c>
      <c r="C8" s="44" t="s">
        <v>1848</v>
      </c>
      <c r="D8" s="115" t="s">
        <v>56</v>
      </c>
      <c r="E8" s="115" t="s">
        <v>1849</v>
      </c>
      <c r="F8" s="45" t="s">
        <v>1420</v>
      </c>
      <c r="G8" s="187">
        <f>COUNTIF('Club Colours'!$I$7:$I$741,A8)</f>
        <v>1</v>
      </c>
      <c r="H8" s="44" t="s">
        <v>1850</v>
      </c>
    </row>
    <row r="9" ht="34.5" customHeight="1">
      <c r="A9" s="115" t="s">
        <v>1002</v>
      </c>
      <c r="B9" s="115" t="s">
        <v>1852</v>
      </c>
      <c r="C9" s="44" t="s">
        <v>1848</v>
      </c>
      <c r="D9" s="115" t="s">
        <v>163</v>
      </c>
      <c r="E9" s="115" t="s">
        <v>1849</v>
      </c>
      <c r="F9" s="45" t="s">
        <v>1003</v>
      </c>
      <c r="G9" s="187">
        <f>COUNTIF('Club Colours'!$I$7:$I$741,A9)</f>
        <v>1</v>
      </c>
      <c r="H9" s="44" t="s">
        <v>1853</v>
      </c>
    </row>
    <row r="10" ht="34.5" customHeight="1">
      <c r="A10" s="115" t="s">
        <v>1007</v>
      </c>
      <c r="B10" s="115" t="s">
        <v>1854</v>
      </c>
      <c r="C10" s="44" t="s">
        <v>1848</v>
      </c>
      <c r="D10" s="115" t="s">
        <v>163</v>
      </c>
      <c r="E10" s="115" t="s">
        <v>1849</v>
      </c>
      <c r="F10" s="45" t="s">
        <v>1008</v>
      </c>
      <c r="G10" s="187">
        <f>COUNTIF('Club Colours'!$I$7:$I$741,A10)</f>
        <v>1</v>
      </c>
      <c r="H10" s="44" t="s">
        <v>1853</v>
      </c>
    </row>
    <row r="11" ht="34.5" customHeight="1">
      <c r="A11" s="115" t="s">
        <v>395</v>
      </c>
      <c r="B11" s="115" t="s">
        <v>1855</v>
      </c>
      <c r="C11" s="44" t="s">
        <v>1856</v>
      </c>
      <c r="D11" s="115" t="s">
        <v>56</v>
      </c>
      <c r="E11" s="115" t="s">
        <v>355</v>
      </c>
      <c r="F11" s="45" t="s">
        <v>396</v>
      </c>
      <c r="G11" s="187">
        <f>COUNTIF('Club Colours'!$I$7:$I$741,A11)</f>
        <v>1</v>
      </c>
      <c r="H11" s="44" t="s">
        <v>1850</v>
      </c>
    </row>
    <row r="12" ht="34.5" customHeight="1">
      <c r="A12" s="115" t="s">
        <v>1011</v>
      </c>
      <c r="B12" s="115" t="s">
        <v>1857</v>
      </c>
      <c r="C12" s="44" t="s">
        <v>1848</v>
      </c>
      <c r="D12" s="115" t="s">
        <v>163</v>
      </c>
      <c r="E12" s="115" t="s">
        <v>1849</v>
      </c>
      <c r="F12" s="45" t="s">
        <v>1012</v>
      </c>
      <c r="G12" s="187">
        <f>COUNTIF('Club Colours'!$I$7:$I$741,A12)</f>
        <v>1</v>
      </c>
      <c r="H12" s="44" t="s">
        <v>1853</v>
      </c>
    </row>
    <row r="13" ht="34.5" customHeight="1">
      <c r="A13" s="115" t="s">
        <v>57</v>
      </c>
      <c r="B13" s="115" t="s">
        <v>1858</v>
      </c>
      <c r="C13" s="44" t="s">
        <v>1848</v>
      </c>
      <c r="D13" s="115" t="s">
        <v>56</v>
      </c>
      <c r="E13" s="115" t="s">
        <v>1849</v>
      </c>
      <c r="F13" s="45" t="s">
        <v>59</v>
      </c>
      <c r="G13" s="187">
        <f>COUNTIF('Club Colours'!$I$7:$I$741,A13)</f>
        <v>1</v>
      </c>
      <c r="H13" s="44" t="s">
        <v>1850</v>
      </c>
    </row>
    <row r="14" ht="34.5" customHeight="1">
      <c r="A14" s="115" t="s">
        <v>1685</v>
      </c>
      <c r="B14" s="115" t="s">
        <v>1859</v>
      </c>
      <c r="C14" s="44" t="s">
        <v>1848</v>
      </c>
      <c r="D14" s="115" t="s">
        <v>56</v>
      </c>
      <c r="E14" s="115" t="s">
        <v>1849</v>
      </c>
      <c r="F14" s="45" t="s">
        <v>1686</v>
      </c>
      <c r="G14" s="187">
        <f>COUNTIF('Club Colours'!$I$7:$I$741,A14)</f>
        <v>1</v>
      </c>
      <c r="H14" s="44" t="s">
        <v>1850</v>
      </c>
    </row>
    <row r="15" ht="34.5" customHeight="1">
      <c r="A15" s="115" t="s">
        <v>532</v>
      </c>
      <c r="B15" s="115" t="s">
        <v>1860</v>
      </c>
      <c r="C15" s="44" t="s">
        <v>1848</v>
      </c>
      <c r="D15" s="115" t="s">
        <v>56</v>
      </c>
      <c r="E15" s="115" t="s">
        <v>1849</v>
      </c>
      <c r="F15" s="45" t="s">
        <v>533</v>
      </c>
      <c r="G15" s="187">
        <f>COUNTIF('Club Colours'!$I$7:$I$741,A15)</f>
        <v>1</v>
      </c>
      <c r="H15" s="44" t="s">
        <v>1850</v>
      </c>
    </row>
    <row r="16" ht="34.5" customHeight="1">
      <c r="A16" s="115" t="s">
        <v>400</v>
      </c>
      <c r="B16" s="115" t="s">
        <v>1861</v>
      </c>
      <c r="C16" s="44" t="s">
        <v>1848</v>
      </c>
      <c r="D16" s="115" t="s">
        <v>56</v>
      </c>
      <c r="E16" s="115" t="s">
        <v>1849</v>
      </c>
      <c r="F16" s="45" t="s">
        <v>401</v>
      </c>
      <c r="G16" s="187">
        <f>COUNTIF('Club Colours'!$I$7:$I$741,A16)</f>
        <v>1</v>
      </c>
      <c r="H16" s="44" t="s">
        <v>1850</v>
      </c>
    </row>
    <row r="17" ht="34.5" customHeight="1">
      <c r="A17" s="115" t="s">
        <v>535</v>
      </c>
      <c r="B17" s="115" t="s">
        <v>1862</v>
      </c>
      <c r="C17" s="44" t="s">
        <v>1848</v>
      </c>
      <c r="D17" s="115" t="s">
        <v>56</v>
      </c>
      <c r="E17" s="115" t="s">
        <v>1849</v>
      </c>
      <c r="F17" s="45" t="s">
        <v>536</v>
      </c>
      <c r="G17" s="187">
        <f>COUNTIF('Club Colours'!$I$7:$I$741,A17)</f>
        <v>1</v>
      </c>
      <c r="H17" s="44" t="s">
        <v>1850</v>
      </c>
    </row>
    <row r="18" ht="34.5" customHeight="1">
      <c r="A18" s="115" t="s">
        <v>538</v>
      </c>
      <c r="B18" s="115" t="s">
        <v>1863</v>
      </c>
      <c r="C18" s="44" t="s">
        <v>1848</v>
      </c>
      <c r="D18" s="115" t="s">
        <v>56</v>
      </c>
      <c r="E18" s="115" t="s">
        <v>1849</v>
      </c>
      <c r="F18" s="45" t="s">
        <v>539</v>
      </c>
      <c r="G18" s="187">
        <f>COUNTIF('Club Colours'!$I$7:$I$741,A18)</f>
        <v>1</v>
      </c>
      <c r="H18" s="44" t="s">
        <v>1850</v>
      </c>
    </row>
    <row r="19" ht="34.5" customHeight="1">
      <c r="A19" s="115" t="s">
        <v>887</v>
      </c>
      <c r="B19" s="115" t="s">
        <v>1864</v>
      </c>
      <c r="C19" s="44" t="s">
        <v>1848</v>
      </c>
      <c r="D19" s="115" t="s">
        <v>56</v>
      </c>
      <c r="E19" s="115" t="s">
        <v>1849</v>
      </c>
      <c r="F19" s="45" t="s">
        <v>888</v>
      </c>
      <c r="G19" s="187">
        <f>COUNTIF('Club Colours'!$I$7:$I$741,A19)</f>
        <v>1</v>
      </c>
      <c r="H19" s="44" t="s">
        <v>1850</v>
      </c>
    </row>
    <row r="20" ht="34.5" customHeight="1">
      <c r="A20" s="115" t="s">
        <v>1627</v>
      </c>
      <c r="B20" s="115" t="s">
        <v>1865</v>
      </c>
      <c r="C20" s="44" t="s">
        <v>1848</v>
      </c>
      <c r="D20" s="115" t="s">
        <v>56</v>
      </c>
      <c r="E20" s="115" t="s">
        <v>1849</v>
      </c>
      <c r="F20" s="45" t="s">
        <v>1628</v>
      </c>
      <c r="G20" s="187">
        <f>COUNTIF('Club Colours'!$I$7:$I$741,A20)</f>
        <v>1</v>
      </c>
      <c r="H20" s="44" t="s">
        <v>1850</v>
      </c>
    </row>
    <row r="21" ht="34.5" customHeight="1">
      <c r="A21" s="115" t="s">
        <v>418</v>
      </c>
      <c r="B21" s="115" t="s">
        <v>1866</v>
      </c>
      <c r="C21" s="44" t="s">
        <v>1848</v>
      </c>
      <c r="D21" s="115" t="s">
        <v>56</v>
      </c>
      <c r="E21" s="115" t="s">
        <v>1849</v>
      </c>
      <c r="F21" s="45" t="s">
        <v>419</v>
      </c>
      <c r="G21" s="187">
        <f>COUNTIF('Club Colours'!$I$7:$I$741,A21)</f>
        <v>1</v>
      </c>
      <c r="H21" s="44" t="s">
        <v>1850</v>
      </c>
    </row>
    <row r="22" ht="34.5" customHeight="1">
      <c r="A22" s="115" t="s">
        <v>542</v>
      </c>
      <c r="B22" s="115" t="s">
        <v>1867</v>
      </c>
      <c r="C22" s="44" t="s">
        <v>1848</v>
      </c>
      <c r="D22" s="115" t="s">
        <v>56</v>
      </c>
      <c r="E22" s="115" t="s">
        <v>1849</v>
      </c>
      <c r="F22" s="45" t="s">
        <v>543</v>
      </c>
      <c r="G22" s="187">
        <f>COUNTIF('Club Colours'!$I$7:$I$741,A22)</f>
        <v>1</v>
      </c>
      <c r="H22" s="44" t="s">
        <v>1850</v>
      </c>
    </row>
    <row r="23" ht="34.5" customHeight="1">
      <c r="A23" s="115" t="s">
        <v>546</v>
      </c>
      <c r="B23" s="115" t="s">
        <v>1868</v>
      </c>
      <c r="C23" s="44" t="s">
        <v>1848</v>
      </c>
      <c r="D23" s="115" t="s">
        <v>56</v>
      </c>
      <c r="E23" s="115" t="s">
        <v>1849</v>
      </c>
      <c r="F23" s="45" t="s">
        <v>547</v>
      </c>
      <c r="G23" s="187">
        <f>COUNTIF('Club Colours'!$I$7:$I$741,A23)</f>
        <v>1</v>
      </c>
      <c r="H23" s="44" t="s">
        <v>1850</v>
      </c>
    </row>
    <row r="24" ht="34.5" customHeight="1">
      <c r="A24" s="115" t="s">
        <v>896</v>
      </c>
      <c r="B24" s="115" t="s">
        <v>1869</v>
      </c>
      <c r="C24" s="44" t="s">
        <v>1848</v>
      </c>
      <c r="D24" s="115" t="s">
        <v>56</v>
      </c>
      <c r="E24" s="115" t="s">
        <v>1849</v>
      </c>
      <c r="F24" s="45" t="s">
        <v>897</v>
      </c>
      <c r="G24" s="187">
        <f>COUNTIF('Club Colours'!$I$7:$I$741,A24)</f>
        <v>1</v>
      </c>
      <c r="H24" s="44" t="s">
        <v>1850</v>
      </c>
    </row>
    <row r="25" ht="34.5" customHeight="1">
      <c r="A25" s="115" t="s">
        <v>557</v>
      </c>
      <c r="B25" s="115" t="s">
        <v>1870</v>
      </c>
      <c r="C25" s="44" t="s">
        <v>1848</v>
      </c>
      <c r="D25" s="115" t="s">
        <v>56</v>
      </c>
      <c r="E25" s="115" t="s">
        <v>1849</v>
      </c>
      <c r="F25" s="45" t="s">
        <v>558</v>
      </c>
      <c r="G25" s="187">
        <f>COUNTIF('Club Colours'!$I$7:$I$741,A25)</f>
        <v>1</v>
      </c>
      <c r="H25" s="44" t="s">
        <v>1850</v>
      </c>
    </row>
    <row r="26" ht="34.5" customHeight="1">
      <c r="A26" s="115" t="s">
        <v>562</v>
      </c>
      <c r="B26" s="115" t="s">
        <v>1871</v>
      </c>
      <c r="C26" s="44" t="s">
        <v>1848</v>
      </c>
      <c r="D26" s="115" t="s">
        <v>56</v>
      </c>
      <c r="E26" s="115" t="s">
        <v>1849</v>
      </c>
      <c r="F26" s="45" t="s">
        <v>563</v>
      </c>
      <c r="G26" s="187">
        <f>COUNTIF('Club Colours'!$I$7:$I$741,A26)</f>
        <v>1</v>
      </c>
      <c r="H26" s="44" t="s">
        <v>1850</v>
      </c>
    </row>
    <row r="27" ht="34.5" customHeight="1">
      <c r="A27" s="115" t="s">
        <v>565</v>
      </c>
      <c r="B27" s="115" t="s">
        <v>1872</v>
      </c>
      <c r="C27" s="44" t="s">
        <v>1848</v>
      </c>
      <c r="D27" s="115" t="s">
        <v>56</v>
      </c>
      <c r="E27" s="115" t="s">
        <v>1849</v>
      </c>
      <c r="F27" s="45" t="s">
        <v>566</v>
      </c>
      <c r="G27" s="187">
        <f>COUNTIF('Club Colours'!$I$7:$I$741,A27)</f>
        <v>1</v>
      </c>
      <c r="H27" s="44" t="s">
        <v>1850</v>
      </c>
    </row>
    <row r="28" ht="34.5" customHeight="1">
      <c r="A28" s="115" t="s">
        <v>1532</v>
      </c>
      <c r="B28" s="115" t="s">
        <v>1873</v>
      </c>
      <c r="C28" s="44" t="s">
        <v>1874</v>
      </c>
      <c r="D28" s="115" t="s">
        <v>56</v>
      </c>
      <c r="E28" s="115" t="s">
        <v>1849</v>
      </c>
      <c r="F28" s="45" t="s">
        <v>1533</v>
      </c>
      <c r="G28" s="187">
        <f>COUNTIF('Club Colours'!$I$7:$I$741,A28)</f>
        <v>1</v>
      </c>
      <c r="H28" s="44" t="s">
        <v>1850</v>
      </c>
    </row>
    <row r="29" ht="34.5" customHeight="1">
      <c r="A29" s="115" t="s">
        <v>156</v>
      </c>
      <c r="B29" s="115" t="s">
        <v>1875</v>
      </c>
      <c r="C29" s="44" t="s">
        <v>1848</v>
      </c>
      <c r="D29" s="115" t="s">
        <v>56</v>
      </c>
      <c r="E29" s="115" t="s">
        <v>1849</v>
      </c>
      <c r="F29" s="45" t="s">
        <v>157</v>
      </c>
      <c r="G29" s="187">
        <f>COUNTIF('Club Colours'!$I$7:$I$741,A29)</f>
        <v>1</v>
      </c>
      <c r="H29" s="44" t="s">
        <v>1850</v>
      </c>
    </row>
    <row r="30" ht="34.5" customHeight="1">
      <c r="A30" s="115" t="s">
        <v>1699</v>
      </c>
      <c r="B30" s="115" t="s">
        <v>1876</v>
      </c>
      <c r="C30" s="44" t="s">
        <v>1848</v>
      </c>
      <c r="D30" s="115" t="s">
        <v>56</v>
      </c>
      <c r="E30" s="115" t="s">
        <v>1849</v>
      </c>
      <c r="F30" s="45" t="s">
        <v>1700</v>
      </c>
      <c r="G30" s="187">
        <f>COUNTIF('Club Colours'!$I$7:$I$741,A30)</f>
        <v>1</v>
      </c>
      <c r="H30" s="44" t="s">
        <v>1850</v>
      </c>
    </row>
    <row r="31" ht="34.5" customHeight="1">
      <c r="A31" s="115" t="s">
        <v>819</v>
      </c>
      <c r="B31" s="115" t="s">
        <v>1877</v>
      </c>
      <c r="C31" s="44" t="s">
        <v>1848</v>
      </c>
      <c r="D31" s="115" t="s">
        <v>56</v>
      </c>
      <c r="E31" s="115" t="s">
        <v>1849</v>
      </c>
      <c r="F31" s="45" t="s">
        <v>730</v>
      </c>
      <c r="G31" s="187">
        <f>COUNTIF('Club Colours'!$I$7:$I$741,A31)</f>
        <v>1</v>
      </c>
      <c r="H31" s="44" t="s">
        <v>1850</v>
      </c>
    </row>
    <row r="32" ht="34.5" customHeight="1">
      <c r="A32" s="115" t="s">
        <v>901</v>
      </c>
      <c r="B32" s="115" t="s">
        <v>1878</v>
      </c>
      <c r="C32" s="44" t="s">
        <v>1848</v>
      </c>
      <c r="D32" s="115" t="s">
        <v>56</v>
      </c>
      <c r="E32" s="115" t="s">
        <v>1849</v>
      </c>
      <c r="F32" s="45" t="s">
        <v>902</v>
      </c>
      <c r="G32" s="187">
        <f>COUNTIF('Club Colours'!$I$7:$I$741,A32)</f>
        <v>1</v>
      </c>
      <c r="H32" s="44" t="s">
        <v>1850</v>
      </c>
    </row>
    <row r="33" ht="34.5" customHeight="1">
      <c r="A33" s="115" t="s">
        <v>904</v>
      </c>
      <c r="B33" s="115" t="s">
        <v>1879</v>
      </c>
      <c r="C33" s="44" t="s">
        <v>1848</v>
      </c>
      <c r="D33" s="115" t="s">
        <v>56</v>
      </c>
      <c r="E33" s="115" t="s">
        <v>1849</v>
      </c>
      <c r="F33" s="45" t="s">
        <v>905</v>
      </c>
      <c r="G33" s="187">
        <f>COUNTIF('Club Colours'!$I$7:$I$741,A33)</f>
        <v>1</v>
      </c>
      <c r="H33" s="44" t="s">
        <v>1850</v>
      </c>
    </row>
    <row r="34" ht="34.5" customHeight="1">
      <c r="A34" s="115" t="s">
        <v>167</v>
      </c>
      <c r="B34" s="115" t="s">
        <v>1880</v>
      </c>
      <c r="C34" s="44" t="s">
        <v>1848</v>
      </c>
      <c r="D34" s="115" t="s">
        <v>56</v>
      </c>
      <c r="E34" s="115" t="s">
        <v>1849</v>
      </c>
      <c r="F34" s="45" t="s">
        <v>168</v>
      </c>
      <c r="G34" s="187">
        <f>COUNTIF('Club Colours'!$I$7:$I$741,A34)</f>
        <v>1</v>
      </c>
      <c r="H34" s="44" t="s">
        <v>1850</v>
      </c>
    </row>
    <row r="35" ht="34.5" customHeight="1">
      <c r="A35" s="115" t="s">
        <v>183</v>
      </c>
      <c r="B35" s="115" t="s">
        <v>1881</v>
      </c>
      <c r="C35" s="44" t="s">
        <v>1848</v>
      </c>
      <c r="D35" s="115" t="s">
        <v>56</v>
      </c>
      <c r="E35" s="115" t="s">
        <v>1849</v>
      </c>
      <c r="F35" s="45" t="s">
        <v>185</v>
      </c>
      <c r="G35" s="187">
        <f>COUNTIF('Club Colours'!$I$7:$I$741,A35)</f>
        <v>1</v>
      </c>
      <c r="H35" s="44" t="s">
        <v>1850</v>
      </c>
    </row>
    <row r="36" ht="34.5" customHeight="1">
      <c r="A36" s="115" t="s">
        <v>214</v>
      </c>
      <c r="B36" s="115" t="s">
        <v>1882</v>
      </c>
      <c r="C36" s="44" t="s">
        <v>1883</v>
      </c>
      <c r="D36" s="115" t="s">
        <v>191</v>
      </c>
      <c r="E36" s="115" t="s">
        <v>1849</v>
      </c>
      <c r="F36" s="45" t="s">
        <v>215</v>
      </c>
      <c r="G36" s="187">
        <f>COUNTIF('Club Colours'!$I$7:$I$741,A36)</f>
        <v>1</v>
      </c>
      <c r="H36" s="44" t="s">
        <v>1850</v>
      </c>
    </row>
    <row r="37" ht="34.5" customHeight="1">
      <c r="A37" s="115" t="s">
        <v>221</v>
      </c>
      <c r="B37" s="115" t="s">
        <v>1884</v>
      </c>
      <c r="C37" s="44" t="s">
        <v>1848</v>
      </c>
      <c r="D37" s="115" t="s">
        <v>56</v>
      </c>
      <c r="E37" s="115" t="s">
        <v>1849</v>
      </c>
      <c r="F37" s="45" t="s">
        <v>222</v>
      </c>
      <c r="G37" s="187">
        <f>COUNTIF('Club Colours'!$I$7:$I$741,A37)</f>
        <v>1</v>
      </c>
      <c r="H37" s="44" t="s">
        <v>1850</v>
      </c>
    </row>
    <row r="38" ht="34.5" customHeight="1">
      <c r="A38" s="115" t="s">
        <v>224</v>
      </c>
      <c r="B38" s="115" t="s">
        <v>1885</v>
      </c>
      <c r="C38" s="44" t="s">
        <v>1848</v>
      </c>
      <c r="D38" s="115" t="s">
        <v>56</v>
      </c>
      <c r="E38" s="115" t="s">
        <v>1849</v>
      </c>
      <c r="F38" s="45" t="s">
        <v>225</v>
      </c>
      <c r="G38" s="187">
        <f>COUNTIF('Club Colours'!$I$7:$I$741,A38)</f>
        <v>1</v>
      </c>
      <c r="H38" s="44" t="s">
        <v>1850</v>
      </c>
    </row>
    <row r="39" ht="34.5" customHeight="1">
      <c r="A39" s="115" t="s">
        <v>570</v>
      </c>
      <c r="B39" s="115" t="s">
        <v>1886</v>
      </c>
      <c r="C39" s="44" t="s">
        <v>1848</v>
      </c>
      <c r="D39" s="115" t="s">
        <v>56</v>
      </c>
      <c r="E39" s="115" t="s">
        <v>1849</v>
      </c>
      <c r="F39" s="45" t="s">
        <v>571</v>
      </c>
      <c r="G39" s="187">
        <f>COUNTIF('Club Colours'!$I$7:$I$741,A39)</f>
        <v>1</v>
      </c>
      <c r="H39" s="44" t="s">
        <v>1850</v>
      </c>
    </row>
    <row r="40" ht="34.5" customHeight="1">
      <c r="A40" s="115" t="s">
        <v>909</v>
      </c>
      <c r="B40" s="115" t="s">
        <v>1887</v>
      </c>
      <c r="C40" s="44" t="s">
        <v>1848</v>
      </c>
      <c r="D40" s="115" t="s">
        <v>56</v>
      </c>
      <c r="E40" s="115" t="s">
        <v>1849</v>
      </c>
      <c r="F40" s="45" t="s">
        <v>910</v>
      </c>
      <c r="G40" s="187">
        <f>COUNTIF('Club Colours'!$I$7:$I$741,A40)</f>
        <v>1</v>
      </c>
      <c r="H40" s="44" t="s">
        <v>1850</v>
      </c>
    </row>
    <row r="41" ht="34.5" customHeight="1">
      <c r="A41" s="115" t="s">
        <v>573</v>
      </c>
      <c r="B41" s="115" t="s">
        <v>1888</v>
      </c>
      <c r="C41" s="44" t="s">
        <v>1848</v>
      </c>
      <c r="D41" s="115" t="s">
        <v>56</v>
      </c>
      <c r="E41" s="115" t="s">
        <v>1849</v>
      </c>
      <c r="F41" s="45" t="s">
        <v>574</v>
      </c>
      <c r="G41" s="187">
        <f>COUNTIF('Club Colours'!$I$7:$I$741,A41)</f>
        <v>1</v>
      </c>
      <c r="H41" s="44" t="s">
        <v>1850</v>
      </c>
    </row>
    <row r="42" ht="34.5" customHeight="1">
      <c r="A42" s="115" t="s">
        <v>576</v>
      </c>
      <c r="B42" s="115" t="s">
        <v>1889</v>
      </c>
      <c r="C42" s="44" t="s">
        <v>1848</v>
      </c>
      <c r="D42" s="115" t="s">
        <v>56</v>
      </c>
      <c r="E42" s="115" t="s">
        <v>1849</v>
      </c>
      <c r="F42" s="45" t="s">
        <v>577</v>
      </c>
      <c r="G42" s="187">
        <f>COUNTIF('Club Colours'!$I$7:$I$741,A42)</f>
        <v>1</v>
      </c>
      <c r="H42" s="44" t="s">
        <v>1850</v>
      </c>
    </row>
    <row r="43" ht="34.5" customHeight="1">
      <c r="A43" s="115" t="s">
        <v>579</v>
      </c>
      <c r="B43" s="115" t="s">
        <v>1890</v>
      </c>
      <c r="C43" s="44" t="s">
        <v>1848</v>
      </c>
      <c r="D43" s="115" t="s">
        <v>56</v>
      </c>
      <c r="E43" s="115" t="s">
        <v>1849</v>
      </c>
      <c r="F43" s="45" t="s">
        <v>580</v>
      </c>
      <c r="G43" s="187">
        <f>COUNTIF('Club Colours'!$I$7:$I$741,A43)</f>
        <v>1</v>
      </c>
      <c r="H43" s="44" t="s">
        <v>1850</v>
      </c>
    </row>
    <row r="44" ht="34.5" customHeight="1">
      <c r="A44" s="115" t="s">
        <v>583</v>
      </c>
      <c r="B44" s="115" t="s">
        <v>1891</v>
      </c>
      <c r="C44" s="44" t="s">
        <v>1848</v>
      </c>
      <c r="D44" s="115" t="s">
        <v>56</v>
      </c>
      <c r="E44" s="115" t="s">
        <v>1849</v>
      </c>
      <c r="F44" s="45" t="s">
        <v>584</v>
      </c>
      <c r="G44" s="187">
        <f>COUNTIF('Club Colours'!$I$7:$I$741,A44)</f>
        <v>1</v>
      </c>
      <c r="H44" s="44" t="s">
        <v>1850</v>
      </c>
    </row>
    <row r="45" ht="34.5" customHeight="1">
      <c r="A45" s="115" t="s">
        <v>586</v>
      </c>
      <c r="B45" s="115" t="s">
        <v>1892</v>
      </c>
      <c r="C45" s="44" t="s">
        <v>1848</v>
      </c>
      <c r="D45" s="115" t="s">
        <v>56</v>
      </c>
      <c r="E45" s="115" t="s">
        <v>1849</v>
      </c>
      <c r="F45" s="45" t="s">
        <v>587</v>
      </c>
      <c r="G45" s="187">
        <f>COUNTIF('Club Colours'!$I$7:$I$741,A45)</f>
        <v>1</v>
      </c>
      <c r="H45" s="44" t="s">
        <v>1850</v>
      </c>
    </row>
    <row r="46" ht="34.5" customHeight="1">
      <c r="A46" s="115" t="s">
        <v>589</v>
      </c>
      <c r="B46" s="115" t="s">
        <v>1893</v>
      </c>
      <c r="C46" s="44" t="s">
        <v>1848</v>
      </c>
      <c r="D46" s="115" t="s">
        <v>56</v>
      </c>
      <c r="E46" s="115" t="s">
        <v>1849</v>
      </c>
      <c r="F46" s="45" t="s">
        <v>590</v>
      </c>
      <c r="G46" s="187">
        <f>COUNTIF('Club Colours'!$I$7:$I$741,A46)</f>
        <v>1</v>
      </c>
      <c r="H46" s="44" t="s">
        <v>1850</v>
      </c>
    </row>
    <row r="47" ht="34.5" customHeight="1">
      <c r="A47" s="115" t="s">
        <v>440</v>
      </c>
      <c r="B47" s="115" t="s">
        <v>1894</v>
      </c>
      <c r="C47" s="44" t="s">
        <v>1848</v>
      </c>
      <c r="D47" s="115" t="s">
        <v>56</v>
      </c>
      <c r="E47" s="115" t="s">
        <v>1849</v>
      </c>
      <c r="F47" s="45" t="s">
        <v>441</v>
      </c>
      <c r="G47" s="187">
        <f>COUNTIF('Club Colours'!$I$7:$I$741,A47)</f>
        <v>1</v>
      </c>
      <c r="H47" s="44" t="s">
        <v>1850</v>
      </c>
    </row>
    <row r="48" ht="34.5" customHeight="1">
      <c r="A48" s="115" t="s">
        <v>1021</v>
      </c>
      <c r="B48" s="115" t="s">
        <v>1895</v>
      </c>
      <c r="C48" s="44" t="s">
        <v>1848</v>
      </c>
      <c r="D48" s="115" t="s">
        <v>163</v>
      </c>
      <c r="E48" s="115" t="s">
        <v>1849</v>
      </c>
      <c r="F48" s="45" t="s">
        <v>1022</v>
      </c>
      <c r="G48" s="187">
        <f>COUNTIF('Club Colours'!$I$7:$I$741,A48)</f>
        <v>1</v>
      </c>
      <c r="H48" s="44" t="s">
        <v>1853</v>
      </c>
    </row>
    <row r="49" ht="34.5" customHeight="1">
      <c r="A49" s="115" t="s">
        <v>1631</v>
      </c>
      <c r="B49" s="115" t="s">
        <v>1896</v>
      </c>
      <c r="C49" s="44" t="s">
        <v>1848</v>
      </c>
      <c r="D49" s="115" t="s">
        <v>56</v>
      </c>
      <c r="E49" s="115" t="s">
        <v>1849</v>
      </c>
      <c r="F49" s="45" t="s">
        <v>1632</v>
      </c>
      <c r="G49" s="187">
        <f>COUNTIF('Club Colours'!$I$7:$I$741,A49)</f>
        <v>1</v>
      </c>
      <c r="H49" s="44" t="s">
        <v>1850</v>
      </c>
    </row>
    <row r="50" ht="34.5" customHeight="1">
      <c r="A50" s="115" t="s">
        <v>1635</v>
      </c>
      <c r="B50" s="115" t="s">
        <v>1897</v>
      </c>
      <c r="C50" s="44" t="s">
        <v>1848</v>
      </c>
      <c r="D50" s="115" t="s">
        <v>56</v>
      </c>
      <c r="E50" s="115" t="s">
        <v>1849</v>
      </c>
      <c r="F50" s="45" t="s">
        <v>1636</v>
      </c>
      <c r="G50" s="187">
        <f>COUNTIF('Club Colours'!$I$7:$I$741,A50)</f>
        <v>1</v>
      </c>
      <c r="H50" s="44" t="s">
        <v>1850</v>
      </c>
    </row>
    <row r="51" ht="34.5" customHeight="1">
      <c r="A51" s="115" t="s">
        <v>1026</v>
      </c>
      <c r="B51" s="115" t="s">
        <v>1898</v>
      </c>
      <c r="C51" s="44" t="s">
        <v>1848</v>
      </c>
      <c r="D51" s="115" t="s">
        <v>163</v>
      </c>
      <c r="E51" s="115" t="s">
        <v>1849</v>
      </c>
      <c r="F51" s="45" t="s">
        <v>1027</v>
      </c>
      <c r="G51" s="187">
        <f>COUNTIF('Club Colours'!$I$7:$I$741,A51)</f>
        <v>1</v>
      </c>
      <c r="H51" s="44" t="s">
        <v>1853</v>
      </c>
    </row>
    <row r="52" ht="34.5" customHeight="1">
      <c r="A52" s="115" t="s">
        <v>1029</v>
      </c>
      <c r="B52" s="115" t="s">
        <v>1899</v>
      </c>
      <c r="C52" s="44" t="s">
        <v>1848</v>
      </c>
      <c r="D52" s="115" t="s">
        <v>163</v>
      </c>
      <c r="E52" s="115" t="s">
        <v>1849</v>
      </c>
      <c r="F52" s="45" t="s">
        <v>1030</v>
      </c>
      <c r="G52" s="187">
        <f>COUNTIF('Club Colours'!$I$7:$I$741,A52)</f>
        <v>1</v>
      </c>
      <c r="H52" s="44" t="s">
        <v>1853</v>
      </c>
    </row>
    <row r="53" ht="34.5" customHeight="1">
      <c r="A53" s="115" t="s">
        <v>594</v>
      </c>
      <c r="B53" s="115" t="s">
        <v>1900</v>
      </c>
      <c r="C53" s="44" t="s">
        <v>1848</v>
      </c>
      <c r="D53" s="115" t="s">
        <v>56</v>
      </c>
      <c r="E53" s="115" t="s">
        <v>1849</v>
      </c>
      <c r="F53" s="45" t="s">
        <v>595</v>
      </c>
      <c r="G53" s="187">
        <f>COUNTIF('Club Colours'!$I$7:$I$741,A53)</f>
        <v>1</v>
      </c>
      <c r="H53" s="44" t="s">
        <v>1850</v>
      </c>
    </row>
    <row r="54" ht="34.5" customHeight="1">
      <c r="A54" s="115" t="s">
        <v>912</v>
      </c>
      <c r="B54" s="115" t="s">
        <v>1901</v>
      </c>
      <c r="C54" s="44" t="s">
        <v>1848</v>
      </c>
      <c r="D54" s="115" t="s">
        <v>56</v>
      </c>
      <c r="E54" s="115" t="s">
        <v>1849</v>
      </c>
      <c r="F54" s="45" t="s">
        <v>913</v>
      </c>
      <c r="G54" s="187">
        <f>COUNTIF('Club Colours'!$I$7:$I$741,A54)</f>
        <v>1</v>
      </c>
      <c r="H54" s="44" t="s">
        <v>1850</v>
      </c>
    </row>
    <row r="55" ht="34.5" customHeight="1">
      <c r="A55" s="115" t="s">
        <v>915</v>
      </c>
      <c r="B55" s="115" t="s">
        <v>1902</v>
      </c>
      <c r="C55" s="44" t="s">
        <v>1848</v>
      </c>
      <c r="D55" s="115" t="s">
        <v>56</v>
      </c>
      <c r="E55" s="115" t="s">
        <v>1849</v>
      </c>
      <c r="F55" s="45" t="s">
        <v>916</v>
      </c>
      <c r="G55" s="187">
        <f>COUNTIF('Club Colours'!$I$7:$I$741,A55)</f>
        <v>1</v>
      </c>
      <c r="H55" s="44" t="s">
        <v>1850</v>
      </c>
    </row>
    <row r="56" ht="34.5" customHeight="1">
      <c r="A56" s="115" t="s">
        <v>1033</v>
      </c>
      <c r="B56" s="115" t="s">
        <v>1903</v>
      </c>
      <c r="C56" s="44" t="s">
        <v>1848</v>
      </c>
      <c r="D56" s="115" t="s">
        <v>163</v>
      </c>
      <c r="E56" s="115" t="s">
        <v>1849</v>
      </c>
      <c r="F56" s="45" t="s">
        <v>1034</v>
      </c>
      <c r="G56" s="187">
        <f>COUNTIF('Club Colours'!$I$7:$I$741,A56)</f>
        <v>1</v>
      </c>
      <c r="H56" s="44" t="s">
        <v>1853</v>
      </c>
    </row>
    <row r="57" ht="34.5" customHeight="1">
      <c r="A57" s="115" t="s">
        <v>1038</v>
      </c>
      <c r="B57" s="115" t="s">
        <v>1904</v>
      </c>
      <c r="C57" s="44" t="s">
        <v>1848</v>
      </c>
      <c r="D57" s="115" t="s">
        <v>163</v>
      </c>
      <c r="E57" s="115" t="s">
        <v>1849</v>
      </c>
      <c r="F57" s="45" t="s">
        <v>1039</v>
      </c>
      <c r="G57" s="187">
        <f>COUNTIF('Club Colours'!$I$7:$I$741,A57)</f>
        <v>1</v>
      </c>
      <c r="H57" s="44" t="s">
        <v>1853</v>
      </c>
    </row>
    <row r="58" ht="34.5" customHeight="1">
      <c r="A58" s="115" t="s">
        <v>233</v>
      </c>
      <c r="B58" s="115" t="s">
        <v>1905</v>
      </c>
      <c r="C58" s="44" t="s">
        <v>1848</v>
      </c>
      <c r="D58" s="115" t="s">
        <v>56</v>
      </c>
      <c r="E58" s="115" t="s">
        <v>1849</v>
      </c>
      <c r="F58" s="45" t="s">
        <v>230</v>
      </c>
      <c r="G58" s="187">
        <f>COUNTIF('Club Colours'!$I$7:$I$741,A58)</f>
        <v>1</v>
      </c>
      <c r="H58" s="44" t="s">
        <v>1850</v>
      </c>
    </row>
    <row r="59" ht="34.5" customHeight="1">
      <c r="A59" s="115" t="s">
        <v>600</v>
      </c>
      <c r="B59" s="115" t="s">
        <v>1906</v>
      </c>
      <c r="C59" s="44" t="s">
        <v>1848</v>
      </c>
      <c r="D59" s="115" t="s">
        <v>56</v>
      </c>
      <c r="E59" s="115" t="s">
        <v>1849</v>
      </c>
      <c r="F59" s="45" t="s">
        <v>601</v>
      </c>
      <c r="G59" s="187">
        <f>COUNTIF('Club Colours'!$I$7:$I$741,A59)</f>
        <v>1</v>
      </c>
      <c r="H59" s="44" t="s">
        <v>1850</v>
      </c>
    </row>
    <row r="60" ht="34.5" customHeight="1">
      <c r="A60" s="115" t="s">
        <v>1704</v>
      </c>
      <c r="B60" s="115" t="s">
        <v>1907</v>
      </c>
      <c r="C60" s="44" t="s">
        <v>1848</v>
      </c>
      <c r="D60" s="115" t="s">
        <v>56</v>
      </c>
      <c r="E60" s="115" t="s">
        <v>1849</v>
      </c>
      <c r="F60" s="45" t="s">
        <v>1705</v>
      </c>
      <c r="G60" s="187">
        <f>COUNTIF('Club Colours'!$I$7:$I$741,A60)</f>
        <v>1</v>
      </c>
      <c r="H60" s="44" t="s">
        <v>1850</v>
      </c>
    </row>
    <row r="61" ht="34.5" customHeight="1">
      <c r="A61" s="115" t="s">
        <v>1042</v>
      </c>
      <c r="B61" s="115" t="s">
        <v>1908</v>
      </c>
      <c r="C61" s="44" t="s">
        <v>1848</v>
      </c>
      <c r="D61" s="115" t="s">
        <v>163</v>
      </c>
      <c r="E61" s="115" t="s">
        <v>1849</v>
      </c>
      <c r="F61" s="45" t="s">
        <v>1043</v>
      </c>
      <c r="G61" s="187">
        <f>COUNTIF('Club Colours'!$I$7:$I$741,A61)</f>
        <v>1</v>
      </c>
      <c r="H61" s="44" t="s">
        <v>1853</v>
      </c>
    </row>
    <row r="62" ht="34.5" customHeight="1">
      <c r="A62" s="115" t="s">
        <v>1047</v>
      </c>
      <c r="B62" s="115" t="s">
        <v>1909</v>
      </c>
      <c r="C62" s="44" t="s">
        <v>1848</v>
      </c>
      <c r="D62" s="115" t="s">
        <v>163</v>
      </c>
      <c r="E62" s="115" t="s">
        <v>1849</v>
      </c>
      <c r="F62" s="45" t="s">
        <v>1048</v>
      </c>
      <c r="G62" s="187">
        <f>COUNTIF('Club Colours'!$I$7:$I$741,A62)</f>
        <v>1</v>
      </c>
      <c r="H62" s="44" t="s">
        <v>1853</v>
      </c>
    </row>
    <row r="63" ht="34.5" customHeight="1">
      <c r="A63" s="115" t="s">
        <v>1055</v>
      </c>
      <c r="B63" s="115" t="s">
        <v>1910</v>
      </c>
      <c r="C63" s="44" t="s">
        <v>1848</v>
      </c>
      <c r="D63" s="115" t="s">
        <v>163</v>
      </c>
      <c r="E63" s="115" t="s">
        <v>1849</v>
      </c>
      <c r="F63" s="45" t="s">
        <v>1056</v>
      </c>
      <c r="G63" s="187">
        <f>COUNTIF('Club Colours'!$I$7:$I$741,A63)</f>
        <v>1</v>
      </c>
      <c r="H63" s="44" t="s">
        <v>1853</v>
      </c>
    </row>
    <row r="64" ht="34.5" customHeight="1">
      <c r="A64" s="115" t="s">
        <v>1059</v>
      </c>
      <c r="B64" s="115" t="s">
        <v>1911</v>
      </c>
      <c r="C64" s="44" t="s">
        <v>1848</v>
      </c>
      <c r="D64" s="115" t="s">
        <v>163</v>
      </c>
      <c r="E64" s="115" t="s">
        <v>1849</v>
      </c>
      <c r="F64" s="45" t="s">
        <v>1060</v>
      </c>
      <c r="G64" s="187">
        <f>COUNTIF('Club Colours'!$I$7:$I$741,A64)</f>
        <v>1</v>
      </c>
      <c r="H64" s="44" t="s">
        <v>1853</v>
      </c>
    </row>
    <row r="65" ht="34.5" customHeight="1">
      <c r="A65" s="115" t="s">
        <v>1062</v>
      </c>
      <c r="B65" s="115" t="s">
        <v>1912</v>
      </c>
      <c r="C65" s="44" t="s">
        <v>1848</v>
      </c>
      <c r="D65" s="115" t="s">
        <v>163</v>
      </c>
      <c r="E65" s="115" t="s">
        <v>1849</v>
      </c>
      <c r="F65" s="45" t="s">
        <v>1063</v>
      </c>
      <c r="G65" s="187">
        <f>COUNTIF('Club Colours'!$I$7:$I$741,A65)</f>
        <v>1</v>
      </c>
      <c r="H65" s="44" t="s">
        <v>1853</v>
      </c>
    </row>
    <row r="66" ht="34.5" customHeight="1">
      <c r="A66" s="115" t="s">
        <v>1668</v>
      </c>
      <c r="B66" s="115" t="s">
        <v>1913</v>
      </c>
      <c r="C66" s="44" t="s">
        <v>1848</v>
      </c>
      <c r="D66" s="115" t="s">
        <v>56</v>
      </c>
      <c r="E66" s="115" t="s">
        <v>1849</v>
      </c>
      <c r="F66" s="45" t="s">
        <v>1669</v>
      </c>
      <c r="G66" s="187">
        <f>COUNTIF('Club Colours'!$I$7:$I$741,A66)</f>
        <v>1</v>
      </c>
      <c r="H66" s="44" t="s">
        <v>1850</v>
      </c>
    </row>
    <row r="67" ht="34.5" customHeight="1">
      <c r="A67" s="115" t="s">
        <v>1070</v>
      </c>
      <c r="B67" s="115" t="s">
        <v>1914</v>
      </c>
      <c r="C67" s="44" t="s">
        <v>1848</v>
      </c>
      <c r="D67" s="115" t="s">
        <v>163</v>
      </c>
      <c r="E67" s="115" t="s">
        <v>1849</v>
      </c>
      <c r="F67" s="45" t="s">
        <v>1071</v>
      </c>
      <c r="G67" s="187">
        <f>COUNTIF('Club Colours'!$I$7:$I$741,A67)</f>
        <v>1</v>
      </c>
      <c r="H67" s="44" t="s">
        <v>1853</v>
      </c>
    </row>
    <row r="68" ht="34.5" customHeight="1">
      <c r="A68" s="115" t="s">
        <v>1078</v>
      </c>
      <c r="B68" s="115" t="s">
        <v>1915</v>
      </c>
      <c r="C68" s="44" t="s">
        <v>1848</v>
      </c>
      <c r="D68" s="115" t="s">
        <v>163</v>
      </c>
      <c r="E68" s="115" t="s">
        <v>1849</v>
      </c>
      <c r="F68" s="45" t="s">
        <v>1079</v>
      </c>
      <c r="G68" s="187">
        <f>COUNTIF('Club Colours'!$I$7:$I$741,A68)</f>
        <v>1</v>
      </c>
      <c r="H68" s="44" t="s">
        <v>1853</v>
      </c>
    </row>
    <row r="69" ht="34.5" customHeight="1">
      <c r="A69" s="115" t="s">
        <v>1075</v>
      </c>
      <c r="B69" s="115" t="s">
        <v>1916</v>
      </c>
      <c r="C69" s="44" t="s">
        <v>1848</v>
      </c>
      <c r="D69" s="115" t="s">
        <v>163</v>
      </c>
      <c r="E69" s="115" t="s">
        <v>1849</v>
      </c>
      <c r="F69" s="45" t="s">
        <v>1076</v>
      </c>
      <c r="G69" s="187">
        <f>COUNTIF('Club Colours'!$I$7:$I$741,A69)</f>
        <v>1</v>
      </c>
      <c r="H69" s="44" t="s">
        <v>1853</v>
      </c>
    </row>
    <row r="70" ht="34.5" customHeight="1">
      <c r="A70" s="115" t="s">
        <v>451</v>
      </c>
      <c r="B70" s="115" t="s">
        <v>1917</v>
      </c>
      <c r="C70" s="44" t="s">
        <v>1848</v>
      </c>
      <c r="D70" s="115" t="s">
        <v>56</v>
      </c>
      <c r="E70" s="115" t="s">
        <v>1849</v>
      </c>
      <c r="F70" s="45" t="s">
        <v>452</v>
      </c>
      <c r="G70" s="187">
        <f>COUNTIF('Club Colours'!$I$7:$I$741,A70)</f>
        <v>1</v>
      </c>
      <c r="H70" s="44" t="s">
        <v>1850</v>
      </c>
    </row>
    <row r="71" ht="34.5" customHeight="1">
      <c r="A71" s="115" t="s">
        <v>603</v>
      </c>
      <c r="B71" s="115" t="s">
        <v>1918</v>
      </c>
      <c r="C71" s="44" t="s">
        <v>1919</v>
      </c>
      <c r="D71" s="115" t="s">
        <v>173</v>
      </c>
      <c r="E71" s="115" t="s">
        <v>355</v>
      </c>
      <c r="F71" s="45" t="s">
        <v>604</v>
      </c>
      <c r="G71" s="187">
        <f>COUNTIF('Club Colours'!$I$7:$I$741,A71)</f>
        <v>1</v>
      </c>
      <c r="H71" s="44" t="s">
        <v>1850</v>
      </c>
    </row>
    <row r="72" ht="34.5" customHeight="1">
      <c r="A72" s="115" t="s">
        <v>918</v>
      </c>
      <c r="B72" s="115" t="s">
        <v>1920</v>
      </c>
      <c r="C72" s="44" t="s">
        <v>1848</v>
      </c>
      <c r="D72" s="115" t="s">
        <v>56</v>
      </c>
      <c r="E72" s="115" t="s">
        <v>1849</v>
      </c>
      <c r="F72" s="45" t="s">
        <v>919</v>
      </c>
      <c r="G72" s="187">
        <f>COUNTIF('Club Colours'!$I$7:$I$741,A72)</f>
        <v>1</v>
      </c>
      <c r="H72" s="44" t="s">
        <v>1850</v>
      </c>
    </row>
    <row r="73" ht="34.5" customHeight="1">
      <c r="A73" s="115" t="s">
        <v>1087</v>
      </c>
      <c r="B73" s="115" t="s">
        <v>1921</v>
      </c>
      <c r="C73" s="44" t="s">
        <v>1848</v>
      </c>
      <c r="D73" s="115" t="s">
        <v>56</v>
      </c>
      <c r="E73" s="115" t="s">
        <v>1849</v>
      </c>
      <c r="F73" s="45" t="s">
        <v>1088</v>
      </c>
      <c r="G73" s="187">
        <f>COUNTIF('Club Colours'!$I$7:$I$741,A73)</f>
        <v>2</v>
      </c>
      <c r="H73" s="44" t="s">
        <v>1850</v>
      </c>
    </row>
    <row r="74" ht="34.5" customHeight="1">
      <c r="A74" s="115" t="s">
        <v>1642</v>
      </c>
      <c r="B74" s="115" t="s">
        <v>1922</v>
      </c>
      <c r="C74" s="44" t="s">
        <v>1848</v>
      </c>
      <c r="D74" s="115" t="s">
        <v>56</v>
      </c>
      <c r="E74" s="115" t="s">
        <v>1849</v>
      </c>
      <c r="F74" s="45" t="s">
        <v>1643</v>
      </c>
      <c r="G74" s="187">
        <f>COUNTIF('Club Colours'!$I$7:$I$741,A74)</f>
        <v>1</v>
      </c>
      <c r="H74" s="44" t="s">
        <v>1850</v>
      </c>
    </row>
    <row r="75" ht="34.5" customHeight="1">
      <c r="A75" s="115" t="s">
        <v>607</v>
      </c>
      <c r="B75" s="115" t="s">
        <v>1923</v>
      </c>
      <c r="C75" s="44" t="s">
        <v>1848</v>
      </c>
      <c r="D75" s="115" t="s">
        <v>56</v>
      </c>
      <c r="E75" s="115" t="s">
        <v>1849</v>
      </c>
      <c r="F75" s="45" t="s">
        <v>608</v>
      </c>
      <c r="G75" s="187">
        <f>COUNTIF('Club Colours'!$I$7:$I$741,A75)</f>
        <v>1</v>
      </c>
      <c r="H75" s="44" t="s">
        <v>1850</v>
      </c>
    </row>
    <row r="76" ht="34.5" customHeight="1">
      <c r="A76" s="115" t="s">
        <v>1092</v>
      </c>
      <c r="B76" s="115" t="s">
        <v>1924</v>
      </c>
      <c r="C76" s="44" t="s">
        <v>1848</v>
      </c>
      <c r="D76" s="115" t="s">
        <v>163</v>
      </c>
      <c r="E76" s="115" t="s">
        <v>1849</v>
      </c>
      <c r="F76" s="45" t="s">
        <v>1093</v>
      </c>
      <c r="G76" s="187">
        <f>COUNTIF('Club Colours'!$I$7:$I$741,A76)</f>
        <v>1</v>
      </c>
      <c r="H76" s="44" t="s">
        <v>1853</v>
      </c>
    </row>
    <row r="77" ht="34.5" customHeight="1">
      <c r="A77" s="115" t="s">
        <v>1708</v>
      </c>
      <c r="B77" s="115" t="s">
        <v>1925</v>
      </c>
      <c r="C77" s="44" t="s">
        <v>1848</v>
      </c>
      <c r="D77" s="115" t="s">
        <v>56</v>
      </c>
      <c r="E77" s="115" t="s">
        <v>1849</v>
      </c>
      <c r="F77" s="45" t="s">
        <v>1709</v>
      </c>
      <c r="G77" s="187">
        <f>COUNTIF('Club Colours'!$I$7:$I$741,A77)</f>
        <v>1</v>
      </c>
      <c r="H77" s="44" t="s">
        <v>1850</v>
      </c>
    </row>
    <row r="78" ht="34.5" customHeight="1">
      <c r="A78" s="115" t="s">
        <v>1422</v>
      </c>
      <c r="B78" s="115" t="s">
        <v>1926</v>
      </c>
      <c r="C78" s="44" t="s">
        <v>1848</v>
      </c>
      <c r="D78" s="115" t="s">
        <v>56</v>
      </c>
      <c r="E78" s="115" t="s">
        <v>1849</v>
      </c>
      <c r="F78" s="45" t="s">
        <v>1423</v>
      </c>
      <c r="G78" s="187">
        <f>COUNTIF('Club Colours'!$I$7:$I$741,A78)</f>
        <v>1</v>
      </c>
      <c r="H78" s="44" t="s">
        <v>1850</v>
      </c>
    </row>
    <row r="79" ht="34.5" customHeight="1">
      <c r="A79" s="115" t="s">
        <v>462</v>
      </c>
      <c r="B79" s="115" t="s">
        <v>1927</v>
      </c>
      <c r="C79" s="44" t="s">
        <v>1848</v>
      </c>
      <c r="D79" s="115" t="s">
        <v>56</v>
      </c>
      <c r="E79" s="115" t="s">
        <v>1849</v>
      </c>
      <c r="F79" s="45" t="s">
        <v>463</v>
      </c>
      <c r="G79" s="187">
        <f>COUNTIF('Club Colours'!$I$7:$I$741,A79)</f>
        <v>1</v>
      </c>
      <c r="H79" s="44" t="s">
        <v>1850</v>
      </c>
    </row>
    <row r="80" ht="34.5" customHeight="1">
      <c r="A80" s="115" t="s">
        <v>611</v>
      </c>
      <c r="B80" s="115" t="s">
        <v>1928</v>
      </c>
      <c r="C80" s="44" t="s">
        <v>1848</v>
      </c>
      <c r="D80" s="115" t="s">
        <v>56</v>
      </c>
      <c r="E80" s="115" t="s">
        <v>1849</v>
      </c>
      <c r="F80" s="45" t="s">
        <v>612</v>
      </c>
      <c r="G80" s="187">
        <f>COUNTIF('Club Colours'!$I$7:$I$741,A80)</f>
        <v>1</v>
      </c>
      <c r="H80" s="44" t="s">
        <v>1850</v>
      </c>
    </row>
    <row r="81" ht="34.5" customHeight="1">
      <c r="A81" s="115" t="s">
        <v>824</v>
      </c>
      <c r="B81" s="115" t="s">
        <v>1929</v>
      </c>
      <c r="C81" s="44" t="s">
        <v>1848</v>
      </c>
      <c r="D81" s="115" t="s">
        <v>56</v>
      </c>
      <c r="E81" s="115" t="s">
        <v>1849</v>
      </c>
      <c r="F81" s="45" t="s">
        <v>825</v>
      </c>
      <c r="G81" s="187">
        <f>COUNTIF('Club Colours'!$I$7:$I$741,A81)</f>
        <v>1</v>
      </c>
      <c r="H81" s="44" t="s">
        <v>1850</v>
      </c>
    </row>
    <row r="82" ht="34.5" customHeight="1">
      <c r="A82" s="115" t="s">
        <v>465</v>
      </c>
      <c r="B82" s="115" t="s">
        <v>1930</v>
      </c>
      <c r="C82" s="44" t="s">
        <v>1848</v>
      </c>
      <c r="D82" s="115" t="s">
        <v>56</v>
      </c>
      <c r="E82" s="115" t="s">
        <v>1849</v>
      </c>
      <c r="F82" s="45" t="s">
        <v>467</v>
      </c>
      <c r="G82" s="187">
        <f>COUNTIF('Club Colours'!$I$7:$I$741,A82)</f>
        <v>1</v>
      </c>
      <c r="H82" s="44" t="s">
        <v>1850</v>
      </c>
    </row>
    <row r="83" ht="34.5" customHeight="1">
      <c r="A83" s="115" t="s">
        <v>1096</v>
      </c>
      <c r="B83" s="115" t="s">
        <v>1931</v>
      </c>
      <c r="C83" s="44" t="s">
        <v>1848</v>
      </c>
      <c r="D83" s="115" t="s">
        <v>163</v>
      </c>
      <c r="E83" s="115" t="s">
        <v>1849</v>
      </c>
      <c r="F83" s="45" t="s">
        <v>1097</v>
      </c>
      <c r="G83" s="187">
        <f>COUNTIF('Club Colours'!$I$7:$I$741,A83)</f>
        <v>1</v>
      </c>
      <c r="H83" s="44" t="s">
        <v>1853</v>
      </c>
    </row>
    <row r="84" ht="34.5" customHeight="1">
      <c r="A84" s="115" t="s">
        <v>470</v>
      </c>
      <c r="B84" s="115" t="s">
        <v>1932</v>
      </c>
      <c r="C84" s="44" t="s">
        <v>1848</v>
      </c>
      <c r="D84" s="115" t="s">
        <v>56</v>
      </c>
      <c r="E84" s="115" t="s">
        <v>1849</v>
      </c>
      <c r="F84" s="45" t="s">
        <v>471</v>
      </c>
      <c r="G84" s="187">
        <f>COUNTIF('Club Colours'!$I$7:$I$741,A84)</f>
        <v>1</v>
      </c>
      <c r="H84" s="44" t="s">
        <v>1850</v>
      </c>
    </row>
    <row r="85" ht="34.5" customHeight="1">
      <c r="A85" s="115" t="s">
        <v>1099</v>
      </c>
      <c r="B85" s="115" t="s">
        <v>1933</v>
      </c>
      <c r="C85" s="44" t="s">
        <v>1848</v>
      </c>
      <c r="D85" s="115" t="s">
        <v>56</v>
      </c>
      <c r="E85" s="115" t="s">
        <v>1849</v>
      </c>
      <c r="F85" s="45" t="s">
        <v>1100</v>
      </c>
      <c r="G85" s="187">
        <f>COUNTIF('Club Colours'!$I$7:$I$741,A85)</f>
        <v>1</v>
      </c>
      <c r="H85" s="44" t="s">
        <v>1850</v>
      </c>
    </row>
    <row r="86" ht="34.5" customHeight="1">
      <c r="A86" s="115" t="s">
        <v>826</v>
      </c>
      <c r="B86" s="115" t="s">
        <v>1934</v>
      </c>
      <c r="C86" s="44" t="s">
        <v>1848</v>
      </c>
      <c r="D86" s="115" t="s">
        <v>56</v>
      </c>
      <c r="E86" s="115" t="s">
        <v>1849</v>
      </c>
      <c r="F86" s="45" t="s">
        <v>745</v>
      </c>
      <c r="G86" s="187">
        <f>COUNTIF('Club Colours'!$I$7:$I$741,A86)</f>
        <v>1</v>
      </c>
      <c r="H86" s="44" t="s">
        <v>1850</v>
      </c>
    </row>
    <row r="87" ht="34.5" customHeight="1">
      <c r="A87" s="115" t="s">
        <v>1104</v>
      </c>
      <c r="B87" s="115" t="s">
        <v>1935</v>
      </c>
      <c r="C87" s="44" t="s">
        <v>1848</v>
      </c>
      <c r="D87" s="115" t="s">
        <v>163</v>
      </c>
      <c r="E87" s="115" t="s">
        <v>1849</v>
      </c>
      <c r="F87" s="45" t="s">
        <v>1105</v>
      </c>
      <c r="G87" s="187">
        <f>COUNTIF('Club Colours'!$I$7:$I$741,A87)</f>
        <v>1</v>
      </c>
      <c r="H87" s="44" t="s">
        <v>1853</v>
      </c>
    </row>
    <row r="88" ht="34.5" customHeight="1">
      <c r="A88" s="115" t="s">
        <v>1107</v>
      </c>
      <c r="B88" s="115" t="s">
        <v>1936</v>
      </c>
      <c r="C88" s="44" t="s">
        <v>1848</v>
      </c>
      <c r="D88" s="115" t="s">
        <v>56</v>
      </c>
      <c r="E88" s="115" t="s">
        <v>1849</v>
      </c>
      <c r="F88" s="45" t="s">
        <v>1108</v>
      </c>
      <c r="G88" s="187">
        <f>COUNTIF('Club Colours'!$I$7:$I$741,A88)</f>
        <v>1</v>
      </c>
      <c r="H88" s="44" t="s">
        <v>1850</v>
      </c>
    </row>
    <row r="89" ht="34.5" customHeight="1">
      <c r="A89" s="115" t="s">
        <v>1689</v>
      </c>
      <c r="B89" s="115" t="s">
        <v>1937</v>
      </c>
      <c r="C89" s="44" t="s">
        <v>1848</v>
      </c>
      <c r="D89" s="115" t="s">
        <v>56</v>
      </c>
      <c r="E89" s="115" t="s">
        <v>1849</v>
      </c>
      <c r="F89" s="45" t="s">
        <v>1690</v>
      </c>
      <c r="G89" s="187">
        <f>COUNTIF('Club Colours'!$I$7:$I$741,A89)</f>
        <v>1</v>
      </c>
      <c r="H89" s="44" t="s">
        <v>1850</v>
      </c>
    </row>
    <row r="90" ht="34.5" customHeight="1">
      <c r="A90" s="115" t="s">
        <v>1425</v>
      </c>
      <c r="B90" s="115" t="s">
        <v>1938</v>
      </c>
      <c r="C90" s="44" t="s">
        <v>1848</v>
      </c>
      <c r="D90" s="115" t="s">
        <v>56</v>
      </c>
      <c r="E90" s="115" t="s">
        <v>1849</v>
      </c>
      <c r="F90" s="45" t="s">
        <v>1426</v>
      </c>
      <c r="G90" s="187">
        <f>COUNTIF('Club Colours'!$I$7:$I$741,A90)</f>
        <v>1</v>
      </c>
      <c r="H90" s="44" t="s">
        <v>1850</v>
      </c>
    </row>
    <row r="91" ht="34.5" customHeight="1">
      <c r="A91" s="115" t="s">
        <v>828</v>
      </c>
      <c r="B91" s="115" t="s">
        <v>1939</v>
      </c>
      <c r="C91" s="44" t="s">
        <v>1848</v>
      </c>
      <c r="D91" s="115" t="s">
        <v>56</v>
      </c>
      <c r="E91" s="115" t="s">
        <v>1849</v>
      </c>
      <c r="F91" s="45" t="s">
        <v>829</v>
      </c>
      <c r="G91" s="187">
        <f>COUNTIF('Club Colours'!$I$7:$I$741,A91)</f>
        <v>1</v>
      </c>
      <c r="H91" s="44" t="s">
        <v>1850</v>
      </c>
    </row>
    <row r="92" ht="34.5" customHeight="1">
      <c r="A92" s="115" t="s">
        <v>1431</v>
      </c>
      <c r="B92" s="115" t="s">
        <v>1940</v>
      </c>
      <c r="C92" s="44" t="s">
        <v>1848</v>
      </c>
      <c r="D92" s="115" t="s">
        <v>56</v>
      </c>
      <c r="E92" s="115" t="s">
        <v>1849</v>
      </c>
      <c r="F92" s="45" t="s">
        <v>1432</v>
      </c>
      <c r="G92" s="187">
        <f>COUNTIF('Club Colours'!$I$7:$I$741,A92)</f>
        <v>2</v>
      </c>
      <c r="H92" s="44" t="s">
        <v>1850</v>
      </c>
    </row>
    <row r="93" ht="34.5" customHeight="1">
      <c r="A93" s="115" t="s">
        <v>1436</v>
      </c>
      <c r="B93" s="115" t="s">
        <v>1941</v>
      </c>
      <c r="C93" s="44" t="s">
        <v>1848</v>
      </c>
      <c r="D93" s="115" t="s">
        <v>56</v>
      </c>
      <c r="E93" s="115" t="s">
        <v>1849</v>
      </c>
      <c r="F93" s="45" t="s">
        <v>1437</v>
      </c>
      <c r="G93" s="187">
        <f>COUNTIF('Club Colours'!$I$7:$I$741,A93)</f>
        <v>1</v>
      </c>
      <c r="H93" s="44" t="s">
        <v>1850</v>
      </c>
    </row>
    <row r="94" ht="34.5" customHeight="1">
      <c r="A94" s="115" t="s">
        <v>1692</v>
      </c>
      <c r="B94" s="115" t="s">
        <v>1942</v>
      </c>
      <c r="C94" s="44" t="s">
        <v>1848</v>
      </c>
      <c r="D94" s="115" t="s">
        <v>56</v>
      </c>
      <c r="E94" s="115" t="s">
        <v>1849</v>
      </c>
      <c r="F94" s="45" t="s">
        <v>1693</v>
      </c>
      <c r="G94" s="187">
        <f>COUNTIF('Club Colours'!$I$7:$I$741,A94)</f>
        <v>1</v>
      </c>
      <c r="H94" s="44" t="s">
        <v>1850</v>
      </c>
    </row>
    <row r="95" ht="34.5" customHeight="1">
      <c r="A95" s="115" t="s">
        <v>1569</v>
      </c>
      <c r="B95" s="115" t="s">
        <v>1943</v>
      </c>
      <c r="C95" s="44" t="s">
        <v>1848</v>
      </c>
      <c r="D95" s="115" t="s">
        <v>56</v>
      </c>
      <c r="E95" s="115" t="s">
        <v>1849</v>
      </c>
      <c r="F95" s="45" t="s">
        <v>1570</v>
      </c>
      <c r="G95" s="187">
        <f>COUNTIF('Club Colours'!$I$7:$I$741,A95)</f>
        <v>1</v>
      </c>
      <c r="H95" s="44" t="s">
        <v>1850</v>
      </c>
    </row>
    <row r="96" ht="34.5" customHeight="1">
      <c r="A96" s="115" t="s">
        <v>1119</v>
      </c>
      <c r="B96" s="115" t="s">
        <v>1944</v>
      </c>
      <c r="C96" s="44" t="s">
        <v>1848</v>
      </c>
      <c r="D96" s="115" t="s">
        <v>163</v>
      </c>
      <c r="E96" s="115" t="s">
        <v>1849</v>
      </c>
      <c r="F96" s="45" t="s">
        <v>1120</v>
      </c>
      <c r="G96" s="187">
        <f>COUNTIF('Club Colours'!$I$7:$I$741,A96)</f>
        <v>2</v>
      </c>
      <c r="H96" s="44" t="s">
        <v>1853</v>
      </c>
    </row>
    <row r="97" ht="34.5" customHeight="1">
      <c r="A97" s="115" t="s">
        <v>1650</v>
      </c>
      <c r="B97" s="115" t="s">
        <v>1945</v>
      </c>
      <c r="C97" s="44" t="s">
        <v>1848</v>
      </c>
      <c r="D97" s="115" t="s">
        <v>56</v>
      </c>
      <c r="E97" s="115" t="s">
        <v>1849</v>
      </c>
      <c r="F97" s="45" t="s">
        <v>1651</v>
      </c>
      <c r="G97" s="187">
        <f>COUNTIF('Club Colours'!$I$7:$I$741,A97)</f>
        <v>1</v>
      </c>
      <c r="H97" s="44" t="s">
        <v>1850</v>
      </c>
    </row>
    <row r="98" ht="34.5" customHeight="1">
      <c r="A98" s="115" t="s">
        <v>1443</v>
      </c>
      <c r="B98" s="115" t="s">
        <v>1946</v>
      </c>
      <c r="C98" s="44" t="s">
        <v>1848</v>
      </c>
      <c r="D98" s="115" t="s">
        <v>56</v>
      </c>
      <c r="E98" s="115" t="s">
        <v>1849</v>
      </c>
      <c r="F98" s="45" t="s">
        <v>1444</v>
      </c>
      <c r="G98" s="187">
        <f>COUNTIF('Club Colours'!$I$7:$I$741,A98)</f>
        <v>1</v>
      </c>
      <c r="H98" s="44" t="s">
        <v>1850</v>
      </c>
    </row>
    <row r="99" ht="34.5" customHeight="1">
      <c r="A99" s="115" t="s">
        <v>923</v>
      </c>
      <c r="B99" s="115" t="s">
        <v>1947</v>
      </c>
      <c r="C99" s="44" t="s">
        <v>1848</v>
      </c>
      <c r="D99" s="115" t="s">
        <v>56</v>
      </c>
      <c r="E99" s="115" t="s">
        <v>1849</v>
      </c>
      <c r="F99" s="45" t="s">
        <v>924</v>
      </c>
      <c r="G99" s="187">
        <f>COUNTIF('Club Colours'!$I$7:$I$741,A99)</f>
        <v>1</v>
      </c>
      <c r="H99" s="44" t="s">
        <v>1850</v>
      </c>
    </row>
    <row r="100" ht="34.5" customHeight="1">
      <c r="A100" s="115" t="s">
        <v>617</v>
      </c>
      <c r="B100" s="115" t="s">
        <v>1948</v>
      </c>
      <c r="C100" s="44" t="s">
        <v>1848</v>
      </c>
      <c r="D100" s="115" t="s">
        <v>56</v>
      </c>
      <c r="E100" s="115" t="s">
        <v>1849</v>
      </c>
      <c r="F100" s="45" t="s">
        <v>618</v>
      </c>
      <c r="G100" s="187">
        <f>COUNTIF('Club Colours'!$I$7:$I$741,A100)</f>
        <v>1</v>
      </c>
      <c r="H100" s="44" t="s">
        <v>1850</v>
      </c>
    </row>
    <row r="101" ht="34.5" customHeight="1">
      <c r="A101" s="115" t="s">
        <v>621</v>
      </c>
      <c r="B101" s="115" t="s">
        <v>1949</v>
      </c>
      <c r="C101" s="44" t="s">
        <v>1848</v>
      </c>
      <c r="D101" s="115" t="s">
        <v>56</v>
      </c>
      <c r="E101" s="115" t="s">
        <v>1849</v>
      </c>
      <c r="F101" s="45" t="s">
        <v>622</v>
      </c>
      <c r="G101" s="187">
        <f>COUNTIF('Club Colours'!$I$7:$I$741,A101)</f>
        <v>1</v>
      </c>
      <c r="H101" s="44" t="s">
        <v>1850</v>
      </c>
    </row>
    <row r="102" ht="34.5" customHeight="1">
      <c r="A102" s="115" t="s">
        <v>624</v>
      </c>
      <c r="B102" s="115" t="s">
        <v>1950</v>
      </c>
      <c r="C102" s="44" t="s">
        <v>1848</v>
      </c>
      <c r="D102" s="115" t="s">
        <v>56</v>
      </c>
      <c r="E102" s="115" t="s">
        <v>1849</v>
      </c>
      <c r="F102" s="45" t="s">
        <v>625</v>
      </c>
      <c r="G102" s="187">
        <f>COUNTIF('Club Colours'!$I$7:$I$741,A102)</f>
        <v>1</v>
      </c>
      <c r="H102" s="44" t="s">
        <v>1850</v>
      </c>
    </row>
    <row r="103" ht="34.5" customHeight="1">
      <c r="A103" s="115" t="s">
        <v>629</v>
      </c>
      <c r="B103" s="115" t="s">
        <v>1951</v>
      </c>
      <c r="C103" s="44" t="s">
        <v>1848</v>
      </c>
      <c r="D103" s="115" t="s">
        <v>56</v>
      </c>
      <c r="E103" s="115" t="s">
        <v>1849</v>
      </c>
      <c r="F103" s="45" t="s">
        <v>630</v>
      </c>
      <c r="G103" s="187">
        <f>COUNTIF('Club Colours'!$I$7:$I$741,A103)</f>
        <v>1</v>
      </c>
      <c r="H103" s="44" t="s">
        <v>1850</v>
      </c>
    </row>
    <row r="104" ht="34.5" customHeight="1">
      <c r="A104" s="115" t="s">
        <v>634</v>
      </c>
      <c r="B104" s="115" t="s">
        <v>1952</v>
      </c>
      <c r="C104" s="44" t="s">
        <v>1848</v>
      </c>
      <c r="D104" s="115" t="s">
        <v>56</v>
      </c>
      <c r="E104" s="115" t="s">
        <v>1849</v>
      </c>
      <c r="F104" s="45" t="s">
        <v>635</v>
      </c>
      <c r="G104" s="187">
        <f>COUNTIF('Club Colours'!$I$7:$I$741,A104)</f>
        <v>1</v>
      </c>
      <c r="H104" s="44" t="s">
        <v>1850</v>
      </c>
    </row>
    <row r="105" ht="34.5" customHeight="1">
      <c r="A105" s="115" t="s">
        <v>926</v>
      </c>
      <c r="B105" s="115" t="s">
        <v>1953</v>
      </c>
      <c r="C105" s="44" t="s">
        <v>1848</v>
      </c>
      <c r="D105" s="115" t="s">
        <v>56</v>
      </c>
      <c r="E105" s="115" t="s">
        <v>1849</v>
      </c>
      <c r="F105" s="45" t="s">
        <v>927</v>
      </c>
      <c r="G105" s="187">
        <f>COUNTIF('Club Colours'!$I$7:$I$741,A105)</f>
        <v>1</v>
      </c>
      <c r="H105" s="44" t="s">
        <v>1850</v>
      </c>
    </row>
    <row r="106" ht="34.5" customHeight="1">
      <c r="A106" s="115" t="s">
        <v>638</v>
      </c>
      <c r="B106" s="115" t="s">
        <v>1954</v>
      </c>
      <c r="C106" s="44" t="s">
        <v>1848</v>
      </c>
      <c r="D106" s="115" t="s">
        <v>56</v>
      </c>
      <c r="E106" s="115" t="s">
        <v>1849</v>
      </c>
      <c r="F106" s="45" t="s">
        <v>639</v>
      </c>
      <c r="G106" s="187">
        <f>COUNTIF('Club Colours'!$I$7:$I$741,A106)</f>
        <v>1</v>
      </c>
      <c r="H106" s="44" t="s">
        <v>1850</v>
      </c>
    </row>
    <row r="107" ht="34.5" customHeight="1">
      <c r="A107" s="115" t="s">
        <v>642</v>
      </c>
      <c r="B107" s="115" t="s">
        <v>1955</v>
      </c>
      <c r="C107" s="44" t="s">
        <v>1848</v>
      </c>
      <c r="D107" s="115" t="s">
        <v>56</v>
      </c>
      <c r="E107" s="115" t="s">
        <v>1849</v>
      </c>
      <c r="F107" s="45" t="s">
        <v>643</v>
      </c>
      <c r="G107" s="187">
        <f>COUNTIF('Club Colours'!$I$7:$I$741,A107)</f>
        <v>1</v>
      </c>
      <c r="H107" s="44" t="s">
        <v>1850</v>
      </c>
    </row>
    <row r="108" ht="34.5" customHeight="1">
      <c r="A108" s="115" t="s">
        <v>645</v>
      </c>
      <c r="B108" s="115" t="s">
        <v>1956</v>
      </c>
      <c r="C108" s="44" t="s">
        <v>1848</v>
      </c>
      <c r="D108" s="115" t="s">
        <v>56</v>
      </c>
      <c r="E108" s="115" t="s">
        <v>1849</v>
      </c>
      <c r="F108" s="45" t="s">
        <v>646</v>
      </c>
      <c r="G108" s="187">
        <f>COUNTIF('Club Colours'!$I$7:$I$741,A108)</f>
        <v>1</v>
      </c>
      <c r="H108" s="44" t="s">
        <v>1850</v>
      </c>
    </row>
    <row r="109" ht="34.5" customHeight="1">
      <c r="A109" s="115" t="s">
        <v>1645</v>
      </c>
      <c r="B109" s="115" t="s">
        <v>1957</v>
      </c>
      <c r="C109" s="44" t="s">
        <v>1848</v>
      </c>
      <c r="D109" s="115" t="s">
        <v>56</v>
      </c>
      <c r="E109" s="115" t="s">
        <v>1849</v>
      </c>
      <c r="F109" s="45" t="s">
        <v>1646</v>
      </c>
      <c r="G109" s="187">
        <f>COUNTIF('Club Colours'!$I$7:$I$741,A109)</f>
        <v>1</v>
      </c>
      <c r="H109" s="44" t="s">
        <v>1850</v>
      </c>
    </row>
    <row r="110" ht="34.5" customHeight="1">
      <c r="A110" s="115" t="s">
        <v>834</v>
      </c>
      <c r="B110" s="115" t="s">
        <v>1958</v>
      </c>
      <c r="C110" s="44" t="s">
        <v>1848</v>
      </c>
      <c r="D110" s="115" t="s">
        <v>56</v>
      </c>
      <c r="E110" s="115" t="s">
        <v>1849</v>
      </c>
      <c r="F110" s="45" t="s">
        <v>750</v>
      </c>
      <c r="G110" s="187">
        <f>COUNTIF('Club Colours'!$I$7:$I$741,A110)</f>
        <v>1</v>
      </c>
      <c r="H110" s="44" t="s">
        <v>1850</v>
      </c>
    </row>
    <row r="111" ht="34.5" customHeight="1">
      <c r="A111" s="115" t="s">
        <v>836</v>
      </c>
      <c r="B111" s="115" t="s">
        <v>1959</v>
      </c>
      <c r="C111" s="44" t="s">
        <v>1848</v>
      </c>
      <c r="D111" s="115" t="s">
        <v>56</v>
      </c>
      <c r="E111" s="115" t="s">
        <v>1849</v>
      </c>
      <c r="F111" s="45" t="s">
        <v>837</v>
      </c>
      <c r="G111" s="187">
        <f>COUNTIF('Club Colours'!$I$7:$I$741,A111)</f>
        <v>1</v>
      </c>
      <c r="H111" s="44" t="s">
        <v>1850</v>
      </c>
    </row>
    <row r="112" ht="34.5" customHeight="1">
      <c r="A112" s="115" t="s">
        <v>840</v>
      </c>
      <c r="B112" s="115" t="s">
        <v>1960</v>
      </c>
      <c r="C112" s="44" t="s">
        <v>1848</v>
      </c>
      <c r="D112" s="115" t="s">
        <v>56</v>
      </c>
      <c r="E112" s="115" t="s">
        <v>1849</v>
      </c>
      <c r="F112" s="45" t="s">
        <v>841</v>
      </c>
      <c r="G112" s="187">
        <f>COUNTIF('Club Colours'!$I$7:$I$741,A112)</f>
        <v>1</v>
      </c>
      <c r="H112" s="44" t="s">
        <v>1850</v>
      </c>
    </row>
    <row r="113" ht="34.5" customHeight="1">
      <c r="A113" s="115" t="s">
        <v>1654</v>
      </c>
      <c r="B113" s="115" t="s">
        <v>1961</v>
      </c>
      <c r="C113" s="44" t="s">
        <v>1848</v>
      </c>
      <c r="D113" s="115" t="s">
        <v>56</v>
      </c>
      <c r="E113" s="115" t="s">
        <v>1849</v>
      </c>
      <c r="F113" s="45" t="s">
        <v>1655</v>
      </c>
      <c r="G113" s="187">
        <f>COUNTIF('Club Colours'!$I$7:$I$741,A113)</f>
        <v>1</v>
      </c>
      <c r="H113" s="44" t="s">
        <v>1850</v>
      </c>
    </row>
    <row r="114" ht="34.5" customHeight="1">
      <c r="A114" s="115" t="s">
        <v>1638</v>
      </c>
      <c r="B114" s="115" t="s">
        <v>1962</v>
      </c>
      <c r="C114" s="44" t="s">
        <v>1848</v>
      </c>
      <c r="D114" s="115" t="s">
        <v>56</v>
      </c>
      <c r="E114" s="115" t="s">
        <v>1849</v>
      </c>
      <c r="F114" s="45" t="s">
        <v>1639</v>
      </c>
      <c r="G114" s="187">
        <f>COUNTIF('Club Colours'!$I$7:$I$741,A114)</f>
        <v>1</v>
      </c>
      <c r="H114" s="44" t="s">
        <v>1850</v>
      </c>
    </row>
    <row r="115" ht="34.5" customHeight="1">
      <c r="A115" s="115" t="s">
        <v>1339</v>
      </c>
      <c r="B115" s="115" t="s">
        <v>1963</v>
      </c>
      <c r="C115" s="44" t="s">
        <v>1848</v>
      </c>
      <c r="D115" s="115" t="s">
        <v>56</v>
      </c>
      <c r="E115" s="115" t="s">
        <v>1849</v>
      </c>
      <c r="F115" s="45" t="s">
        <v>1266</v>
      </c>
      <c r="G115" s="187">
        <f>COUNTIF('Club Colours'!$I$7:$I$741,A115)</f>
        <v>1</v>
      </c>
      <c r="H115" s="44" t="s">
        <v>1850</v>
      </c>
    </row>
    <row r="116" ht="34.5" customHeight="1">
      <c r="A116" s="115" t="s">
        <v>1128</v>
      </c>
      <c r="B116" s="115" t="s">
        <v>1964</v>
      </c>
      <c r="C116" s="44" t="s">
        <v>1848</v>
      </c>
      <c r="D116" s="115" t="s">
        <v>163</v>
      </c>
      <c r="E116" s="115" t="s">
        <v>1849</v>
      </c>
      <c r="F116" s="45" t="s">
        <v>1129</v>
      </c>
      <c r="G116" s="187">
        <f>COUNTIF('Club Colours'!$I$7:$I$741,A116)</f>
        <v>1</v>
      </c>
      <c r="H116" s="44" t="s">
        <v>1853</v>
      </c>
    </row>
    <row r="117" ht="34.5" customHeight="1">
      <c r="A117" s="115" t="s">
        <v>1446</v>
      </c>
      <c r="B117" s="115" t="s">
        <v>1965</v>
      </c>
      <c r="C117" s="44" t="s">
        <v>1848</v>
      </c>
      <c r="D117" s="115" t="s">
        <v>56</v>
      </c>
      <c r="E117" s="115" t="s">
        <v>1849</v>
      </c>
      <c r="F117" s="45" t="s">
        <v>1447</v>
      </c>
      <c r="G117" s="187">
        <f>COUNTIF('Club Colours'!$I$7:$I$741,A117)</f>
        <v>2</v>
      </c>
      <c r="H117" s="44" t="s">
        <v>1850</v>
      </c>
    </row>
    <row r="118" ht="34.5" customHeight="1">
      <c r="A118" s="115" t="s">
        <v>1712</v>
      </c>
      <c r="B118" s="115" t="s">
        <v>1966</v>
      </c>
      <c r="C118" s="44" t="s">
        <v>1848</v>
      </c>
      <c r="D118" s="115" t="s">
        <v>56</v>
      </c>
      <c r="E118" s="115" t="s">
        <v>1849</v>
      </c>
      <c r="F118" s="45" t="s">
        <v>1713</v>
      </c>
      <c r="G118" s="187">
        <f>COUNTIF('Club Colours'!$I$7:$I$741,A118)</f>
        <v>1</v>
      </c>
      <c r="H118" s="44" t="s">
        <v>1850</v>
      </c>
    </row>
    <row r="119" ht="34.5" customHeight="1">
      <c r="A119" s="115" t="s">
        <v>1451</v>
      </c>
      <c r="B119" s="115" t="s">
        <v>1967</v>
      </c>
      <c r="C119" s="44" t="s">
        <v>1848</v>
      </c>
      <c r="D119" s="115" t="s">
        <v>56</v>
      </c>
      <c r="E119" s="115" t="s">
        <v>1849</v>
      </c>
      <c r="F119" s="45" t="s">
        <v>1452</v>
      </c>
      <c r="G119" s="187">
        <f>COUNTIF('Club Colours'!$I$7:$I$741,A119)</f>
        <v>1</v>
      </c>
      <c r="H119" s="44" t="s">
        <v>1850</v>
      </c>
    </row>
    <row r="120" ht="34.5" customHeight="1">
      <c r="A120" s="115" t="s">
        <v>1454</v>
      </c>
      <c r="B120" s="115" t="s">
        <v>1968</v>
      </c>
      <c r="C120" s="44" t="s">
        <v>1848</v>
      </c>
      <c r="D120" s="115" t="s">
        <v>56</v>
      </c>
      <c r="E120" s="115" t="s">
        <v>1849</v>
      </c>
      <c r="F120" s="45" t="s">
        <v>1455</v>
      </c>
      <c r="G120" s="187">
        <f>COUNTIF('Club Colours'!$I$7:$I$741,A120)</f>
        <v>1</v>
      </c>
      <c r="H120" s="44" t="s">
        <v>1850</v>
      </c>
    </row>
    <row r="121" ht="34.5" customHeight="1">
      <c r="A121" s="115" t="s">
        <v>1457</v>
      </c>
      <c r="B121" s="115" t="s">
        <v>1969</v>
      </c>
      <c r="C121" s="44" t="s">
        <v>1456</v>
      </c>
      <c r="D121" s="115" t="s">
        <v>173</v>
      </c>
      <c r="E121" s="115" t="s">
        <v>1849</v>
      </c>
      <c r="F121" s="45" t="s">
        <v>1458</v>
      </c>
      <c r="G121" s="187">
        <f>COUNTIF('Club Colours'!$I$7:$I$741,A121)</f>
        <v>1</v>
      </c>
      <c r="H121" s="44" t="s">
        <v>1850</v>
      </c>
    </row>
    <row r="122" ht="34.5" customHeight="1">
      <c r="A122" s="115" t="s">
        <v>1716</v>
      </c>
      <c r="B122" s="115" t="s">
        <v>1970</v>
      </c>
      <c r="C122" s="44" t="s">
        <v>1848</v>
      </c>
      <c r="D122" s="115" t="s">
        <v>56</v>
      </c>
      <c r="E122" s="115" t="s">
        <v>1849</v>
      </c>
      <c r="F122" s="45" t="s">
        <v>1717</v>
      </c>
      <c r="G122" s="187">
        <f>COUNTIF('Club Colours'!$I$7:$I$741,A122)</f>
        <v>1</v>
      </c>
      <c r="H122" s="44" t="s">
        <v>1850</v>
      </c>
    </row>
    <row r="123" ht="34.5" customHeight="1">
      <c r="A123" s="115" t="s">
        <v>1609</v>
      </c>
      <c r="B123" s="115" t="s">
        <v>1971</v>
      </c>
      <c r="C123" s="44" t="s">
        <v>1848</v>
      </c>
      <c r="D123" s="115" t="s">
        <v>56</v>
      </c>
      <c r="E123" s="115" t="s">
        <v>1849</v>
      </c>
      <c r="F123" s="45" t="s">
        <v>1610</v>
      </c>
      <c r="G123" s="187">
        <f>COUNTIF('Club Colours'!$I$7:$I$741,A123)</f>
        <v>1</v>
      </c>
      <c r="H123" s="44" t="s">
        <v>1850</v>
      </c>
    </row>
    <row r="124" ht="34.5" customHeight="1">
      <c r="A124" s="115" t="s">
        <v>1658</v>
      </c>
      <c r="B124" s="115" t="s">
        <v>1972</v>
      </c>
      <c r="C124" s="44" t="s">
        <v>1848</v>
      </c>
      <c r="D124" s="115" t="s">
        <v>56</v>
      </c>
      <c r="E124" s="115" t="s">
        <v>1849</v>
      </c>
      <c r="F124" s="45" t="s">
        <v>1659</v>
      </c>
      <c r="G124" s="187">
        <f>COUNTIF('Club Colours'!$I$7:$I$741,A124)</f>
        <v>1</v>
      </c>
      <c r="H124" s="44" t="s">
        <v>1850</v>
      </c>
    </row>
    <row r="125" ht="34.5" customHeight="1">
      <c r="A125" s="115" t="s">
        <v>846</v>
      </c>
      <c r="B125" s="115" t="s">
        <v>1973</v>
      </c>
      <c r="C125" s="44" t="s">
        <v>1848</v>
      </c>
      <c r="D125" s="115" t="s">
        <v>56</v>
      </c>
      <c r="E125" s="115" t="s">
        <v>1849</v>
      </c>
      <c r="F125" s="45" t="s">
        <v>847</v>
      </c>
      <c r="G125" s="187">
        <f>COUNTIF('Club Colours'!$I$7:$I$741,A125)</f>
        <v>1</v>
      </c>
      <c r="H125" s="44" t="s">
        <v>1850</v>
      </c>
    </row>
    <row r="126" ht="34.5" customHeight="1">
      <c r="A126" s="115" t="s">
        <v>1468</v>
      </c>
      <c r="B126" s="115" t="s">
        <v>1974</v>
      </c>
      <c r="C126" s="44" t="s">
        <v>1848</v>
      </c>
      <c r="D126" s="115" t="s">
        <v>56</v>
      </c>
      <c r="E126" s="115" t="s">
        <v>1849</v>
      </c>
      <c r="F126" s="45" t="s">
        <v>1469</v>
      </c>
      <c r="G126" s="187">
        <f>COUNTIF('Club Colours'!$I$7:$I$741,A126)</f>
        <v>1</v>
      </c>
      <c r="H126" s="44" t="s">
        <v>1850</v>
      </c>
    </row>
    <row r="127" ht="34.5" customHeight="1">
      <c r="A127" s="115" t="s">
        <v>1461</v>
      </c>
      <c r="B127" s="115" t="s">
        <v>1975</v>
      </c>
      <c r="C127" s="44" t="s">
        <v>1848</v>
      </c>
      <c r="D127" s="115" t="s">
        <v>56</v>
      </c>
      <c r="E127" s="115" t="s">
        <v>1849</v>
      </c>
      <c r="F127" s="45" t="s">
        <v>1462</v>
      </c>
      <c r="G127" s="187">
        <f>COUNTIF('Club Colours'!$I$7:$I$741,A127)</f>
        <v>1</v>
      </c>
      <c r="H127" s="44" t="s">
        <v>1850</v>
      </c>
    </row>
    <row r="128" ht="34.5" customHeight="1">
      <c r="A128" s="115" t="s">
        <v>1138</v>
      </c>
      <c r="B128" s="115" t="s">
        <v>1976</v>
      </c>
      <c r="C128" s="44" t="s">
        <v>1848</v>
      </c>
      <c r="D128" s="115" t="s">
        <v>163</v>
      </c>
      <c r="E128" s="115" t="s">
        <v>1849</v>
      </c>
      <c r="F128" s="45" t="s">
        <v>1139</v>
      </c>
      <c r="G128" s="187">
        <f>COUNTIF('Club Colours'!$I$7:$I$741,A128)</f>
        <v>1</v>
      </c>
      <c r="H128" s="44" t="s">
        <v>1853</v>
      </c>
    </row>
    <row r="129" ht="34.5" customHeight="1">
      <c r="A129" s="115" t="s">
        <v>1465</v>
      </c>
      <c r="B129" s="115" t="s">
        <v>1977</v>
      </c>
      <c r="C129" s="44" t="s">
        <v>1978</v>
      </c>
      <c r="D129" s="115" t="s">
        <v>191</v>
      </c>
      <c r="E129" s="115" t="s">
        <v>1849</v>
      </c>
      <c r="F129" s="45" t="s">
        <v>1466</v>
      </c>
      <c r="G129" s="187">
        <f>COUNTIF('Club Colours'!$I$7:$I$741,A129)</f>
        <v>1</v>
      </c>
      <c r="H129" s="44" t="s">
        <v>1850</v>
      </c>
    </row>
    <row r="130" ht="34.5" customHeight="1">
      <c r="A130" s="115" t="s">
        <v>656</v>
      </c>
      <c r="B130" s="115" t="s">
        <v>1979</v>
      </c>
      <c r="C130" s="44" t="s">
        <v>1848</v>
      </c>
      <c r="D130" s="115" t="s">
        <v>56</v>
      </c>
      <c r="E130" s="115" t="s">
        <v>1849</v>
      </c>
      <c r="F130" s="45" t="s">
        <v>657</v>
      </c>
      <c r="G130" s="187">
        <f>COUNTIF('Club Colours'!$I$7:$I$741,A130)</f>
        <v>1</v>
      </c>
      <c r="H130" s="44" t="s">
        <v>1850</v>
      </c>
    </row>
    <row r="131" ht="34.5" customHeight="1">
      <c r="A131" s="115" t="s">
        <v>1720</v>
      </c>
      <c r="B131" s="115" t="s">
        <v>1980</v>
      </c>
      <c r="C131" s="44" t="s">
        <v>1848</v>
      </c>
      <c r="D131" s="115" t="s">
        <v>56</v>
      </c>
      <c r="E131" s="115" t="s">
        <v>1849</v>
      </c>
      <c r="F131" s="45" t="s">
        <v>1721</v>
      </c>
      <c r="G131" s="187">
        <f>COUNTIF('Club Colours'!$I$7:$I$741,A131)</f>
        <v>1</v>
      </c>
      <c r="H131" s="44" t="s">
        <v>1850</v>
      </c>
    </row>
    <row r="132" ht="34.5" customHeight="1">
      <c r="A132" s="115" t="s">
        <v>1483</v>
      </c>
      <c r="B132" s="115" t="s">
        <v>1981</v>
      </c>
      <c r="C132" s="44" t="s">
        <v>1978</v>
      </c>
      <c r="D132" s="115" t="s">
        <v>191</v>
      </c>
      <c r="E132" s="115" t="s">
        <v>1849</v>
      </c>
      <c r="F132" s="45" t="s">
        <v>1484</v>
      </c>
      <c r="G132" s="187">
        <f>COUNTIF('Club Colours'!$I$7:$I$741,A132)</f>
        <v>1</v>
      </c>
      <c r="H132" s="44" t="s">
        <v>1850</v>
      </c>
    </row>
    <row r="133" ht="34.5" customHeight="1">
      <c r="A133" s="115" t="s">
        <v>1724</v>
      </c>
      <c r="B133" s="115" t="s">
        <v>1982</v>
      </c>
      <c r="C133" s="44" t="s">
        <v>1848</v>
      </c>
      <c r="D133" s="115" t="s">
        <v>56</v>
      </c>
      <c r="E133" s="115" t="s">
        <v>1849</v>
      </c>
      <c r="F133" s="45" t="s">
        <v>1725</v>
      </c>
      <c r="G133" s="187">
        <f>COUNTIF('Club Colours'!$I$7:$I$741,A133)</f>
        <v>1</v>
      </c>
      <c r="H133" s="44" t="s">
        <v>1850</v>
      </c>
    </row>
    <row r="134" ht="34.5" customHeight="1">
      <c r="A134" s="115" t="s">
        <v>1356</v>
      </c>
      <c r="B134" s="115" t="s">
        <v>1983</v>
      </c>
      <c r="C134" s="44" t="s">
        <v>1848</v>
      </c>
      <c r="D134" s="115" t="s">
        <v>56</v>
      </c>
      <c r="E134" s="115" t="s">
        <v>1849</v>
      </c>
      <c r="F134" s="45" t="s">
        <v>1316</v>
      </c>
      <c r="G134" s="187">
        <f>COUNTIF('Club Colours'!$I$7:$I$741,A134)</f>
        <v>1</v>
      </c>
      <c r="H134" s="44" t="s">
        <v>1850</v>
      </c>
    </row>
    <row r="135" ht="34.5" customHeight="1">
      <c r="A135" s="115" t="s">
        <v>1358</v>
      </c>
      <c r="B135" s="115" t="s">
        <v>1984</v>
      </c>
      <c r="C135" s="44" t="s">
        <v>1848</v>
      </c>
      <c r="D135" s="115" t="s">
        <v>163</v>
      </c>
      <c r="E135" s="115" t="s">
        <v>1849</v>
      </c>
      <c r="F135" s="45" t="s">
        <v>1213</v>
      </c>
      <c r="G135" s="187">
        <f>COUNTIF('Club Colours'!$I$7:$I$741,A135)</f>
        <v>1</v>
      </c>
      <c r="H135" s="44" t="s">
        <v>1853</v>
      </c>
    </row>
    <row r="136" ht="34.5" customHeight="1">
      <c r="A136" s="115" t="s">
        <v>311</v>
      </c>
      <c r="B136" s="115" t="s">
        <v>1985</v>
      </c>
      <c r="C136" s="44" t="s">
        <v>1883</v>
      </c>
      <c r="D136" s="115" t="s">
        <v>195</v>
      </c>
      <c r="E136" s="115" t="s">
        <v>1849</v>
      </c>
      <c r="F136" s="45" t="s">
        <v>312</v>
      </c>
      <c r="G136" s="187">
        <f>COUNTIF('Club Colours'!$I$7:$I$741,A136)</f>
        <v>2</v>
      </c>
      <c r="H136" s="44" t="s">
        <v>1850</v>
      </c>
    </row>
    <row r="137" ht="34.5" customHeight="1">
      <c r="A137" s="115" t="s">
        <v>1472</v>
      </c>
      <c r="B137" s="115" t="s">
        <v>1986</v>
      </c>
      <c r="C137" s="44" t="s">
        <v>1848</v>
      </c>
      <c r="D137" s="115" t="s">
        <v>56</v>
      </c>
      <c r="E137" s="115" t="s">
        <v>1849</v>
      </c>
      <c r="F137" s="45" t="s">
        <v>1473</v>
      </c>
      <c r="G137" s="187">
        <f>COUNTIF('Club Colours'!$I$7:$I$741,A137)</f>
        <v>1</v>
      </c>
      <c r="H137" s="44" t="s">
        <v>1850</v>
      </c>
    </row>
    <row r="138" ht="34.5" customHeight="1">
      <c r="A138" s="115" t="s">
        <v>1145</v>
      </c>
      <c r="B138" s="115" t="s">
        <v>1987</v>
      </c>
      <c r="C138" s="44" t="s">
        <v>1848</v>
      </c>
      <c r="D138" s="115" t="s">
        <v>163</v>
      </c>
      <c r="E138" s="115" t="s">
        <v>1849</v>
      </c>
      <c r="F138" s="45" t="s">
        <v>1146</v>
      </c>
      <c r="G138" s="187">
        <f>COUNTIF('Club Colours'!$I$7:$I$741,A138)</f>
        <v>1</v>
      </c>
      <c r="H138" s="44" t="s">
        <v>1853</v>
      </c>
    </row>
    <row r="139" ht="34.5" customHeight="1">
      <c r="A139" s="115" t="s">
        <v>1475</v>
      </c>
      <c r="B139" s="115" t="s">
        <v>1988</v>
      </c>
      <c r="C139" s="44" t="s">
        <v>1978</v>
      </c>
      <c r="D139" s="115" t="s">
        <v>191</v>
      </c>
      <c r="E139" s="115" t="s">
        <v>1849</v>
      </c>
      <c r="F139" s="45" t="s">
        <v>1476</v>
      </c>
      <c r="G139" s="187">
        <f>COUNTIF('Club Colours'!$I$7:$I$741,A139)</f>
        <v>1</v>
      </c>
      <c r="H139" s="44" t="s">
        <v>1850</v>
      </c>
    </row>
    <row r="140" ht="34.5" customHeight="1">
      <c r="A140" s="115" t="s">
        <v>1478</v>
      </c>
      <c r="B140" s="115" t="s">
        <v>1989</v>
      </c>
      <c r="C140" s="44" t="s">
        <v>1848</v>
      </c>
      <c r="D140" s="115" t="s">
        <v>56</v>
      </c>
      <c r="E140" s="115" t="s">
        <v>1849</v>
      </c>
      <c r="F140" s="45" t="s">
        <v>1479</v>
      </c>
      <c r="G140" s="187">
        <f>COUNTIF('Club Colours'!$I$7:$I$741,A140)</f>
        <v>2</v>
      </c>
      <c r="H140" s="44" t="s">
        <v>1850</v>
      </c>
    </row>
    <row r="141" ht="34.5" customHeight="1">
      <c r="A141" s="115" t="s">
        <v>930</v>
      </c>
      <c r="B141" s="115" t="s">
        <v>1990</v>
      </c>
      <c r="C141" s="44" t="s">
        <v>1848</v>
      </c>
      <c r="D141" s="115" t="s">
        <v>56</v>
      </c>
      <c r="E141" s="115" t="s">
        <v>1849</v>
      </c>
      <c r="F141" s="45" t="s">
        <v>931</v>
      </c>
      <c r="G141" s="187">
        <f>COUNTIF('Club Colours'!$I$7:$I$741,A141)</f>
        <v>1</v>
      </c>
      <c r="H141" s="44" t="s">
        <v>1850</v>
      </c>
    </row>
    <row r="142" ht="34.5" customHeight="1">
      <c r="A142" s="115" t="s">
        <v>1439</v>
      </c>
      <c r="B142" s="115" t="s">
        <v>1991</v>
      </c>
      <c r="C142" s="44" t="s">
        <v>1438</v>
      </c>
      <c r="D142" s="115" t="s">
        <v>173</v>
      </c>
      <c r="E142" s="115" t="s">
        <v>1849</v>
      </c>
      <c r="F142" s="45" t="s">
        <v>1440</v>
      </c>
      <c r="G142" s="187">
        <f>COUNTIF('Club Colours'!$I$7:$I$741,A142)</f>
        <v>1</v>
      </c>
      <c r="H142" s="44" t="s">
        <v>1850</v>
      </c>
    </row>
    <row r="143" ht="34.5" customHeight="1">
      <c r="A143" s="115" t="s">
        <v>1581</v>
      </c>
      <c r="B143" s="115" t="s">
        <v>1992</v>
      </c>
      <c r="C143" s="44" t="s">
        <v>1848</v>
      </c>
      <c r="D143" s="115" t="s">
        <v>56</v>
      </c>
      <c r="E143" s="115" t="s">
        <v>1849</v>
      </c>
      <c r="F143" s="45" t="s">
        <v>1582</v>
      </c>
      <c r="G143" s="187">
        <f>COUNTIF('Club Colours'!$I$7:$I$741,A143)</f>
        <v>1</v>
      </c>
      <c r="H143" s="44" t="s">
        <v>1850</v>
      </c>
    </row>
    <row r="144" ht="34.5" customHeight="1">
      <c r="A144" s="115" t="s">
        <v>664</v>
      </c>
      <c r="B144" s="115" t="s">
        <v>1993</v>
      </c>
      <c r="C144" s="44" t="s">
        <v>1848</v>
      </c>
      <c r="D144" s="115" t="s">
        <v>56</v>
      </c>
      <c r="E144" s="115" t="s">
        <v>1849</v>
      </c>
      <c r="F144" s="45" t="s">
        <v>666</v>
      </c>
      <c r="G144" s="187">
        <f>COUNTIF('Club Colours'!$I$7:$I$741,A144)</f>
        <v>1</v>
      </c>
      <c r="H144" s="44" t="s">
        <v>1850</v>
      </c>
    </row>
    <row r="145" ht="34.5" customHeight="1">
      <c r="A145" s="115" t="s">
        <v>937</v>
      </c>
      <c r="B145" s="115" t="s">
        <v>1994</v>
      </c>
      <c r="C145" s="44" t="s">
        <v>1848</v>
      </c>
      <c r="D145" s="115" t="s">
        <v>56</v>
      </c>
      <c r="E145" s="115" t="s">
        <v>1849</v>
      </c>
      <c r="F145" s="45" t="s">
        <v>938</v>
      </c>
      <c r="G145" s="187">
        <f>COUNTIF('Club Colours'!$I$7:$I$741,A145)</f>
        <v>1</v>
      </c>
      <c r="H145" s="44" t="s">
        <v>1850</v>
      </c>
    </row>
    <row r="146" ht="34.5" customHeight="1">
      <c r="A146" s="115" t="s">
        <v>671</v>
      </c>
      <c r="B146" s="115" t="s">
        <v>1995</v>
      </c>
      <c r="C146" s="44" t="s">
        <v>1848</v>
      </c>
      <c r="D146" s="115" t="s">
        <v>56</v>
      </c>
      <c r="E146" s="115" t="s">
        <v>1849</v>
      </c>
      <c r="F146" s="45" t="s">
        <v>672</v>
      </c>
      <c r="G146" s="187">
        <f>COUNTIF('Club Colours'!$I$7:$I$741,A146)</f>
        <v>1</v>
      </c>
      <c r="H146" s="44" t="s">
        <v>1850</v>
      </c>
    </row>
    <row r="147" ht="34.5" customHeight="1">
      <c r="A147" s="115" t="s">
        <v>1663</v>
      </c>
      <c r="B147" s="115" t="s">
        <v>1996</v>
      </c>
      <c r="C147" s="44" t="s">
        <v>1848</v>
      </c>
      <c r="D147" s="115" t="s">
        <v>56</v>
      </c>
      <c r="E147" s="115" t="s">
        <v>1849</v>
      </c>
      <c r="F147" s="45" t="s">
        <v>1664</v>
      </c>
      <c r="G147" s="187">
        <f>COUNTIF('Club Colours'!$I$7:$I$741,A147)</f>
        <v>1</v>
      </c>
      <c r="H147" s="44" t="s">
        <v>1850</v>
      </c>
    </row>
    <row r="148" ht="34.5" customHeight="1">
      <c r="A148" s="115" t="s">
        <v>1671</v>
      </c>
      <c r="B148" s="115" t="s">
        <v>1997</v>
      </c>
      <c r="C148" s="44" t="s">
        <v>1848</v>
      </c>
      <c r="D148" s="115" t="s">
        <v>56</v>
      </c>
      <c r="E148" s="115" t="s">
        <v>1849</v>
      </c>
      <c r="F148" s="45" t="s">
        <v>1672</v>
      </c>
      <c r="G148" s="187">
        <f>COUNTIF('Club Colours'!$I$7:$I$741,A148)</f>
        <v>1</v>
      </c>
      <c r="H148" s="44" t="s">
        <v>1850</v>
      </c>
    </row>
    <row r="149" ht="34.5" customHeight="1">
      <c r="A149" s="115" t="s">
        <v>1728</v>
      </c>
      <c r="B149" s="115" t="s">
        <v>1998</v>
      </c>
      <c r="C149" s="44" t="s">
        <v>1999</v>
      </c>
      <c r="D149" s="115" t="s">
        <v>56</v>
      </c>
      <c r="E149" s="115" t="s">
        <v>1730</v>
      </c>
      <c r="F149" s="45" t="s">
        <v>1729</v>
      </c>
      <c r="G149" s="187">
        <f>COUNTIF('Club Colours'!$I$7:$I$741,A149)</f>
        <v>1</v>
      </c>
      <c r="H149" s="44" t="s">
        <v>1850</v>
      </c>
    </row>
    <row r="150" ht="34.5" customHeight="1">
      <c r="A150" s="115" t="s">
        <v>260</v>
      </c>
      <c r="B150" s="115" t="s">
        <v>2000</v>
      </c>
      <c r="C150" s="44" t="s">
        <v>1848</v>
      </c>
      <c r="D150" s="115" t="s">
        <v>56</v>
      </c>
      <c r="E150" s="115" t="s">
        <v>1849</v>
      </c>
      <c r="F150" s="45" t="s">
        <v>261</v>
      </c>
      <c r="G150" s="187">
        <f>COUNTIF('Club Colours'!$I$7:$I$741,A150)</f>
        <v>1</v>
      </c>
      <c r="H150" s="44" t="s">
        <v>1850</v>
      </c>
    </row>
    <row r="151" ht="34.5" customHeight="1">
      <c r="A151" s="115" t="s">
        <v>943</v>
      </c>
      <c r="B151" s="115" t="s">
        <v>2001</v>
      </c>
      <c r="C151" s="44" t="s">
        <v>1848</v>
      </c>
      <c r="D151" s="115" t="s">
        <v>56</v>
      </c>
      <c r="E151" s="115" t="s">
        <v>1849</v>
      </c>
      <c r="F151" s="45" t="s">
        <v>944</v>
      </c>
      <c r="G151" s="187">
        <f>COUNTIF('Club Colours'!$I$7:$I$741,A151)</f>
        <v>1</v>
      </c>
      <c r="H151" s="44" t="s">
        <v>1850</v>
      </c>
    </row>
    <row r="152" ht="34.5" customHeight="1">
      <c r="A152" s="115" t="s">
        <v>1734</v>
      </c>
      <c r="B152" s="115" t="s">
        <v>2002</v>
      </c>
      <c r="C152" s="44" t="s">
        <v>1848</v>
      </c>
      <c r="D152" s="115" t="s">
        <v>56</v>
      </c>
      <c r="E152" s="115" t="s">
        <v>1849</v>
      </c>
      <c r="F152" s="45" t="s">
        <v>1735</v>
      </c>
      <c r="G152" s="187">
        <f>COUNTIF('Club Colours'!$I$7:$I$741,A152)</f>
        <v>1</v>
      </c>
      <c r="H152" s="44" t="s">
        <v>1850</v>
      </c>
    </row>
    <row r="153" ht="34.5" customHeight="1">
      <c r="A153" s="115" t="s">
        <v>676</v>
      </c>
      <c r="B153" s="115" t="s">
        <v>2003</v>
      </c>
      <c r="C153" s="44" t="s">
        <v>1848</v>
      </c>
      <c r="D153" s="115" t="s">
        <v>56</v>
      </c>
      <c r="E153" s="115" t="s">
        <v>1849</v>
      </c>
      <c r="F153" s="45" t="s">
        <v>677</v>
      </c>
      <c r="G153" s="187">
        <f>COUNTIF('Club Colours'!$I$7:$I$741,A153)</f>
        <v>1</v>
      </c>
      <c r="H153" s="44" t="s">
        <v>1850</v>
      </c>
    </row>
    <row r="154" ht="34.5" customHeight="1">
      <c r="A154" s="115" t="s">
        <v>266</v>
      </c>
      <c r="B154" s="115" t="s">
        <v>2004</v>
      </c>
      <c r="C154" s="44" t="s">
        <v>1848</v>
      </c>
      <c r="D154" s="115" t="s">
        <v>56</v>
      </c>
      <c r="E154" s="115" t="s">
        <v>1849</v>
      </c>
      <c r="F154" s="45" t="s">
        <v>267</v>
      </c>
      <c r="G154" s="187">
        <f>COUNTIF('Club Colours'!$I$7:$I$741,A154)</f>
        <v>1</v>
      </c>
      <c r="H154" s="44" t="s">
        <v>1850</v>
      </c>
    </row>
    <row r="155" ht="34.5" customHeight="1">
      <c r="A155" s="115" t="s">
        <v>849</v>
      </c>
      <c r="B155" s="115" t="s">
        <v>2005</v>
      </c>
      <c r="C155" s="44" t="s">
        <v>1848</v>
      </c>
      <c r="D155" s="115" t="s">
        <v>56</v>
      </c>
      <c r="E155" s="115" t="s">
        <v>1849</v>
      </c>
      <c r="F155" s="45" t="s">
        <v>760</v>
      </c>
      <c r="G155" s="187">
        <f>COUNTIF('Club Colours'!$I$7:$I$741,A155)</f>
        <v>1</v>
      </c>
      <c r="H155" s="44" t="s">
        <v>1850</v>
      </c>
    </row>
    <row r="156" ht="34.5" customHeight="1">
      <c r="A156" s="115" t="s">
        <v>680</v>
      </c>
      <c r="B156" s="115" t="s">
        <v>2006</v>
      </c>
      <c r="C156" s="44" t="s">
        <v>1848</v>
      </c>
      <c r="D156" s="115" t="s">
        <v>56</v>
      </c>
      <c r="E156" s="115" t="s">
        <v>1849</v>
      </c>
      <c r="F156" s="45" t="s">
        <v>681</v>
      </c>
      <c r="G156" s="187">
        <f>COUNTIF('Club Colours'!$I$7:$I$741,A156)</f>
        <v>1</v>
      </c>
      <c r="H156" s="44" t="s">
        <v>1850</v>
      </c>
    </row>
    <row r="157" ht="34.5" customHeight="1">
      <c r="A157" s="115" t="s">
        <v>1160</v>
      </c>
      <c r="B157" s="115" t="s">
        <v>2007</v>
      </c>
      <c r="C157" s="44" t="s">
        <v>1848</v>
      </c>
      <c r="D157" s="115" t="s">
        <v>163</v>
      </c>
      <c r="E157" s="115" t="s">
        <v>1849</v>
      </c>
      <c r="F157" s="45" t="s">
        <v>1161</v>
      </c>
      <c r="G157" s="187">
        <f>COUNTIF('Club Colours'!$I$7:$I$741,A157)</f>
        <v>1</v>
      </c>
      <c r="H157" s="44" t="s">
        <v>1853</v>
      </c>
    </row>
    <row r="158" ht="34.5" customHeight="1">
      <c r="A158" s="115" t="s">
        <v>1741</v>
      </c>
      <c r="B158" s="115" t="s">
        <v>2008</v>
      </c>
      <c r="C158" s="44" t="s">
        <v>1848</v>
      </c>
      <c r="D158" s="115" t="s">
        <v>56</v>
      </c>
      <c r="E158" s="115" t="s">
        <v>1849</v>
      </c>
      <c r="F158" s="45" t="s">
        <v>1742</v>
      </c>
      <c r="G158" s="187">
        <f>COUNTIF('Club Colours'!$I$7:$I$741,A158)</f>
        <v>1</v>
      </c>
      <c r="H158" s="44" t="s">
        <v>1850</v>
      </c>
    </row>
    <row r="159" ht="34.5" customHeight="1">
      <c r="A159" s="115" t="s">
        <v>684</v>
      </c>
      <c r="B159" s="115" t="s">
        <v>2009</v>
      </c>
      <c r="C159" s="44" t="s">
        <v>1848</v>
      </c>
      <c r="D159" s="115" t="s">
        <v>56</v>
      </c>
      <c r="E159" s="115" t="s">
        <v>1849</v>
      </c>
      <c r="F159" s="45" t="s">
        <v>685</v>
      </c>
      <c r="G159" s="187">
        <f>COUNTIF('Club Colours'!$I$7:$I$741,A159)</f>
        <v>1</v>
      </c>
      <c r="H159" s="44" t="s">
        <v>1850</v>
      </c>
    </row>
    <row r="160" ht="34.5" customHeight="1">
      <c r="A160" s="115" t="s">
        <v>1487</v>
      </c>
      <c r="B160" s="115" t="s">
        <v>2010</v>
      </c>
      <c r="C160" s="44" t="s">
        <v>2011</v>
      </c>
      <c r="D160" s="115" t="s">
        <v>173</v>
      </c>
      <c r="E160" s="115" t="s">
        <v>1849</v>
      </c>
      <c r="F160" s="45" t="s">
        <v>1488</v>
      </c>
      <c r="G160" s="187">
        <f>COUNTIF('Club Colours'!$I$7:$I$741,A160)</f>
        <v>1</v>
      </c>
      <c r="H160" s="44" t="s">
        <v>1850</v>
      </c>
    </row>
    <row r="161" ht="34.5" customHeight="1">
      <c r="A161" s="115" t="s">
        <v>1575</v>
      </c>
      <c r="B161" s="115" t="s">
        <v>2012</v>
      </c>
      <c r="C161" s="44" t="s">
        <v>1848</v>
      </c>
      <c r="D161" s="115" t="s">
        <v>56</v>
      </c>
      <c r="E161" s="115" t="s">
        <v>1849</v>
      </c>
      <c r="F161" s="45" t="s">
        <v>1576</v>
      </c>
      <c r="G161" s="187">
        <f>COUNTIF('Club Colours'!$I$7:$I$741,A161)</f>
        <v>1</v>
      </c>
      <c r="H161" s="44" t="s">
        <v>1850</v>
      </c>
    </row>
    <row r="162" ht="34.5" customHeight="1">
      <c r="A162" s="115" t="s">
        <v>954</v>
      </c>
      <c r="B162" s="115" t="s">
        <v>2013</v>
      </c>
      <c r="C162" s="44" t="s">
        <v>2014</v>
      </c>
      <c r="D162" s="115" t="s">
        <v>173</v>
      </c>
      <c r="E162" s="115" t="s">
        <v>956</v>
      </c>
      <c r="F162" s="45" t="s">
        <v>955</v>
      </c>
      <c r="G162" s="187">
        <f>COUNTIF('Club Colours'!$I$7:$I$741,A162)</f>
        <v>1</v>
      </c>
      <c r="H162" s="44" t="s">
        <v>1850</v>
      </c>
    </row>
    <row r="163" ht="34.5" customHeight="1">
      <c r="A163" s="115" t="s">
        <v>1695</v>
      </c>
      <c r="B163" s="115" t="s">
        <v>2015</v>
      </c>
      <c r="C163" s="44" t="s">
        <v>1874</v>
      </c>
      <c r="D163" s="115" t="s">
        <v>56</v>
      </c>
      <c r="E163" s="115" t="s">
        <v>1849</v>
      </c>
      <c r="F163" s="45" t="s">
        <v>1696</v>
      </c>
      <c r="G163" s="187">
        <f>COUNTIF('Club Colours'!$I$7:$I$741,A163)</f>
        <v>1</v>
      </c>
      <c r="H163" s="44" t="s">
        <v>1850</v>
      </c>
    </row>
    <row r="164" ht="34.5" customHeight="1">
      <c r="A164" s="115" t="s">
        <v>687</v>
      </c>
      <c r="B164" s="115" t="s">
        <v>2016</v>
      </c>
      <c r="C164" s="44" t="s">
        <v>1848</v>
      </c>
      <c r="D164" s="115" t="s">
        <v>56</v>
      </c>
      <c r="E164" s="115" t="s">
        <v>1849</v>
      </c>
      <c r="F164" s="45" t="s">
        <v>688</v>
      </c>
      <c r="G164" s="187">
        <f>COUNTIF('Club Colours'!$I$7:$I$741,A164)</f>
        <v>1</v>
      </c>
      <c r="H164" s="44" t="s">
        <v>1850</v>
      </c>
    </row>
    <row r="165" ht="34.5" customHeight="1">
      <c r="A165" s="115" t="s">
        <v>1490</v>
      </c>
      <c r="B165" s="115" t="s">
        <v>2017</v>
      </c>
      <c r="C165" s="44" t="s">
        <v>1978</v>
      </c>
      <c r="D165" s="115" t="s">
        <v>191</v>
      </c>
      <c r="E165" s="115" t="s">
        <v>1849</v>
      </c>
      <c r="F165" s="45" t="s">
        <v>1491</v>
      </c>
      <c r="G165" s="187">
        <f>COUNTIF('Club Colours'!$I$7:$I$741,A165)</f>
        <v>1</v>
      </c>
      <c r="H165" s="44" t="s">
        <v>1850</v>
      </c>
    </row>
    <row r="166" ht="34.5" customHeight="1">
      <c r="A166" s="115" t="s">
        <v>1676</v>
      </c>
      <c r="B166" s="115" t="s">
        <v>2018</v>
      </c>
      <c r="C166" s="44" t="s">
        <v>1848</v>
      </c>
      <c r="D166" s="115" t="s">
        <v>56</v>
      </c>
      <c r="E166" s="115" t="s">
        <v>1849</v>
      </c>
      <c r="F166" s="45" t="s">
        <v>1677</v>
      </c>
      <c r="G166" s="187">
        <f>COUNTIF('Club Colours'!$I$7:$I$741,A166)</f>
        <v>1</v>
      </c>
      <c r="H166" s="44" t="s">
        <v>1850</v>
      </c>
    </row>
    <row r="167" ht="34.5" customHeight="1">
      <c r="A167" s="115" t="s">
        <v>492</v>
      </c>
      <c r="B167" s="115" t="s">
        <v>2019</v>
      </c>
      <c r="C167" s="44" t="s">
        <v>1848</v>
      </c>
      <c r="D167" s="115" t="s">
        <v>56</v>
      </c>
      <c r="E167" s="115" t="s">
        <v>1849</v>
      </c>
      <c r="F167" s="45" t="s">
        <v>435</v>
      </c>
      <c r="G167" s="187">
        <f>COUNTIF('Club Colours'!$I$7:$I$741,A167)</f>
        <v>1</v>
      </c>
      <c r="H167" s="44" t="s">
        <v>1850</v>
      </c>
    </row>
    <row r="168" ht="34.5" customHeight="1">
      <c r="A168" s="115" t="s">
        <v>691</v>
      </c>
      <c r="B168" s="115" t="s">
        <v>2020</v>
      </c>
      <c r="C168" s="44" t="s">
        <v>1848</v>
      </c>
      <c r="D168" s="115" t="s">
        <v>56</v>
      </c>
      <c r="E168" s="115" t="s">
        <v>1849</v>
      </c>
      <c r="F168" s="45" t="s">
        <v>692</v>
      </c>
      <c r="G168" s="187">
        <f>COUNTIF('Club Colours'!$I$7:$I$741,A168)</f>
        <v>1</v>
      </c>
      <c r="H168" s="44" t="s">
        <v>1850</v>
      </c>
    </row>
    <row r="169" ht="34.5" customHeight="1">
      <c r="A169" s="115" t="s">
        <v>695</v>
      </c>
      <c r="B169" s="115" t="s">
        <v>2021</v>
      </c>
      <c r="C169" s="44" t="s">
        <v>1848</v>
      </c>
      <c r="D169" s="115" t="s">
        <v>56</v>
      </c>
      <c r="E169" s="115" t="s">
        <v>1849</v>
      </c>
      <c r="F169" s="45" t="s">
        <v>696</v>
      </c>
      <c r="G169" s="187">
        <f>COUNTIF('Club Colours'!$I$7:$I$741,A169)</f>
        <v>1</v>
      </c>
      <c r="H169" s="44" t="s">
        <v>1850</v>
      </c>
    </row>
    <row r="170" ht="34.5" customHeight="1">
      <c r="A170" s="115" t="s">
        <v>1169</v>
      </c>
      <c r="B170" s="115" t="s">
        <v>2022</v>
      </c>
      <c r="C170" s="44" t="s">
        <v>1848</v>
      </c>
      <c r="D170" s="115" t="s">
        <v>163</v>
      </c>
      <c r="E170" s="115" t="s">
        <v>1849</v>
      </c>
      <c r="F170" s="45" t="s">
        <v>1134</v>
      </c>
      <c r="G170" s="187">
        <f>COUNTIF('Club Colours'!$I$7:$I$741,A170)</f>
        <v>2</v>
      </c>
      <c r="H170" s="44" t="s">
        <v>1853</v>
      </c>
    </row>
    <row r="171" ht="34.5" customHeight="1">
      <c r="A171" s="115" t="s">
        <v>1680</v>
      </c>
      <c r="B171" s="115" t="s">
        <v>2023</v>
      </c>
      <c r="C171" s="44" t="s">
        <v>1848</v>
      </c>
      <c r="D171" s="115" t="s">
        <v>56</v>
      </c>
      <c r="E171" s="115" t="s">
        <v>1849</v>
      </c>
      <c r="F171" s="45" t="s">
        <v>1681</v>
      </c>
      <c r="G171" s="187">
        <f>COUNTIF('Club Colours'!$I$7:$I$741,A171)</f>
        <v>1</v>
      </c>
      <c r="H171" s="44" t="s">
        <v>1850</v>
      </c>
    </row>
    <row r="172" ht="34.5" customHeight="1">
      <c r="A172" s="115" t="s">
        <v>1390</v>
      </c>
      <c r="B172" s="115" t="s">
        <v>2024</v>
      </c>
      <c r="C172" s="44" t="s">
        <v>1848</v>
      </c>
      <c r="D172" s="115" t="s">
        <v>56</v>
      </c>
      <c r="E172" s="115" t="s">
        <v>1849</v>
      </c>
      <c r="F172" s="45" t="s">
        <v>1292</v>
      </c>
      <c r="G172" s="187">
        <f>COUNTIF('Club Colours'!$I$7:$I$741,A172)</f>
        <v>1</v>
      </c>
      <c r="H172" s="44" t="s">
        <v>1850</v>
      </c>
    </row>
    <row r="173" ht="34.5" customHeight="1">
      <c r="A173" s="115" t="s">
        <v>960</v>
      </c>
      <c r="B173" s="115" t="s">
        <v>2025</v>
      </c>
      <c r="C173" s="44" t="s">
        <v>1848</v>
      </c>
      <c r="D173" s="115" t="s">
        <v>56</v>
      </c>
      <c r="E173" s="115" t="s">
        <v>1849</v>
      </c>
      <c r="F173" s="45" t="s">
        <v>961</v>
      </c>
      <c r="G173" s="187">
        <f>COUNTIF('Club Colours'!$I$7:$I$741,A173)</f>
        <v>1</v>
      </c>
      <c r="H173" s="44" t="s">
        <v>1850</v>
      </c>
    </row>
    <row r="174" ht="34.5" customHeight="1">
      <c r="A174" s="115" t="s">
        <v>963</v>
      </c>
      <c r="B174" s="115" t="s">
        <v>2026</v>
      </c>
      <c r="C174" s="44" t="s">
        <v>1848</v>
      </c>
      <c r="D174" s="115" t="s">
        <v>56</v>
      </c>
      <c r="E174" s="115" t="s">
        <v>1849</v>
      </c>
      <c r="F174" s="45" t="s">
        <v>964</v>
      </c>
      <c r="G174" s="187">
        <f>COUNTIF('Club Colours'!$I$7:$I$741,A174)</f>
        <v>1</v>
      </c>
      <c r="H174" s="44" t="s">
        <v>1850</v>
      </c>
    </row>
    <row r="175" ht="34.5" customHeight="1">
      <c r="A175" s="115" t="s">
        <v>969</v>
      </c>
      <c r="B175" s="115" t="s">
        <v>2027</v>
      </c>
      <c r="C175" s="44" t="s">
        <v>1848</v>
      </c>
      <c r="D175" s="115" t="s">
        <v>56</v>
      </c>
      <c r="E175" s="115" t="s">
        <v>1849</v>
      </c>
      <c r="F175" s="45" t="s">
        <v>970</v>
      </c>
      <c r="G175" s="187">
        <f>COUNTIF('Club Colours'!$I$7:$I$741,A175)</f>
        <v>1</v>
      </c>
      <c r="H175" s="44" t="s">
        <v>1850</v>
      </c>
    </row>
    <row r="176" ht="34.5" customHeight="1">
      <c r="A176" s="115" t="s">
        <v>701</v>
      </c>
      <c r="B176" s="115" t="s">
        <v>2028</v>
      </c>
      <c r="C176" s="44" t="s">
        <v>1848</v>
      </c>
      <c r="D176" s="115" t="s">
        <v>56</v>
      </c>
      <c r="E176" s="115" t="s">
        <v>1849</v>
      </c>
      <c r="F176" s="45" t="s">
        <v>702</v>
      </c>
      <c r="G176" s="187">
        <f>COUNTIF('Club Colours'!$I$7:$I$741,A176)</f>
        <v>1</v>
      </c>
      <c r="H176" s="44" t="s">
        <v>1850</v>
      </c>
    </row>
    <row r="177" ht="34.5" customHeight="1">
      <c r="A177" s="115" t="s">
        <v>1174</v>
      </c>
      <c r="B177" s="115" t="s">
        <v>2029</v>
      </c>
      <c r="C177" s="44" t="s">
        <v>1848</v>
      </c>
      <c r="D177" s="115" t="s">
        <v>56</v>
      </c>
      <c r="E177" s="115" t="s">
        <v>1849</v>
      </c>
      <c r="F177" s="45" t="s">
        <v>1140</v>
      </c>
      <c r="G177" s="187">
        <f>COUNTIF('Club Colours'!$I$7:$I$741,A177)</f>
        <v>1</v>
      </c>
      <c r="H177" s="44" t="s">
        <v>1850</v>
      </c>
    </row>
    <row r="178" ht="34.5" customHeight="1">
      <c r="A178" s="115" t="s">
        <v>707</v>
      </c>
      <c r="B178" s="115" t="s">
        <v>2030</v>
      </c>
      <c r="C178" s="44" t="s">
        <v>1848</v>
      </c>
      <c r="D178" s="115" t="s">
        <v>56</v>
      </c>
      <c r="E178" s="115" t="s">
        <v>1849</v>
      </c>
      <c r="F178" s="45" t="s">
        <v>708</v>
      </c>
      <c r="G178" s="187">
        <f>COUNTIF('Club Colours'!$I$7:$I$741,A178)</f>
        <v>1</v>
      </c>
      <c r="H178" s="44" t="s">
        <v>1850</v>
      </c>
    </row>
    <row r="179" ht="34.5" customHeight="1">
      <c r="A179" s="115" t="s">
        <v>712</v>
      </c>
      <c r="B179" s="115" t="s">
        <v>2031</v>
      </c>
      <c r="C179" s="44" t="s">
        <v>1848</v>
      </c>
      <c r="D179" s="115" t="s">
        <v>56</v>
      </c>
      <c r="E179" s="115" t="s">
        <v>1849</v>
      </c>
      <c r="F179" s="45" t="s">
        <v>713</v>
      </c>
      <c r="G179" s="187">
        <f>COUNTIF('Club Colours'!$I$7:$I$741,A179)</f>
        <v>1</v>
      </c>
      <c r="H179" s="44" t="s">
        <v>1850</v>
      </c>
    </row>
    <row r="180" ht="34.5" customHeight="1">
      <c r="A180" s="115" t="s">
        <v>715</v>
      </c>
      <c r="B180" s="115" t="s">
        <v>2032</v>
      </c>
      <c r="C180" s="44" t="s">
        <v>1848</v>
      </c>
      <c r="D180" s="115" t="s">
        <v>56</v>
      </c>
      <c r="E180" s="115" t="s">
        <v>1849</v>
      </c>
      <c r="F180" s="45" t="s">
        <v>716</v>
      </c>
      <c r="G180" s="187">
        <f>COUNTIF('Club Colours'!$I$7:$I$741,A180)</f>
        <v>1</v>
      </c>
      <c r="H180" s="44" t="s">
        <v>1850</v>
      </c>
    </row>
    <row r="181" ht="34.5" customHeight="1">
      <c r="A181" s="115" t="s">
        <v>1494</v>
      </c>
      <c r="B181" s="115" t="s">
        <v>2033</v>
      </c>
      <c r="C181" s="44" t="s">
        <v>1493</v>
      </c>
      <c r="D181" s="115" t="s">
        <v>173</v>
      </c>
      <c r="E181" s="115" t="s">
        <v>1496</v>
      </c>
      <c r="F181" s="45" t="s">
        <v>1495</v>
      </c>
      <c r="G181" s="187">
        <f>COUNTIF('Club Colours'!$I$7:$I$741,A181)</f>
        <v>1</v>
      </c>
      <c r="H181" s="44" t="s">
        <v>1850</v>
      </c>
    </row>
    <row r="182" ht="34.5" customHeight="1">
      <c r="A182" s="115" t="s">
        <v>1177</v>
      </c>
      <c r="B182" s="115" t="s">
        <v>2034</v>
      </c>
      <c r="C182" s="44" t="s">
        <v>1848</v>
      </c>
      <c r="D182" s="115" t="s">
        <v>163</v>
      </c>
      <c r="E182" s="115" t="s">
        <v>1849</v>
      </c>
      <c r="F182" s="45" t="s">
        <v>1178</v>
      </c>
      <c r="G182" s="187">
        <f>COUNTIF('Club Colours'!$I$7:$I$741,A182)</f>
        <v>2</v>
      </c>
      <c r="H182" s="44" t="s">
        <v>1853</v>
      </c>
    </row>
    <row r="183" ht="34.5" customHeight="1">
      <c r="A183" s="115" t="s">
        <v>721</v>
      </c>
      <c r="B183" s="115" t="s">
        <v>2035</v>
      </c>
      <c r="C183" s="44" t="s">
        <v>1848</v>
      </c>
      <c r="D183" s="115" t="s">
        <v>56</v>
      </c>
      <c r="E183" s="115" t="s">
        <v>1849</v>
      </c>
      <c r="F183" s="45" t="s">
        <v>722</v>
      </c>
      <c r="G183" s="187">
        <f>COUNTIF('Club Colours'!$I$7:$I$741,A183)</f>
        <v>1</v>
      </c>
      <c r="H183" s="44" t="s">
        <v>1850</v>
      </c>
    </row>
    <row r="184" ht="34.5" customHeight="1">
      <c r="A184" s="115" t="s">
        <v>852</v>
      </c>
      <c r="B184" s="115" t="s">
        <v>2036</v>
      </c>
      <c r="C184" s="44" t="s">
        <v>1848</v>
      </c>
      <c r="D184" s="115" t="s">
        <v>56</v>
      </c>
      <c r="E184" s="115" t="s">
        <v>1849</v>
      </c>
      <c r="F184" s="45" t="s">
        <v>854</v>
      </c>
      <c r="G184" s="187">
        <f>COUNTIF('Club Colours'!$I$7:$I$741,A184)</f>
        <v>1</v>
      </c>
      <c r="H184" s="44" t="s">
        <v>1850</v>
      </c>
    </row>
    <row r="185" ht="34.5" customHeight="1">
      <c r="A185" s="115" t="s">
        <v>724</v>
      </c>
      <c r="B185" s="115" t="s">
        <v>2037</v>
      </c>
      <c r="C185" s="44" t="s">
        <v>1848</v>
      </c>
      <c r="D185" s="115" t="s">
        <v>56</v>
      </c>
      <c r="E185" s="115" t="s">
        <v>1849</v>
      </c>
      <c r="F185" s="45" t="s">
        <v>725</v>
      </c>
      <c r="G185" s="187">
        <f>COUNTIF('Club Colours'!$I$7:$I$741,A185)</f>
        <v>1</v>
      </c>
      <c r="H185" s="44" t="s">
        <v>1850</v>
      </c>
    </row>
    <row r="186" ht="34.5" customHeight="1">
      <c r="A186" s="115" t="s">
        <v>1405</v>
      </c>
      <c r="B186" s="115" t="s">
        <v>2038</v>
      </c>
      <c r="C186" s="44" t="s">
        <v>1848</v>
      </c>
      <c r="D186" s="115" t="s">
        <v>56</v>
      </c>
      <c r="E186" s="115" t="s">
        <v>1849</v>
      </c>
      <c r="F186" s="45" t="s">
        <v>1406</v>
      </c>
      <c r="G186" s="187">
        <f>COUNTIF('Club Colours'!$I$7:$I$741,A186)</f>
        <v>1</v>
      </c>
      <c r="H186" s="44" t="s">
        <v>1850</v>
      </c>
    </row>
    <row r="187" ht="34.5" customHeight="1">
      <c r="A187" s="115" t="s">
        <v>972</v>
      </c>
      <c r="B187" s="115" t="s">
        <v>2039</v>
      </c>
      <c r="C187" s="44" t="s">
        <v>1848</v>
      </c>
      <c r="D187" s="115" t="s">
        <v>56</v>
      </c>
      <c r="E187" s="115" t="s">
        <v>1849</v>
      </c>
      <c r="F187" s="45" t="s">
        <v>973</v>
      </c>
      <c r="G187" s="187">
        <f>COUNTIF('Club Colours'!$I$7:$I$741,A187)</f>
        <v>1</v>
      </c>
      <c r="H187" s="44" t="s">
        <v>1850</v>
      </c>
    </row>
    <row r="188" ht="34.5" customHeight="1">
      <c r="A188" s="115" t="s">
        <v>1192</v>
      </c>
      <c r="B188" s="115" t="s">
        <v>2040</v>
      </c>
      <c r="C188" s="44" t="s">
        <v>1848</v>
      </c>
      <c r="D188" s="115" t="s">
        <v>56</v>
      </c>
      <c r="E188" s="115" t="s">
        <v>1849</v>
      </c>
      <c r="F188" s="45" t="s">
        <v>1144</v>
      </c>
      <c r="G188" s="187">
        <f>COUNTIF('Club Colours'!$I$7:$I$741,A188)</f>
        <v>1</v>
      </c>
      <c r="H188" s="44" t="s">
        <v>1850</v>
      </c>
    </row>
    <row r="189" ht="34.5" customHeight="1">
      <c r="A189" s="115" t="s">
        <v>856</v>
      </c>
      <c r="B189" s="115" t="s">
        <v>2041</v>
      </c>
      <c r="C189" s="44" t="s">
        <v>1848</v>
      </c>
      <c r="D189" s="115" t="s">
        <v>56</v>
      </c>
      <c r="E189" s="115" t="s">
        <v>1849</v>
      </c>
      <c r="F189" s="45" t="s">
        <v>768</v>
      </c>
      <c r="G189" s="187">
        <f>COUNTIF('Club Colours'!$I$7:$I$741,A189)</f>
        <v>1</v>
      </c>
      <c r="H189" s="44" t="s">
        <v>1850</v>
      </c>
    </row>
    <row r="190" ht="34.5" customHeight="1">
      <c r="A190" s="115" t="s">
        <v>504</v>
      </c>
      <c r="B190" s="115" t="s">
        <v>2042</v>
      </c>
      <c r="C190" s="44" t="s">
        <v>1848</v>
      </c>
      <c r="D190" s="115" t="s">
        <v>56</v>
      </c>
      <c r="E190" s="115" t="s">
        <v>1849</v>
      </c>
      <c r="F190" s="45" t="s">
        <v>505</v>
      </c>
      <c r="G190" s="187">
        <f>COUNTIF('Club Colours'!$I$7:$I$741,A190)</f>
        <v>1</v>
      </c>
      <c r="H190" s="44" t="s">
        <v>1850</v>
      </c>
    </row>
    <row r="191" ht="34.5" customHeight="1">
      <c r="A191" s="115" t="s">
        <v>510</v>
      </c>
      <c r="B191" s="115" t="s">
        <v>2043</v>
      </c>
      <c r="C191" s="44" t="s">
        <v>1848</v>
      </c>
      <c r="D191" s="115" t="s">
        <v>56</v>
      </c>
      <c r="E191" s="115" t="s">
        <v>1849</v>
      </c>
      <c r="F191" s="45" t="s">
        <v>485</v>
      </c>
      <c r="G191" s="187">
        <f>COUNTIF('Club Colours'!$I$7:$I$741,A191)</f>
        <v>1</v>
      </c>
      <c r="H191" s="44" t="s">
        <v>1850</v>
      </c>
    </row>
    <row r="192" ht="34.5" customHeight="1">
      <c r="A192" s="115" t="s">
        <v>1585</v>
      </c>
      <c r="B192" s="115" t="s">
        <v>2044</v>
      </c>
      <c r="C192" s="44" t="s">
        <v>1848</v>
      </c>
      <c r="D192" s="115" t="s">
        <v>56</v>
      </c>
      <c r="E192" s="115" t="s">
        <v>1849</v>
      </c>
      <c r="F192" s="45" t="s">
        <v>1586</v>
      </c>
      <c r="G192" s="187">
        <f>COUNTIF('Club Colours'!$I$7:$I$741,A192)</f>
        <v>1</v>
      </c>
      <c r="H192" s="44" t="s">
        <v>1850</v>
      </c>
    </row>
    <row r="193" ht="34.5" customHeight="1">
      <c r="A193" s="115" t="s">
        <v>735</v>
      </c>
      <c r="B193" s="115" t="s">
        <v>2045</v>
      </c>
      <c r="C193" s="44" t="s">
        <v>1848</v>
      </c>
      <c r="D193" s="115" t="s">
        <v>56</v>
      </c>
      <c r="E193" s="115" t="s">
        <v>1849</v>
      </c>
      <c r="F193" s="45" t="s">
        <v>736</v>
      </c>
      <c r="G193" s="187">
        <f>COUNTIF('Club Colours'!$I$7:$I$741,A193)</f>
        <v>1</v>
      </c>
      <c r="H193" s="44" t="s">
        <v>1850</v>
      </c>
    </row>
    <row r="194" ht="34.5" customHeight="1">
      <c r="A194" s="115" t="s">
        <v>977</v>
      </c>
      <c r="B194" s="115" t="s">
        <v>2046</v>
      </c>
      <c r="C194" s="44" t="s">
        <v>1848</v>
      </c>
      <c r="D194" s="115" t="s">
        <v>56</v>
      </c>
      <c r="E194" s="115" t="s">
        <v>1849</v>
      </c>
      <c r="F194" s="45" t="s">
        <v>978</v>
      </c>
      <c r="G194" s="187">
        <f>COUNTIF('Club Colours'!$I$7:$I$741,A194)</f>
        <v>1</v>
      </c>
      <c r="H194" s="44" t="s">
        <v>1850</v>
      </c>
    </row>
    <row r="195" ht="34.5" customHeight="1">
      <c r="A195" s="115" t="s">
        <v>1745</v>
      </c>
      <c r="B195" s="115" t="s">
        <v>2047</v>
      </c>
      <c r="C195" s="44" t="s">
        <v>1848</v>
      </c>
      <c r="D195" s="115" t="s">
        <v>56</v>
      </c>
      <c r="E195" s="115" t="s">
        <v>1849</v>
      </c>
      <c r="F195" s="45" t="s">
        <v>1746</v>
      </c>
      <c r="G195" s="187">
        <f>COUNTIF('Club Colours'!$I$7:$I$741,A195)</f>
        <v>1</v>
      </c>
      <c r="H195" s="44" t="s">
        <v>1850</v>
      </c>
    </row>
    <row r="196" ht="34.5" customHeight="1">
      <c r="A196" s="115" t="s">
        <v>1499</v>
      </c>
      <c r="B196" s="115" t="s">
        <v>2048</v>
      </c>
      <c r="C196" s="44" t="s">
        <v>1978</v>
      </c>
      <c r="D196" s="115" t="s">
        <v>191</v>
      </c>
      <c r="E196" s="115" t="s">
        <v>1849</v>
      </c>
      <c r="F196" s="45" t="s">
        <v>1500</v>
      </c>
      <c r="G196" s="187">
        <f>COUNTIF('Club Colours'!$I$7:$I$741,A196)</f>
        <v>1</v>
      </c>
      <c r="H196" s="44" t="s">
        <v>1850</v>
      </c>
    </row>
    <row r="197" ht="34.5" customHeight="1">
      <c r="A197" s="115" t="s">
        <v>1542</v>
      </c>
      <c r="B197" s="115" t="s">
        <v>2049</v>
      </c>
      <c r="C197" s="44" t="s">
        <v>2050</v>
      </c>
      <c r="D197" s="115" t="s">
        <v>166</v>
      </c>
      <c r="E197" s="115" t="s">
        <v>1544</v>
      </c>
      <c r="F197" s="45" t="s">
        <v>1543</v>
      </c>
      <c r="G197" s="187">
        <f>COUNTIF('Club Colours'!$I$7:$I$741,A197)</f>
        <v>4</v>
      </c>
      <c r="H197" s="44" t="s">
        <v>2051</v>
      </c>
    </row>
    <row r="198" ht="34.5" customHeight="1">
      <c r="A198" s="115" t="s">
        <v>69</v>
      </c>
      <c r="B198" s="115" t="s">
        <v>2052</v>
      </c>
      <c r="C198" s="44" t="s">
        <v>2053</v>
      </c>
      <c r="D198" s="115" t="s">
        <v>68</v>
      </c>
      <c r="E198" s="115" t="s">
        <v>73</v>
      </c>
      <c r="F198" s="45" t="s">
        <v>70</v>
      </c>
      <c r="G198" s="187">
        <f>COUNTIF('Club Colours'!$I$7:$I$741,A198)</f>
        <v>53</v>
      </c>
      <c r="H198" s="44" t="s">
        <v>2051</v>
      </c>
    </row>
    <row r="199" ht="34.5" customHeight="1">
      <c r="A199" s="115" t="s">
        <v>890</v>
      </c>
      <c r="B199" s="115" t="s">
        <v>2054</v>
      </c>
      <c r="C199" s="44" t="s">
        <v>2053</v>
      </c>
      <c r="D199" s="115" t="s">
        <v>68</v>
      </c>
      <c r="E199" s="115" t="s">
        <v>892</v>
      </c>
      <c r="F199" s="45" t="s">
        <v>891</v>
      </c>
      <c r="G199" s="187">
        <f>COUNTIF('Club Colours'!$I$7:$I$741,A199)</f>
        <v>32</v>
      </c>
      <c r="H199" s="44" t="s">
        <v>2051</v>
      </c>
    </row>
    <row r="200" ht="34.5" customHeight="1">
      <c r="A200" s="115" t="s">
        <v>811</v>
      </c>
      <c r="B200" s="115" t="s">
        <v>2055</v>
      </c>
      <c r="C200" s="44" t="s">
        <v>2053</v>
      </c>
      <c r="D200" s="115" t="s">
        <v>68</v>
      </c>
      <c r="E200" s="115" t="s">
        <v>812</v>
      </c>
      <c r="F200" s="45" t="s">
        <v>706</v>
      </c>
      <c r="G200" s="187">
        <f>COUNTIF('Club Colours'!$I$7:$I$741,A200)</f>
        <v>35</v>
      </c>
      <c r="H200" s="44" t="s">
        <v>2051</v>
      </c>
    </row>
    <row r="201" ht="45.0" customHeight="1">
      <c r="A201" s="115" t="s">
        <v>1260</v>
      </c>
      <c r="B201" s="115" t="s">
        <v>2056</v>
      </c>
      <c r="C201" s="44" t="s">
        <v>2057</v>
      </c>
      <c r="D201" s="115" t="s">
        <v>166</v>
      </c>
      <c r="E201" s="115" t="s">
        <v>1261</v>
      </c>
      <c r="F201" s="45" t="s">
        <v>1189</v>
      </c>
      <c r="G201" s="187">
        <f>COUNTIF('Club Colours'!$I$7:$I$741,A201)</f>
        <v>68</v>
      </c>
      <c r="H201" s="44" t="s">
        <v>2058</v>
      </c>
    </row>
    <row r="202" ht="34.5" customHeight="1">
      <c r="A202" s="115" t="s">
        <v>549</v>
      </c>
      <c r="B202" s="115" t="s">
        <v>2059</v>
      </c>
      <c r="C202" s="44" t="s">
        <v>2060</v>
      </c>
      <c r="D202" s="115" t="s">
        <v>68</v>
      </c>
      <c r="E202" s="115" t="s">
        <v>551</v>
      </c>
      <c r="F202" s="45" t="s">
        <v>550</v>
      </c>
      <c r="G202" s="187">
        <f>COUNTIF('Club Colours'!$I$7:$I$741,A202)</f>
        <v>42</v>
      </c>
      <c r="H202" s="44" t="s">
        <v>2051</v>
      </c>
    </row>
    <row r="203" ht="34.5" customHeight="1">
      <c r="A203" s="115" t="s">
        <v>1564</v>
      </c>
      <c r="B203" s="115" t="s">
        <v>2061</v>
      </c>
      <c r="C203" s="44" t="s">
        <v>2053</v>
      </c>
      <c r="D203" s="115" t="s">
        <v>68</v>
      </c>
      <c r="E203" s="115" t="s">
        <v>1544</v>
      </c>
      <c r="F203" s="45" t="s">
        <v>1565</v>
      </c>
      <c r="G203" s="187">
        <f>COUNTIF('Club Colours'!$I$7:$I$741,A203)</f>
        <v>4</v>
      </c>
      <c r="H203" s="44" t="s">
        <v>2051</v>
      </c>
    </row>
    <row r="204" ht="34.5" customHeight="1">
      <c r="A204" s="115" t="s">
        <v>1535</v>
      </c>
      <c r="B204" s="115" t="s">
        <v>2062</v>
      </c>
      <c r="C204" s="44" t="s">
        <v>2063</v>
      </c>
      <c r="D204" s="115" t="s">
        <v>68</v>
      </c>
      <c r="E204" s="115" t="s">
        <v>551</v>
      </c>
      <c r="F204" s="45" t="s">
        <v>1536</v>
      </c>
      <c r="G204" s="187">
        <f>COUNTIF('Club Colours'!$I$7:$I$741,A204)</f>
        <v>3</v>
      </c>
      <c r="H204" s="44" t="s">
        <v>2051</v>
      </c>
    </row>
    <row r="205" ht="34.5" customHeight="1">
      <c r="A205" s="115" t="s">
        <v>1592</v>
      </c>
      <c r="B205" s="115" t="s">
        <v>2064</v>
      </c>
      <c r="C205" s="44" t="s">
        <v>2053</v>
      </c>
      <c r="D205" s="115" t="s">
        <v>68</v>
      </c>
      <c r="E205" s="115" t="s">
        <v>1544</v>
      </c>
      <c r="F205" s="45" t="s">
        <v>1593</v>
      </c>
      <c r="G205" s="187">
        <f>COUNTIF('Club Colours'!$I$7:$I$741,A205)</f>
        <v>5</v>
      </c>
      <c r="H205" s="44" t="s">
        <v>2051</v>
      </c>
    </row>
    <row r="206" ht="34.5" customHeight="1">
      <c r="A206" s="115" t="s">
        <v>405</v>
      </c>
      <c r="B206" s="115" t="s">
        <v>2065</v>
      </c>
      <c r="C206" s="44" t="s">
        <v>2066</v>
      </c>
      <c r="D206" s="115" t="s">
        <v>68</v>
      </c>
      <c r="E206" s="115" t="s">
        <v>408</v>
      </c>
      <c r="F206" s="45" t="s">
        <v>404</v>
      </c>
      <c r="G206" s="187">
        <f>COUNTIF('Club Colours'!$I$7:$I$741,A206)</f>
        <v>62</v>
      </c>
      <c r="H206" s="44" t="s">
        <v>2051</v>
      </c>
    </row>
    <row r="207" ht="34.5" customHeight="1">
      <c r="A207" s="115" t="s">
        <v>1554</v>
      </c>
      <c r="B207" s="115" t="s">
        <v>2067</v>
      </c>
      <c r="C207" s="44" t="s">
        <v>2068</v>
      </c>
      <c r="D207" s="115" t="s">
        <v>166</v>
      </c>
      <c r="E207" s="115" t="s">
        <v>1849</v>
      </c>
      <c r="F207" s="45" t="s">
        <v>1555</v>
      </c>
      <c r="G207" s="187">
        <f>COUNTIF('Club Colours'!$I$7:$I$741,A207)</f>
        <v>3</v>
      </c>
      <c r="H207" s="44" t="s">
        <v>2051</v>
      </c>
    </row>
    <row r="208" ht="34.5" customHeight="1">
      <c r="A208" s="115" t="s">
        <v>1600</v>
      </c>
      <c r="B208" s="115" t="s">
        <v>2069</v>
      </c>
      <c r="C208" s="44" t="s">
        <v>1848</v>
      </c>
      <c r="D208" s="115" t="s">
        <v>56</v>
      </c>
      <c r="E208" s="115" t="s">
        <v>1849</v>
      </c>
      <c r="F208" s="45" t="s">
        <v>1601</v>
      </c>
      <c r="G208" s="187">
        <f>COUNTIF('Club Colours'!$I$7:$I$741,A208)</f>
        <v>1</v>
      </c>
      <c r="H208" s="44" t="s">
        <v>1850</v>
      </c>
    </row>
    <row r="209" ht="34.5" customHeight="1">
      <c r="A209" s="115" t="s">
        <v>741</v>
      </c>
      <c r="B209" s="115" t="s">
        <v>2070</v>
      </c>
      <c r="C209" s="44" t="s">
        <v>1848</v>
      </c>
      <c r="D209" s="115" t="s">
        <v>56</v>
      </c>
      <c r="E209" s="115" t="s">
        <v>1849</v>
      </c>
      <c r="F209" s="45" t="s">
        <v>742</v>
      </c>
      <c r="G209" s="187">
        <f>COUNTIF('Club Colours'!$I$7:$I$741,A209)</f>
        <v>1</v>
      </c>
      <c r="H209" s="44" t="s">
        <v>1850</v>
      </c>
    </row>
    <row r="210" ht="34.5" customHeight="1">
      <c r="A210" s="115" t="s">
        <v>1506</v>
      </c>
      <c r="B210" s="115" t="s">
        <v>2071</v>
      </c>
      <c r="C210" s="44" t="s">
        <v>1848</v>
      </c>
      <c r="D210" s="115" t="s">
        <v>56</v>
      </c>
      <c r="E210" s="115" t="s">
        <v>1849</v>
      </c>
      <c r="F210" s="45" t="s">
        <v>1507</v>
      </c>
      <c r="G210" s="187">
        <f>COUNTIF('Club Colours'!$I$7:$I$741,A210)</f>
        <v>1</v>
      </c>
      <c r="H210" s="44" t="s">
        <v>1850</v>
      </c>
    </row>
    <row r="211" ht="34.5" customHeight="1">
      <c r="A211" s="115" t="s">
        <v>746</v>
      </c>
      <c r="B211" s="115" t="s">
        <v>2072</v>
      </c>
      <c r="C211" s="44" t="s">
        <v>2073</v>
      </c>
      <c r="D211" s="115" t="s">
        <v>184</v>
      </c>
      <c r="E211" s="115" t="s">
        <v>1849</v>
      </c>
      <c r="F211" s="45" t="s">
        <v>747</v>
      </c>
      <c r="G211" s="187">
        <f>COUNTIF('Club Colours'!$I$7:$I$741,A211)</f>
        <v>1</v>
      </c>
      <c r="H211" s="44" t="s">
        <v>1850</v>
      </c>
    </row>
    <row r="212" ht="34.5" customHeight="1">
      <c r="A212" s="115" t="s">
        <v>749</v>
      </c>
      <c r="B212" s="115" t="s">
        <v>2074</v>
      </c>
      <c r="C212" s="44" t="s">
        <v>1848</v>
      </c>
      <c r="D212" s="115" t="s">
        <v>56</v>
      </c>
      <c r="E212" s="115" t="s">
        <v>1849</v>
      </c>
      <c r="F212" s="45" t="s">
        <v>665</v>
      </c>
      <c r="G212" s="187">
        <f>COUNTIF('Club Colours'!$I$7:$I$741,A212)</f>
        <v>1</v>
      </c>
      <c r="H212" s="44" t="s">
        <v>1850</v>
      </c>
    </row>
    <row r="213" ht="34.5" customHeight="1">
      <c r="A213" s="115" t="s">
        <v>754</v>
      </c>
      <c r="B213" s="115" t="s">
        <v>2075</v>
      </c>
      <c r="C213" s="44" t="s">
        <v>1848</v>
      </c>
      <c r="D213" s="115" t="s">
        <v>56</v>
      </c>
      <c r="E213" s="115" t="s">
        <v>1849</v>
      </c>
      <c r="F213" s="45" t="s">
        <v>755</v>
      </c>
      <c r="G213" s="187">
        <f>COUNTIF('Club Colours'!$I$7:$I$741,A213)</f>
        <v>1</v>
      </c>
      <c r="H213" s="44" t="s">
        <v>1850</v>
      </c>
    </row>
    <row r="214" ht="34.5" customHeight="1">
      <c r="A214" s="115" t="s">
        <v>859</v>
      </c>
      <c r="B214" s="115" t="s">
        <v>2076</v>
      </c>
      <c r="C214" s="44" t="s">
        <v>1848</v>
      </c>
      <c r="D214" s="115" t="s">
        <v>56</v>
      </c>
      <c r="E214" s="115" t="s">
        <v>1849</v>
      </c>
      <c r="F214" s="45" t="s">
        <v>781</v>
      </c>
      <c r="G214" s="187">
        <f>COUNTIF('Club Colours'!$I$7:$I$741,A214)</f>
        <v>1</v>
      </c>
      <c r="H214" s="44" t="s">
        <v>1850</v>
      </c>
    </row>
    <row r="215" ht="34.5" customHeight="1">
      <c r="A215" s="115" t="s">
        <v>1196</v>
      </c>
      <c r="B215" s="115" t="s">
        <v>2077</v>
      </c>
      <c r="C215" s="44" t="s">
        <v>1848</v>
      </c>
      <c r="D215" s="115" t="s">
        <v>163</v>
      </c>
      <c r="E215" s="115" t="s">
        <v>1849</v>
      </c>
      <c r="F215" s="45" t="s">
        <v>1197</v>
      </c>
      <c r="G215" s="187">
        <f>COUNTIF('Club Colours'!$I$7:$I$741,A215)</f>
        <v>1</v>
      </c>
      <c r="H215" s="44" t="s">
        <v>1853</v>
      </c>
    </row>
    <row r="216" ht="34.5" customHeight="1">
      <c r="A216" s="115" t="s">
        <v>758</v>
      </c>
      <c r="B216" s="115" t="s">
        <v>2078</v>
      </c>
      <c r="C216" s="44" t="s">
        <v>1848</v>
      </c>
      <c r="D216" s="115" t="s">
        <v>56</v>
      </c>
      <c r="E216" s="115" t="s">
        <v>1849</v>
      </c>
      <c r="F216" s="45" t="s">
        <v>759</v>
      </c>
      <c r="G216" s="187">
        <f>COUNTIF('Club Colours'!$I$7:$I$741,A216)</f>
        <v>1</v>
      </c>
      <c r="H216" s="44" t="s">
        <v>1850</v>
      </c>
    </row>
    <row r="217" ht="34.5" customHeight="1">
      <c r="A217" s="115" t="s">
        <v>1201</v>
      </c>
      <c r="B217" s="115" t="s">
        <v>2079</v>
      </c>
      <c r="C217" s="44" t="s">
        <v>1848</v>
      </c>
      <c r="D217" s="115" t="s">
        <v>163</v>
      </c>
      <c r="E217" s="115" t="s">
        <v>1849</v>
      </c>
      <c r="F217" s="45" t="s">
        <v>1149</v>
      </c>
      <c r="G217" s="187">
        <f>COUNTIF('Club Colours'!$I$7:$I$741,A217)</f>
        <v>2</v>
      </c>
      <c r="H217" s="44" t="s">
        <v>1853</v>
      </c>
    </row>
    <row r="218" ht="34.5" customHeight="1">
      <c r="A218" s="115" t="s">
        <v>1605</v>
      </c>
      <c r="B218" s="115" t="s">
        <v>2080</v>
      </c>
      <c r="C218" s="44" t="s">
        <v>1848</v>
      </c>
      <c r="D218" s="115" t="s">
        <v>56</v>
      </c>
      <c r="E218" s="115" t="s">
        <v>1849</v>
      </c>
      <c r="F218" s="45" t="s">
        <v>1606</v>
      </c>
      <c r="G218" s="187">
        <f>COUNTIF('Club Colours'!$I$7:$I$741,A218)</f>
        <v>1</v>
      </c>
      <c r="H218" s="44" t="s">
        <v>1850</v>
      </c>
    </row>
    <row r="219" ht="34.5" customHeight="1">
      <c r="A219" s="115" t="s">
        <v>1509</v>
      </c>
      <c r="B219" s="115" t="s">
        <v>2081</v>
      </c>
      <c r="C219" s="44" t="s">
        <v>1848</v>
      </c>
      <c r="D219" s="115" t="s">
        <v>56</v>
      </c>
      <c r="E219" s="115" t="s">
        <v>1849</v>
      </c>
      <c r="F219" s="45" t="s">
        <v>1510</v>
      </c>
      <c r="G219" s="187">
        <f>COUNTIF('Club Colours'!$I$7:$I$741,A219)</f>
        <v>2</v>
      </c>
      <c r="H219" s="44" t="s">
        <v>1850</v>
      </c>
    </row>
    <row r="220" ht="34.5" customHeight="1">
      <c r="A220" s="115" t="s">
        <v>1612</v>
      </c>
      <c r="B220" s="115" t="s">
        <v>2082</v>
      </c>
      <c r="C220" s="44" t="s">
        <v>1848</v>
      </c>
      <c r="D220" s="115" t="s">
        <v>56</v>
      </c>
      <c r="E220" s="115" t="s">
        <v>1849</v>
      </c>
      <c r="F220" s="45" t="s">
        <v>1613</v>
      </c>
      <c r="G220" s="187">
        <f>COUNTIF('Club Colours'!$I$7:$I$741,A220)</f>
        <v>1</v>
      </c>
      <c r="H220" s="44" t="s">
        <v>1850</v>
      </c>
    </row>
    <row r="221" ht="34.5" customHeight="1">
      <c r="A221" s="115" t="s">
        <v>1623</v>
      </c>
      <c r="B221" s="115" t="s">
        <v>2083</v>
      </c>
      <c r="C221" s="44" t="s">
        <v>1848</v>
      </c>
      <c r="D221" s="115" t="s">
        <v>56</v>
      </c>
      <c r="E221" s="115" t="s">
        <v>1849</v>
      </c>
      <c r="F221" s="45" t="s">
        <v>1624</v>
      </c>
      <c r="G221" s="187">
        <f>COUNTIF('Club Colours'!$I$7:$I$741,A221)</f>
        <v>1</v>
      </c>
      <c r="H221" s="44" t="s">
        <v>1850</v>
      </c>
    </row>
    <row r="222" ht="34.5" customHeight="1">
      <c r="A222" s="115" t="s">
        <v>862</v>
      </c>
      <c r="B222" s="115" t="s">
        <v>2084</v>
      </c>
      <c r="C222" s="44" t="s">
        <v>1848</v>
      </c>
      <c r="D222" s="115" t="s">
        <v>56</v>
      </c>
      <c r="E222" s="115" t="s">
        <v>1849</v>
      </c>
      <c r="F222" s="45" t="s">
        <v>863</v>
      </c>
      <c r="G222" s="187">
        <f>COUNTIF('Club Colours'!$I$7:$I$741,A222)</f>
        <v>1</v>
      </c>
      <c r="H222" s="44" t="s">
        <v>1850</v>
      </c>
    </row>
    <row r="223" ht="34.5" customHeight="1">
      <c r="A223" s="115" t="s">
        <v>762</v>
      </c>
      <c r="B223" s="115" t="s">
        <v>2085</v>
      </c>
      <c r="C223" s="44" t="s">
        <v>1848</v>
      </c>
      <c r="D223" s="115" t="s">
        <v>56</v>
      </c>
      <c r="E223" s="115" t="s">
        <v>1849</v>
      </c>
      <c r="F223" s="45" t="s">
        <v>764</v>
      </c>
      <c r="G223" s="187">
        <f>COUNTIF('Club Colours'!$I$7:$I$741,A223)</f>
        <v>1</v>
      </c>
      <c r="H223" s="44" t="s">
        <v>1850</v>
      </c>
    </row>
    <row r="224" ht="34.5" customHeight="1">
      <c r="A224" s="115" t="s">
        <v>1615</v>
      </c>
      <c r="B224" s="115" t="s">
        <v>2086</v>
      </c>
      <c r="C224" s="44" t="s">
        <v>1848</v>
      </c>
      <c r="D224" s="115" t="s">
        <v>56</v>
      </c>
      <c r="E224" s="115" t="s">
        <v>1849</v>
      </c>
      <c r="F224" s="45" t="s">
        <v>1616</v>
      </c>
      <c r="G224" s="187">
        <f>COUNTIF('Club Colours'!$I$7:$I$741,A224)</f>
        <v>1</v>
      </c>
      <c r="H224" s="44" t="s">
        <v>1850</v>
      </c>
    </row>
    <row r="225" ht="34.5" customHeight="1">
      <c r="A225" s="115" t="s">
        <v>766</v>
      </c>
      <c r="B225" s="115" t="s">
        <v>2087</v>
      </c>
      <c r="C225" s="44" t="s">
        <v>1848</v>
      </c>
      <c r="D225" s="115" t="s">
        <v>56</v>
      </c>
      <c r="E225" s="115" t="s">
        <v>1849</v>
      </c>
      <c r="F225" s="45" t="s">
        <v>767</v>
      </c>
      <c r="G225" s="187">
        <f>COUNTIF('Club Colours'!$I$7:$I$741,A225)</f>
        <v>1</v>
      </c>
      <c r="H225" s="44" t="s">
        <v>1850</v>
      </c>
    </row>
    <row r="226" ht="34.5" customHeight="1">
      <c r="A226" s="115" t="s">
        <v>1208</v>
      </c>
      <c r="B226" s="115" t="s">
        <v>2088</v>
      </c>
      <c r="C226" s="44" t="s">
        <v>1848</v>
      </c>
      <c r="D226" s="115" t="s">
        <v>163</v>
      </c>
      <c r="E226" s="115" t="s">
        <v>1849</v>
      </c>
      <c r="F226" s="45" t="s">
        <v>1209</v>
      </c>
      <c r="G226" s="187">
        <f>COUNTIF('Club Colours'!$I$7:$I$741,A226)</f>
        <v>1</v>
      </c>
      <c r="H226" s="44" t="s">
        <v>1853</v>
      </c>
    </row>
    <row r="227" ht="34.5" customHeight="1">
      <c r="A227" s="115" t="s">
        <v>362</v>
      </c>
      <c r="B227" s="115" t="s">
        <v>2089</v>
      </c>
      <c r="C227" s="44" t="s">
        <v>1848</v>
      </c>
      <c r="D227" s="115" t="s">
        <v>56</v>
      </c>
      <c r="E227" s="115" t="s">
        <v>1849</v>
      </c>
      <c r="F227" s="45" t="s">
        <v>363</v>
      </c>
      <c r="G227" s="187">
        <f>COUNTIF('Club Colours'!$I$7:$I$741,A227)</f>
        <v>1</v>
      </c>
      <c r="H227" s="44" t="s">
        <v>1850</v>
      </c>
    </row>
    <row r="228" ht="34.5" customHeight="1">
      <c r="A228" s="115" t="s">
        <v>1588</v>
      </c>
      <c r="B228" s="115" t="s">
        <v>2090</v>
      </c>
      <c r="C228" s="44" t="s">
        <v>1848</v>
      </c>
      <c r="D228" s="115" t="s">
        <v>56</v>
      </c>
      <c r="E228" s="115" t="s">
        <v>1849</v>
      </c>
      <c r="F228" s="45" t="s">
        <v>1589</v>
      </c>
      <c r="G228" s="187">
        <f>COUNTIF('Club Colours'!$I$7:$I$741,A228)</f>
        <v>1</v>
      </c>
      <c r="H228" s="44" t="s">
        <v>1850</v>
      </c>
    </row>
    <row r="229" ht="34.5" customHeight="1">
      <c r="A229" s="115" t="s">
        <v>771</v>
      </c>
      <c r="B229" s="115" t="s">
        <v>2091</v>
      </c>
      <c r="C229" s="44" t="s">
        <v>1848</v>
      </c>
      <c r="D229" s="115" t="s">
        <v>56</v>
      </c>
      <c r="E229" s="115" t="s">
        <v>1849</v>
      </c>
      <c r="F229" s="45" t="s">
        <v>770</v>
      </c>
      <c r="G229" s="187">
        <f>COUNTIF('Club Colours'!$I$7:$I$741,A229)</f>
        <v>1</v>
      </c>
      <c r="H229" s="44" t="s">
        <v>1850</v>
      </c>
    </row>
    <row r="230" ht="34.5" customHeight="1">
      <c r="A230" s="115" t="s">
        <v>864</v>
      </c>
      <c r="B230" s="115" t="s">
        <v>2092</v>
      </c>
      <c r="C230" s="44" t="s">
        <v>1848</v>
      </c>
      <c r="D230" s="115" t="s">
        <v>56</v>
      </c>
      <c r="E230" s="115" t="s">
        <v>1849</v>
      </c>
      <c r="F230" s="45" t="s">
        <v>797</v>
      </c>
      <c r="G230" s="187">
        <f>COUNTIF('Club Colours'!$I$7:$I$741,A230)</f>
        <v>1</v>
      </c>
      <c r="H230" s="44" t="s">
        <v>1850</v>
      </c>
    </row>
    <row r="231" ht="34.5" customHeight="1">
      <c r="A231" s="115" t="s">
        <v>868</v>
      </c>
      <c r="B231" s="115" t="s">
        <v>2093</v>
      </c>
      <c r="C231" s="44" t="s">
        <v>1848</v>
      </c>
      <c r="D231" s="115" t="s">
        <v>56</v>
      </c>
      <c r="E231" s="115" t="s">
        <v>1849</v>
      </c>
      <c r="F231" s="45" t="s">
        <v>869</v>
      </c>
      <c r="G231" s="187">
        <f>COUNTIF('Club Colours'!$I$7:$I$741,A231)</f>
        <v>1</v>
      </c>
      <c r="H231" s="44" t="s">
        <v>1850</v>
      </c>
    </row>
    <row r="232" ht="34.5" customHeight="1">
      <c r="A232" s="115" t="s">
        <v>1514</v>
      </c>
      <c r="B232" s="115" t="s">
        <v>2094</v>
      </c>
      <c r="C232" s="44" t="s">
        <v>1848</v>
      </c>
      <c r="D232" s="115" t="s">
        <v>56</v>
      </c>
      <c r="E232" s="115" t="s">
        <v>1849</v>
      </c>
      <c r="F232" s="45" t="s">
        <v>1515</v>
      </c>
      <c r="G232" s="187">
        <f>COUNTIF('Club Colours'!$I$7:$I$741,A232)</f>
        <v>1</v>
      </c>
      <c r="H232" s="44" t="s">
        <v>1850</v>
      </c>
    </row>
    <row r="233" ht="34.5" customHeight="1">
      <c r="A233" s="115" t="s">
        <v>773</v>
      </c>
      <c r="B233" s="115" t="s">
        <v>2095</v>
      </c>
      <c r="C233" s="44" t="s">
        <v>1848</v>
      </c>
      <c r="D233" s="115" t="s">
        <v>56</v>
      </c>
      <c r="E233" s="115" t="s">
        <v>1849</v>
      </c>
      <c r="F233" s="45" t="s">
        <v>774</v>
      </c>
      <c r="G233" s="187">
        <f>COUNTIF('Club Colours'!$I$7:$I$741,A233)</f>
        <v>1</v>
      </c>
      <c r="H233" s="44" t="s">
        <v>1850</v>
      </c>
    </row>
    <row r="234" ht="34.5" customHeight="1">
      <c r="A234" s="115" t="s">
        <v>514</v>
      </c>
      <c r="B234" s="115" t="s">
        <v>2096</v>
      </c>
      <c r="C234" s="44" t="s">
        <v>1848</v>
      </c>
      <c r="D234" s="115" t="s">
        <v>56</v>
      </c>
      <c r="E234" s="115" t="s">
        <v>1849</v>
      </c>
      <c r="F234" s="45" t="s">
        <v>515</v>
      </c>
      <c r="G234" s="187">
        <f>COUNTIF('Club Colours'!$I$7:$I$741,A234)</f>
        <v>1</v>
      </c>
      <c r="H234" s="44" t="s">
        <v>1850</v>
      </c>
    </row>
    <row r="235" ht="34.5" customHeight="1">
      <c r="A235" s="115" t="s">
        <v>985</v>
      </c>
      <c r="B235" s="115" t="s">
        <v>2097</v>
      </c>
      <c r="C235" s="44" t="s">
        <v>1848</v>
      </c>
      <c r="D235" s="115" t="s">
        <v>56</v>
      </c>
      <c r="E235" s="115" t="s">
        <v>1849</v>
      </c>
      <c r="F235" s="45" t="s">
        <v>986</v>
      </c>
      <c r="G235" s="187">
        <f>COUNTIF('Club Colours'!$I$7:$I$741,A235)</f>
        <v>1</v>
      </c>
      <c r="H235" s="44" t="s">
        <v>1850</v>
      </c>
    </row>
    <row r="236" ht="34.5" customHeight="1">
      <c r="A236" s="115" t="s">
        <v>1737</v>
      </c>
      <c r="B236" s="115" t="s">
        <v>2098</v>
      </c>
      <c r="C236" s="44" t="s">
        <v>1848</v>
      </c>
      <c r="D236" s="115" t="s">
        <v>56</v>
      </c>
      <c r="E236" s="115" t="s">
        <v>1849</v>
      </c>
      <c r="F236" s="45" t="s">
        <v>1738</v>
      </c>
      <c r="G236" s="187">
        <f>COUNTIF('Club Colours'!$I$7:$I$741,A236)</f>
        <v>1</v>
      </c>
      <c r="H236" s="44" t="s">
        <v>1850</v>
      </c>
    </row>
    <row r="237" ht="34.5" customHeight="1">
      <c r="A237" s="115" t="s">
        <v>779</v>
      </c>
      <c r="B237" s="115" t="s">
        <v>2099</v>
      </c>
      <c r="C237" s="44" t="s">
        <v>1848</v>
      </c>
      <c r="D237" s="115" t="s">
        <v>56</v>
      </c>
      <c r="E237" s="115" t="s">
        <v>1849</v>
      </c>
      <c r="F237" s="45" t="s">
        <v>780</v>
      </c>
      <c r="G237" s="187">
        <f>COUNTIF('Club Colours'!$I$7:$I$741,A237)</f>
        <v>1</v>
      </c>
      <c r="H237" s="44" t="s">
        <v>1850</v>
      </c>
    </row>
    <row r="238" ht="34.5" customHeight="1">
      <c r="A238" s="115" t="s">
        <v>1517</v>
      </c>
      <c r="B238" s="115" t="s">
        <v>2100</v>
      </c>
      <c r="C238" s="44" t="s">
        <v>1848</v>
      </c>
      <c r="D238" s="115" t="s">
        <v>56</v>
      </c>
      <c r="E238" s="115" t="s">
        <v>1849</v>
      </c>
      <c r="F238" s="45" t="s">
        <v>1518</v>
      </c>
      <c r="G238" s="187">
        <f>COUNTIF('Club Colours'!$I$7:$I$741,A238)</f>
        <v>1</v>
      </c>
      <c r="H238" s="44" t="s">
        <v>1850</v>
      </c>
    </row>
    <row r="239" ht="34.5" customHeight="1">
      <c r="A239" s="115" t="s">
        <v>1520</v>
      </c>
      <c r="B239" s="115" t="s">
        <v>2101</v>
      </c>
      <c r="C239" s="44" t="s">
        <v>1848</v>
      </c>
      <c r="D239" s="115" t="s">
        <v>56</v>
      </c>
      <c r="E239" s="115" t="s">
        <v>1849</v>
      </c>
      <c r="F239" s="45" t="s">
        <v>1521</v>
      </c>
      <c r="G239" s="187">
        <f>COUNTIF('Club Colours'!$I$7:$I$741,A239)</f>
        <v>1</v>
      </c>
      <c r="H239" s="44" t="s">
        <v>1850</v>
      </c>
    </row>
    <row r="240" ht="34.5" customHeight="1">
      <c r="A240" s="115" t="s">
        <v>1560</v>
      </c>
      <c r="B240" s="115" t="s">
        <v>2102</v>
      </c>
      <c r="C240" s="44" t="s">
        <v>1848</v>
      </c>
      <c r="D240" s="115" t="s">
        <v>56</v>
      </c>
      <c r="E240" s="115" t="s">
        <v>1849</v>
      </c>
      <c r="F240" s="45" t="s">
        <v>1561</v>
      </c>
      <c r="G240" s="187">
        <f>COUNTIF('Club Colours'!$I$7:$I$741,A240)</f>
        <v>1</v>
      </c>
      <c r="H240" s="44" t="s">
        <v>1850</v>
      </c>
    </row>
    <row r="241" ht="34.5" customHeight="1">
      <c r="A241" s="115" t="s">
        <v>783</v>
      </c>
      <c r="B241" s="115" t="s">
        <v>2103</v>
      </c>
      <c r="C241" s="44" t="s">
        <v>1848</v>
      </c>
      <c r="D241" s="115" t="s">
        <v>56</v>
      </c>
      <c r="E241" s="115" t="s">
        <v>1849</v>
      </c>
      <c r="F241" s="45" t="s">
        <v>785</v>
      </c>
      <c r="G241" s="187">
        <f>COUNTIF('Club Colours'!$I$7:$I$741,A241)</f>
        <v>1</v>
      </c>
      <c r="H241" s="44" t="s">
        <v>1850</v>
      </c>
    </row>
    <row r="242" ht="34.5" customHeight="1">
      <c r="A242" s="115" t="s">
        <v>870</v>
      </c>
      <c r="B242" s="115" t="s">
        <v>2104</v>
      </c>
      <c r="C242" s="44" t="s">
        <v>1848</v>
      </c>
      <c r="D242" s="115" t="s">
        <v>56</v>
      </c>
      <c r="E242" s="115" t="s">
        <v>1849</v>
      </c>
      <c r="F242" s="45" t="s">
        <v>801</v>
      </c>
      <c r="G242" s="187">
        <f>COUNTIF('Club Colours'!$I$7:$I$741,A242)</f>
        <v>2</v>
      </c>
      <c r="H242" s="44" t="s">
        <v>1850</v>
      </c>
    </row>
    <row r="243" ht="34.5" customHeight="1">
      <c r="A243" s="115" t="s">
        <v>874</v>
      </c>
      <c r="B243" s="115" t="s">
        <v>2105</v>
      </c>
      <c r="C243" s="44" t="s">
        <v>1848</v>
      </c>
      <c r="D243" s="115" t="s">
        <v>56</v>
      </c>
      <c r="E243" s="115" t="s">
        <v>1849</v>
      </c>
      <c r="F243" s="45" t="s">
        <v>875</v>
      </c>
      <c r="G243" s="187">
        <f>COUNTIF('Club Colours'!$I$7:$I$741,A243)</f>
        <v>1</v>
      </c>
      <c r="H243" s="44" t="s">
        <v>1850</v>
      </c>
    </row>
    <row r="244" ht="34.5" customHeight="1">
      <c r="A244" s="115" t="s">
        <v>517</v>
      </c>
      <c r="B244" s="115" t="s">
        <v>2106</v>
      </c>
      <c r="C244" s="44" t="s">
        <v>1848</v>
      </c>
      <c r="D244" s="115" t="s">
        <v>56</v>
      </c>
      <c r="E244" s="115" t="s">
        <v>1849</v>
      </c>
      <c r="F244" s="45" t="s">
        <v>518</v>
      </c>
      <c r="G244" s="187">
        <f>COUNTIF('Club Colours'!$I$7:$I$741,A244)</f>
        <v>1</v>
      </c>
      <c r="H244" s="44" t="s">
        <v>1850</v>
      </c>
    </row>
    <row r="245" ht="34.5" customHeight="1">
      <c r="A245" s="115" t="s">
        <v>521</v>
      </c>
      <c r="B245" s="115" t="s">
        <v>2107</v>
      </c>
      <c r="C245" s="44" t="s">
        <v>1848</v>
      </c>
      <c r="D245" s="115" t="s">
        <v>56</v>
      </c>
      <c r="E245" s="115" t="s">
        <v>1849</v>
      </c>
      <c r="F245" s="45" t="s">
        <v>522</v>
      </c>
      <c r="G245" s="187">
        <f>COUNTIF('Club Colours'!$I$7:$I$741,A245)</f>
        <v>1</v>
      </c>
      <c r="H245" s="44" t="s">
        <v>1850</v>
      </c>
    </row>
    <row r="246" ht="34.5" customHeight="1">
      <c r="A246" s="115" t="s">
        <v>790</v>
      </c>
      <c r="B246" s="115" t="s">
        <v>2108</v>
      </c>
      <c r="C246" s="44" t="s">
        <v>1848</v>
      </c>
      <c r="D246" s="115" t="s">
        <v>56</v>
      </c>
      <c r="E246" s="115" t="s">
        <v>1849</v>
      </c>
      <c r="F246" s="45" t="s">
        <v>791</v>
      </c>
      <c r="G246" s="187">
        <f>COUNTIF('Club Colours'!$I$7:$I$741,A246)</f>
        <v>1</v>
      </c>
      <c r="H246" s="44" t="s">
        <v>1850</v>
      </c>
    </row>
    <row r="247" ht="34.5" customHeight="1">
      <c r="A247" s="115" t="s">
        <v>1550</v>
      </c>
      <c r="B247" s="115" t="s">
        <v>2109</v>
      </c>
      <c r="C247" s="44" t="s">
        <v>1848</v>
      </c>
      <c r="D247" s="115" t="s">
        <v>56</v>
      </c>
      <c r="E247" s="115" t="s">
        <v>1849</v>
      </c>
      <c r="F247" s="45" t="s">
        <v>1551</v>
      </c>
      <c r="G247" s="187">
        <f>COUNTIF('Club Colours'!$I$7:$I$741,A247)</f>
        <v>1</v>
      </c>
      <c r="H247" s="44" t="s">
        <v>1850</v>
      </c>
    </row>
    <row r="248" ht="34.5" customHeight="1">
      <c r="A248" s="115" t="s">
        <v>526</v>
      </c>
      <c r="B248" s="115" t="s">
        <v>2110</v>
      </c>
      <c r="C248" s="44" t="s">
        <v>1848</v>
      </c>
      <c r="D248" s="115" t="s">
        <v>56</v>
      </c>
      <c r="E248" s="115" t="s">
        <v>1849</v>
      </c>
      <c r="F248" s="45" t="s">
        <v>527</v>
      </c>
      <c r="G248" s="187">
        <f>COUNTIF('Club Colours'!$I$7:$I$741,A248)</f>
        <v>1</v>
      </c>
      <c r="H248" s="44" t="s">
        <v>1850</v>
      </c>
    </row>
    <row r="249" ht="34.5" customHeight="1">
      <c r="A249" s="115" t="s">
        <v>1221</v>
      </c>
      <c r="B249" s="115" t="s">
        <v>2111</v>
      </c>
      <c r="C249" s="44" t="s">
        <v>1848</v>
      </c>
      <c r="D249" s="115" t="s">
        <v>163</v>
      </c>
      <c r="E249" s="115" t="s">
        <v>1849</v>
      </c>
      <c r="F249" s="45" t="s">
        <v>1222</v>
      </c>
      <c r="G249" s="187">
        <f>COUNTIF('Club Colours'!$I$7:$I$741,A249)</f>
        <v>1</v>
      </c>
      <c r="H249" s="44" t="s">
        <v>1853</v>
      </c>
    </row>
    <row r="250" ht="34.5" customHeight="1">
      <c r="A250" s="115" t="s">
        <v>1227</v>
      </c>
      <c r="B250" s="115" t="s">
        <v>2112</v>
      </c>
      <c r="C250" s="44" t="s">
        <v>1848</v>
      </c>
      <c r="D250" s="115" t="s">
        <v>163</v>
      </c>
      <c r="E250" s="115" t="s">
        <v>1849</v>
      </c>
      <c r="F250" s="45" t="s">
        <v>1228</v>
      </c>
      <c r="G250" s="187">
        <f>COUNTIF('Club Colours'!$I$7:$I$741,A250)</f>
        <v>1</v>
      </c>
      <c r="H250" s="44" t="s">
        <v>1853</v>
      </c>
    </row>
    <row r="251" ht="34.5" customHeight="1">
      <c r="A251" s="115" t="s">
        <v>1231</v>
      </c>
      <c r="B251" s="115" t="s">
        <v>2113</v>
      </c>
      <c r="C251" s="44" t="s">
        <v>1848</v>
      </c>
      <c r="D251" s="115" t="s">
        <v>163</v>
      </c>
      <c r="E251" s="115" t="s">
        <v>1849</v>
      </c>
      <c r="F251" s="45" t="s">
        <v>1232</v>
      </c>
      <c r="G251" s="187">
        <f>COUNTIF('Club Colours'!$I$7:$I$741,A251)</f>
        <v>1</v>
      </c>
      <c r="H251" s="44" t="s">
        <v>1853</v>
      </c>
    </row>
    <row r="252" ht="34.5" customHeight="1">
      <c r="A252" s="115" t="s">
        <v>1236</v>
      </c>
      <c r="B252" s="115" t="s">
        <v>2114</v>
      </c>
      <c r="C252" s="44" t="s">
        <v>1848</v>
      </c>
      <c r="D252" s="115" t="s">
        <v>56</v>
      </c>
      <c r="E252" s="115" t="s">
        <v>1849</v>
      </c>
      <c r="F252" s="45" t="s">
        <v>1153</v>
      </c>
      <c r="G252" s="187">
        <f>COUNTIF('Club Colours'!$I$7:$I$741,A252)</f>
        <v>1</v>
      </c>
      <c r="H252" s="44" t="s">
        <v>1850</v>
      </c>
    </row>
    <row r="253" ht="34.5" customHeight="1">
      <c r="A253" s="115" t="s">
        <v>1237</v>
      </c>
      <c r="B253" s="115" t="s">
        <v>2115</v>
      </c>
      <c r="C253" s="44" t="s">
        <v>1848</v>
      </c>
      <c r="D253" s="115" t="s">
        <v>163</v>
      </c>
      <c r="E253" s="115" t="s">
        <v>1849</v>
      </c>
      <c r="F253" s="45" t="s">
        <v>1157</v>
      </c>
      <c r="G253" s="187">
        <f>COUNTIF('Club Colours'!$I$7:$I$741,A253)</f>
        <v>2</v>
      </c>
      <c r="H253" s="44" t="s">
        <v>1853</v>
      </c>
    </row>
    <row r="254" ht="34.5" customHeight="1">
      <c r="A254" s="115" t="s">
        <v>1243</v>
      </c>
      <c r="B254" s="115" t="s">
        <v>2116</v>
      </c>
      <c r="C254" s="44" t="s">
        <v>1848</v>
      </c>
      <c r="D254" s="115" t="s">
        <v>56</v>
      </c>
      <c r="E254" s="115" t="s">
        <v>1849</v>
      </c>
      <c r="F254" s="45" t="s">
        <v>1163</v>
      </c>
      <c r="G254" s="187">
        <f>COUNTIF('Club Colours'!$I$7:$I$741,A254)</f>
        <v>1</v>
      </c>
      <c r="H254" s="44" t="s">
        <v>1850</v>
      </c>
    </row>
    <row r="255" ht="34.5" customHeight="1">
      <c r="A255" s="115" t="s">
        <v>795</v>
      </c>
      <c r="B255" s="115" t="s">
        <v>2117</v>
      </c>
      <c r="C255" s="44" t="s">
        <v>1848</v>
      </c>
      <c r="D255" s="115" t="s">
        <v>56</v>
      </c>
      <c r="E255" s="115" t="s">
        <v>1849</v>
      </c>
      <c r="F255" s="45" t="s">
        <v>796</v>
      </c>
      <c r="G255" s="187">
        <f>COUNTIF('Club Colours'!$I$7:$I$741,A255)</f>
        <v>1</v>
      </c>
      <c r="H255" s="44" t="s">
        <v>1850</v>
      </c>
    </row>
    <row r="256" ht="34.5" customHeight="1">
      <c r="A256" s="115" t="s">
        <v>992</v>
      </c>
      <c r="B256" s="115" t="s">
        <v>2118</v>
      </c>
      <c r="C256" s="44" t="s">
        <v>1848</v>
      </c>
      <c r="D256" s="115" t="s">
        <v>56</v>
      </c>
      <c r="E256" s="115" t="s">
        <v>1849</v>
      </c>
      <c r="F256" s="45" t="s">
        <v>993</v>
      </c>
      <c r="G256" s="187">
        <f>COUNTIF('Club Colours'!$I$7:$I$741,A256)</f>
        <v>1</v>
      </c>
      <c r="H256" s="44" t="s">
        <v>1850</v>
      </c>
    </row>
    <row r="257" ht="34.5" customHeight="1">
      <c r="A257" s="115" t="s">
        <v>879</v>
      </c>
      <c r="B257" s="115" t="s">
        <v>2119</v>
      </c>
      <c r="C257" s="44" t="s">
        <v>1848</v>
      </c>
      <c r="D257" s="115" t="s">
        <v>56</v>
      </c>
      <c r="E257" s="115" t="s">
        <v>1849</v>
      </c>
      <c r="F257" s="45" t="s">
        <v>880</v>
      </c>
      <c r="G257" s="187">
        <f>COUNTIF('Club Colours'!$I$7:$I$741,A257)</f>
        <v>1</v>
      </c>
      <c r="H257" s="44" t="s">
        <v>1850</v>
      </c>
    </row>
    <row r="258" ht="34.5" customHeight="1">
      <c r="A258" s="115" t="s">
        <v>1619</v>
      </c>
      <c r="B258" s="115" t="s">
        <v>2120</v>
      </c>
      <c r="C258" s="44" t="s">
        <v>1848</v>
      </c>
      <c r="D258" s="115" t="s">
        <v>56</v>
      </c>
      <c r="E258" s="115" t="s">
        <v>1849</v>
      </c>
      <c r="F258" s="45" t="s">
        <v>1620</v>
      </c>
      <c r="G258" s="187">
        <f>COUNTIF('Club Colours'!$I$7:$I$741,A258)</f>
        <v>1</v>
      </c>
      <c r="H258" s="44" t="s">
        <v>1850</v>
      </c>
    </row>
    <row r="259" ht="34.5" customHeight="1">
      <c r="A259" s="115" t="s">
        <v>995</v>
      </c>
      <c r="B259" s="115" t="s">
        <v>2121</v>
      </c>
      <c r="C259" s="44" t="s">
        <v>1848</v>
      </c>
      <c r="D259" s="115" t="s">
        <v>56</v>
      </c>
      <c r="E259" s="115" t="s">
        <v>1849</v>
      </c>
      <c r="F259" s="45" t="s">
        <v>996</v>
      </c>
      <c r="G259" s="187">
        <f>COUNTIF('Club Colours'!$I$7:$I$741,A259)</f>
        <v>1</v>
      </c>
      <c r="H259" s="44" t="s">
        <v>1850</v>
      </c>
    </row>
    <row r="260" ht="34.5" customHeight="1">
      <c r="A260" s="115" t="s">
        <v>800</v>
      </c>
      <c r="B260" s="115" t="s">
        <v>2122</v>
      </c>
      <c r="C260" s="44" t="s">
        <v>1848</v>
      </c>
      <c r="D260" s="115" t="s">
        <v>56</v>
      </c>
      <c r="E260" s="115" t="s">
        <v>1849</v>
      </c>
      <c r="F260" s="45" t="s">
        <v>793</v>
      </c>
      <c r="G260" s="187">
        <f>COUNTIF('Club Colours'!$I$7:$I$741,A260)</f>
        <v>1</v>
      </c>
      <c r="H260" s="44" t="s">
        <v>1850</v>
      </c>
    </row>
    <row r="261" ht="34.5" customHeight="1">
      <c r="A261" s="115" t="s">
        <v>804</v>
      </c>
      <c r="B261" s="115" t="s">
        <v>2123</v>
      </c>
      <c r="C261" s="44" t="s">
        <v>1848</v>
      </c>
      <c r="D261" s="115" t="s">
        <v>56</v>
      </c>
      <c r="E261" s="115" t="s">
        <v>1849</v>
      </c>
      <c r="F261" s="45" t="s">
        <v>805</v>
      </c>
      <c r="G261" s="187">
        <f>COUNTIF('Club Colours'!$I$7:$I$741,A261)</f>
        <v>1</v>
      </c>
      <c r="H261" s="44" t="s">
        <v>1850</v>
      </c>
    </row>
    <row r="262" ht="34.5" customHeight="1">
      <c r="A262" s="115" t="s">
        <v>1524</v>
      </c>
      <c r="B262" s="115" t="s">
        <v>2124</v>
      </c>
      <c r="C262" s="44" t="s">
        <v>2125</v>
      </c>
      <c r="D262" s="115" t="s">
        <v>179</v>
      </c>
      <c r="E262" s="115" t="s">
        <v>1849</v>
      </c>
      <c r="F262" s="45" t="s">
        <v>1525</v>
      </c>
      <c r="G262" s="187">
        <f>COUNTIF('Club Colours'!$I$7:$I$741,A262)</f>
        <v>1</v>
      </c>
      <c r="H262" s="44" t="s">
        <v>2126</v>
      </c>
    </row>
    <row r="263" ht="34.5" customHeight="1">
      <c r="A263" s="115" t="s">
        <v>1113</v>
      </c>
      <c r="B263" s="115" t="s">
        <v>2127</v>
      </c>
      <c r="C263" s="44" t="s">
        <v>1874</v>
      </c>
      <c r="D263" s="115" t="s">
        <v>163</v>
      </c>
      <c r="E263" s="115" t="s">
        <v>1849</v>
      </c>
      <c r="F263" s="45" t="s">
        <v>1114</v>
      </c>
      <c r="G263" s="187">
        <f>COUNTIF('Club Colours'!$I$7:$I$741,A263)</f>
        <v>2</v>
      </c>
      <c r="H263" s="44" t="s">
        <v>1853</v>
      </c>
    </row>
    <row r="264" ht="34.5" customHeight="1">
      <c r="A264" s="115" t="s">
        <v>1528</v>
      </c>
      <c r="B264" s="115" t="s">
        <v>2128</v>
      </c>
      <c r="C264" s="44" t="s">
        <v>1848</v>
      </c>
      <c r="D264" s="115" t="s">
        <v>56</v>
      </c>
      <c r="E264" s="115" t="s">
        <v>1849</v>
      </c>
      <c r="F264" s="45" t="s">
        <v>1529</v>
      </c>
      <c r="G264" s="187">
        <f>COUNTIF('Club Colours'!$I$7:$I$741,A264)</f>
        <v>1</v>
      </c>
      <c r="H264" s="44" t="s">
        <v>1850</v>
      </c>
    </row>
    <row r="265" ht="34.5" customHeight="1">
      <c r="A265" s="115" t="s">
        <v>384</v>
      </c>
      <c r="B265" s="115" t="s">
        <v>2129</v>
      </c>
      <c r="C265" s="44" t="s">
        <v>1848</v>
      </c>
      <c r="D265" s="115" t="s">
        <v>56</v>
      </c>
      <c r="E265" s="115" t="s">
        <v>1849</v>
      </c>
      <c r="F265" s="45" t="s">
        <v>385</v>
      </c>
      <c r="G265" s="187">
        <f>COUNTIF('Club Colours'!$I$7:$I$741,A265)</f>
        <v>1</v>
      </c>
      <c r="H265" s="44" t="s">
        <v>1850</v>
      </c>
    </row>
    <row r="266" ht="34.5" customHeight="1">
      <c r="A266" s="115" t="s">
        <v>390</v>
      </c>
      <c r="B266" s="115" t="s">
        <v>2130</v>
      </c>
      <c r="C266" s="44" t="s">
        <v>1848</v>
      </c>
      <c r="D266" s="115" t="s">
        <v>56</v>
      </c>
      <c r="E266" s="115" t="s">
        <v>1849</v>
      </c>
      <c r="F266" s="45" t="s">
        <v>391</v>
      </c>
      <c r="G266" s="187">
        <f>COUNTIF('Club Colours'!$I$7:$I$741,A266)</f>
        <v>1</v>
      </c>
      <c r="H266" s="44" t="s">
        <v>1850</v>
      </c>
    </row>
    <row r="267" ht="34.5" customHeight="1">
      <c r="A267" s="115" t="s">
        <v>884</v>
      </c>
      <c r="B267" s="115" t="s">
        <v>2131</v>
      </c>
      <c r="C267" s="44" t="s">
        <v>1848</v>
      </c>
      <c r="D267" s="115" t="s">
        <v>56</v>
      </c>
      <c r="E267" s="115" t="s">
        <v>1849</v>
      </c>
      <c r="F267" s="45" t="s">
        <v>885</v>
      </c>
      <c r="G267" s="187">
        <f>COUNTIF('Club Colours'!$I$7:$I$741,A267)</f>
        <v>1</v>
      </c>
      <c r="H267" s="44" t="s">
        <v>1850</v>
      </c>
    </row>
    <row r="268" ht="34.5" customHeight="1">
      <c r="A268" s="115" t="s">
        <v>1416</v>
      </c>
      <c r="B268" s="115" t="s">
        <v>2132</v>
      </c>
      <c r="C268" s="44" t="s">
        <v>1848</v>
      </c>
      <c r="D268" s="115" t="s">
        <v>56</v>
      </c>
      <c r="E268" s="115" t="s">
        <v>1849</v>
      </c>
      <c r="F268" s="45" t="s">
        <v>1327</v>
      </c>
      <c r="G268" s="187">
        <f>COUNTIF('Club Colours'!$I$7:$I$741,A268)</f>
        <v>1</v>
      </c>
      <c r="H268" s="44" t="s">
        <v>1850</v>
      </c>
    </row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6BE42B35-592F-4643-9F41-F05E0E3A59B3}" filter="1" showAutoFilter="1">
      <autoFilter ref="$A$6:$H$268"/>
    </customSheetView>
  </customSheetViews>
  <mergeCells count="3">
    <mergeCell ref="A1:H2"/>
    <mergeCell ref="A3:H3"/>
    <mergeCell ref="A4:H4"/>
  </mergeCells>
  <hyperlinks>
    <hyperlink r:id="rId1" location="'Colour Guide'!A1" ref="A4"/>
    <hyperlink r:id="rId2" ref="F7"/>
    <hyperlink r:id="rId3" ref="F8"/>
    <hyperlink r:id="rId4" ref="F9"/>
    <hyperlink r:id="rId5" ref="F10"/>
    <hyperlink r:id="rId6" ref="F11"/>
    <hyperlink r:id="rId7" ref="F12"/>
    <hyperlink r:id="rId8" ref="F13"/>
    <hyperlink r:id="rId9" ref="F14"/>
    <hyperlink r:id="rId10" ref="F15"/>
    <hyperlink r:id="rId11" ref="F16"/>
    <hyperlink r:id="rId12" ref="F17"/>
    <hyperlink r:id="rId13" ref="F18"/>
    <hyperlink r:id="rId14" ref="F19"/>
    <hyperlink r:id="rId15" ref="F20"/>
    <hyperlink r:id="rId16" ref="F21"/>
    <hyperlink r:id="rId17" ref="F22"/>
    <hyperlink r:id="rId18" ref="F23"/>
    <hyperlink r:id="rId19" ref="F24"/>
    <hyperlink r:id="rId20" ref="F25"/>
    <hyperlink r:id="rId21" ref="F26"/>
    <hyperlink r:id="rId22" ref="F27"/>
    <hyperlink r:id="rId23" ref="F28"/>
    <hyperlink r:id="rId24" ref="F29"/>
    <hyperlink r:id="rId25" ref="F30"/>
    <hyperlink r:id="rId26" ref="F31"/>
    <hyperlink r:id="rId27" ref="F32"/>
    <hyperlink r:id="rId28" ref="F33"/>
    <hyperlink r:id="rId29" ref="F34"/>
    <hyperlink r:id="rId30" ref="F35"/>
    <hyperlink r:id="rId31" ref="F36"/>
    <hyperlink r:id="rId32" ref="F37"/>
    <hyperlink r:id="rId33" ref="F38"/>
    <hyperlink r:id="rId34" ref="F39"/>
    <hyperlink r:id="rId35" ref="F40"/>
    <hyperlink r:id="rId36" ref="F41"/>
    <hyperlink r:id="rId37" ref="F42"/>
    <hyperlink r:id="rId38" ref="F43"/>
    <hyperlink r:id="rId39" ref="F44"/>
    <hyperlink r:id="rId40" ref="F45"/>
    <hyperlink r:id="rId41" ref="F46"/>
    <hyperlink r:id="rId42" ref="F47"/>
    <hyperlink r:id="rId43" ref="F48"/>
    <hyperlink r:id="rId44" ref="F49"/>
    <hyperlink r:id="rId45" ref="F50"/>
    <hyperlink r:id="rId46" ref="F51"/>
    <hyperlink r:id="rId47" ref="F52"/>
    <hyperlink r:id="rId48" ref="F53"/>
    <hyperlink r:id="rId49" ref="F54"/>
    <hyperlink r:id="rId50" ref="F55"/>
    <hyperlink r:id="rId51" ref="F56"/>
    <hyperlink r:id="rId52" ref="F57"/>
    <hyperlink r:id="rId53" ref="F58"/>
    <hyperlink r:id="rId54" ref="F59"/>
    <hyperlink r:id="rId55" ref="F60"/>
    <hyperlink r:id="rId56" ref="F61"/>
    <hyperlink r:id="rId57" ref="F62"/>
    <hyperlink r:id="rId58" ref="F63"/>
    <hyperlink r:id="rId59" ref="F64"/>
    <hyperlink r:id="rId60" ref="F65"/>
    <hyperlink r:id="rId61" ref="F66"/>
    <hyperlink r:id="rId62" ref="F67"/>
    <hyperlink r:id="rId63" ref="F68"/>
    <hyperlink r:id="rId64" ref="F69"/>
    <hyperlink r:id="rId65" ref="F70"/>
    <hyperlink r:id="rId66" ref="F71"/>
    <hyperlink r:id="rId67" ref="F72"/>
    <hyperlink r:id="rId68" ref="F73"/>
    <hyperlink r:id="rId69" ref="F74"/>
    <hyperlink r:id="rId70" ref="F75"/>
    <hyperlink r:id="rId71" ref="F76"/>
    <hyperlink r:id="rId72" ref="F77"/>
    <hyperlink r:id="rId73" ref="F78"/>
    <hyperlink r:id="rId74" ref="F79"/>
    <hyperlink r:id="rId75" ref="F80"/>
    <hyperlink r:id="rId76" ref="F81"/>
    <hyperlink r:id="rId77" ref="F82"/>
    <hyperlink r:id="rId78" ref="F83"/>
    <hyperlink r:id="rId79" ref="F84"/>
    <hyperlink r:id="rId80" ref="F85"/>
    <hyperlink r:id="rId81" ref="F86"/>
    <hyperlink r:id="rId82" ref="F87"/>
    <hyperlink r:id="rId83" ref="F88"/>
    <hyperlink r:id="rId84" ref="F89"/>
    <hyperlink r:id="rId85" ref="F90"/>
    <hyperlink r:id="rId86" ref="F91"/>
    <hyperlink r:id="rId87" ref="F92"/>
    <hyperlink r:id="rId88" ref="F93"/>
    <hyperlink r:id="rId89" ref="F94"/>
    <hyperlink r:id="rId90" ref="F95"/>
    <hyperlink r:id="rId91" ref="F96"/>
    <hyperlink r:id="rId92" ref="F97"/>
    <hyperlink r:id="rId93" ref="F98"/>
    <hyperlink r:id="rId94" ref="F99"/>
    <hyperlink r:id="rId95" ref="F100"/>
    <hyperlink r:id="rId96" ref="F101"/>
    <hyperlink r:id="rId97" ref="F102"/>
    <hyperlink r:id="rId98" ref="F103"/>
    <hyperlink r:id="rId99" ref="F104"/>
    <hyperlink r:id="rId100" ref="F105"/>
    <hyperlink r:id="rId101" ref="F106"/>
    <hyperlink r:id="rId102" ref="F107"/>
    <hyperlink r:id="rId103" ref="F108"/>
    <hyperlink r:id="rId104" ref="F109"/>
    <hyperlink r:id="rId105" ref="F110"/>
    <hyperlink r:id="rId106" ref="F111"/>
    <hyperlink r:id="rId107" ref="F112"/>
    <hyperlink r:id="rId108" ref="F113"/>
    <hyperlink r:id="rId109" ref="F114"/>
    <hyperlink r:id="rId110" ref="F115"/>
    <hyperlink r:id="rId111" ref="F116"/>
    <hyperlink r:id="rId112" ref="F117"/>
    <hyperlink r:id="rId113" ref="F118"/>
    <hyperlink r:id="rId114" ref="F119"/>
    <hyperlink r:id="rId115" ref="F120"/>
    <hyperlink r:id="rId116" ref="F121"/>
    <hyperlink r:id="rId117" ref="F122"/>
    <hyperlink r:id="rId118" ref="F123"/>
    <hyperlink r:id="rId119" ref="F124"/>
    <hyperlink r:id="rId120" ref="F125"/>
    <hyperlink r:id="rId121" ref="F126"/>
    <hyperlink r:id="rId122" ref="F127"/>
    <hyperlink r:id="rId123" ref="F128"/>
    <hyperlink r:id="rId124" ref="F129"/>
    <hyperlink r:id="rId125" ref="F130"/>
    <hyperlink r:id="rId126" ref="F131"/>
    <hyperlink r:id="rId127" ref="F132"/>
    <hyperlink r:id="rId128" ref="F133"/>
    <hyperlink r:id="rId129" ref="F134"/>
    <hyperlink r:id="rId130" ref="F135"/>
    <hyperlink r:id="rId131" ref="F136"/>
    <hyperlink r:id="rId132" ref="F137"/>
    <hyperlink r:id="rId133" ref="F138"/>
    <hyperlink r:id="rId134" ref="F139"/>
    <hyperlink r:id="rId135" ref="F140"/>
    <hyperlink r:id="rId136" ref="F141"/>
    <hyperlink r:id="rId137" ref="F142"/>
    <hyperlink r:id="rId138" ref="F143"/>
    <hyperlink r:id="rId139" ref="F144"/>
    <hyperlink r:id="rId140" ref="F145"/>
    <hyperlink r:id="rId141" ref="F146"/>
    <hyperlink r:id="rId142" ref="F147"/>
    <hyperlink r:id="rId143" ref="F148"/>
    <hyperlink r:id="rId144" ref="F149"/>
    <hyperlink r:id="rId145" ref="F150"/>
    <hyperlink r:id="rId146" ref="F151"/>
    <hyperlink r:id="rId147" ref="F152"/>
    <hyperlink r:id="rId148" ref="F153"/>
    <hyperlink r:id="rId149" ref="F154"/>
    <hyperlink r:id="rId150" ref="F155"/>
    <hyperlink r:id="rId151" ref="F156"/>
    <hyperlink r:id="rId152" ref="F157"/>
    <hyperlink r:id="rId153" ref="F158"/>
    <hyperlink r:id="rId154" ref="F159"/>
    <hyperlink r:id="rId155" ref="F160"/>
    <hyperlink r:id="rId156" ref="F161"/>
    <hyperlink r:id="rId157" ref="F162"/>
    <hyperlink r:id="rId158" ref="F163"/>
    <hyperlink r:id="rId159" ref="F164"/>
    <hyperlink r:id="rId160" ref="F165"/>
    <hyperlink r:id="rId161" ref="F166"/>
    <hyperlink r:id="rId162" ref="F167"/>
    <hyperlink r:id="rId163" ref="F168"/>
    <hyperlink r:id="rId164" ref="F169"/>
    <hyperlink r:id="rId165" ref="F170"/>
    <hyperlink r:id="rId166" ref="F171"/>
    <hyperlink r:id="rId167" ref="F172"/>
    <hyperlink r:id="rId168" ref="F173"/>
    <hyperlink r:id="rId169" ref="F174"/>
    <hyperlink r:id="rId170" ref="F175"/>
    <hyperlink r:id="rId171" ref="F176"/>
    <hyperlink r:id="rId172" ref="F177"/>
    <hyperlink r:id="rId173" ref="F178"/>
    <hyperlink r:id="rId174" ref="F179"/>
    <hyperlink r:id="rId175" ref="F180"/>
    <hyperlink r:id="rId176" ref="F181"/>
    <hyperlink r:id="rId177" ref="F182"/>
    <hyperlink r:id="rId178" ref="F183"/>
    <hyperlink r:id="rId179" ref="F184"/>
    <hyperlink r:id="rId180" ref="F185"/>
    <hyperlink r:id="rId181" ref="F186"/>
    <hyperlink r:id="rId182" ref="F187"/>
    <hyperlink r:id="rId183" ref="F188"/>
    <hyperlink r:id="rId184" ref="F189"/>
    <hyperlink r:id="rId185" ref="F190"/>
    <hyperlink r:id="rId186" ref="F191"/>
    <hyperlink r:id="rId187" ref="F192"/>
    <hyperlink r:id="rId188" ref="F193"/>
    <hyperlink r:id="rId189" ref="F194"/>
    <hyperlink r:id="rId190" ref="F195"/>
    <hyperlink r:id="rId191" ref="F196"/>
    <hyperlink r:id="rId192" ref="F197"/>
    <hyperlink r:id="rId193" ref="F198"/>
    <hyperlink r:id="rId194" ref="F199"/>
    <hyperlink r:id="rId195" ref="F200"/>
    <hyperlink r:id="rId196" ref="F201"/>
    <hyperlink r:id="rId197" ref="F202"/>
    <hyperlink r:id="rId198" ref="F203"/>
    <hyperlink r:id="rId199" ref="F204"/>
    <hyperlink r:id="rId200" ref="F205"/>
    <hyperlink r:id="rId201" ref="F206"/>
    <hyperlink r:id="rId202" ref="F207"/>
    <hyperlink r:id="rId203" ref="F208"/>
    <hyperlink r:id="rId204" ref="F209"/>
    <hyperlink r:id="rId205" ref="F210"/>
    <hyperlink r:id="rId206" ref="F211"/>
    <hyperlink r:id="rId207" ref="F212"/>
    <hyperlink r:id="rId208" ref="F213"/>
    <hyperlink r:id="rId209" ref="F214"/>
    <hyperlink r:id="rId210" ref="F215"/>
    <hyperlink r:id="rId211" ref="F216"/>
    <hyperlink r:id="rId212" ref="F217"/>
    <hyperlink r:id="rId213" ref="F218"/>
    <hyperlink r:id="rId214" ref="F219"/>
    <hyperlink r:id="rId215" ref="F220"/>
    <hyperlink r:id="rId216" ref="F221"/>
    <hyperlink r:id="rId217" ref="F222"/>
    <hyperlink r:id="rId218" ref="F223"/>
    <hyperlink r:id="rId219" ref="F224"/>
    <hyperlink r:id="rId220" ref="F225"/>
    <hyperlink r:id="rId221" ref="F226"/>
    <hyperlink r:id="rId222" ref="F227"/>
    <hyperlink r:id="rId223" ref="F228"/>
    <hyperlink r:id="rId224" ref="F229"/>
    <hyperlink r:id="rId225" ref="F230"/>
    <hyperlink r:id="rId226" ref="F231"/>
    <hyperlink r:id="rId227" ref="F232"/>
    <hyperlink r:id="rId228" ref="F233"/>
    <hyperlink r:id="rId229" ref="F234"/>
    <hyperlink r:id="rId230" ref="F235"/>
    <hyperlink r:id="rId231" ref="F236"/>
    <hyperlink r:id="rId232" ref="F237"/>
    <hyperlink r:id="rId233" ref="F238"/>
    <hyperlink r:id="rId234" ref="F239"/>
    <hyperlink r:id="rId235" ref="F240"/>
    <hyperlink r:id="rId236" ref="F241"/>
    <hyperlink r:id="rId237" ref="F242"/>
    <hyperlink r:id="rId238" ref="F243"/>
    <hyperlink r:id="rId239" ref="F244"/>
    <hyperlink r:id="rId240" ref="F245"/>
    <hyperlink r:id="rId241" ref="F246"/>
    <hyperlink r:id="rId242" ref="F247"/>
    <hyperlink r:id="rId243" ref="F248"/>
    <hyperlink r:id="rId244" ref="F249"/>
    <hyperlink r:id="rId245" ref="F250"/>
    <hyperlink r:id="rId246" ref="F251"/>
    <hyperlink r:id="rId247" ref="F252"/>
    <hyperlink r:id="rId248" ref="F253"/>
    <hyperlink r:id="rId249" ref="F254"/>
    <hyperlink r:id="rId250" ref="F255"/>
    <hyperlink r:id="rId251" ref="F256"/>
    <hyperlink r:id="rId252" ref="F257"/>
    <hyperlink r:id="rId253" ref="F258"/>
    <hyperlink r:id="rId254" ref="F259"/>
    <hyperlink r:id="rId255" ref="F260"/>
    <hyperlink r:id="rId256" ref="F261"/>
    <hyperlink r:id="rId257" ref="F262"/>
    <hyperlink r:id="rId258" ref="F263"/>
    <hyperlink r:id="rId259" ref="F264"/>
    <hyperlink r:id="rId260" ref="F265"/>
    <hyperlink r:id="rId261" ref="F266"/>
    <hyperlink r:id="rId262" ref="F267"/>
    <hyperlink r:id="rId263" ref="F268"/>
  </hyperlinks>
  <printOptions/>
  <pageMargins bottom="1.0" footer="0.0" header="0.0" left="0.75" right="0.75" top="1.0"/>
  <pageSetup fitToHeight="0" paperSize="8" orientation="landscape"/>
  <drawing r:id="rId264"/>
  <tableParts count="1">
    <tablePart r:id="rId266"/>
  </tableParts>
</worksheet>
</file>